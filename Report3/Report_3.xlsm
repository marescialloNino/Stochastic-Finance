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ukg11058\Desktop\"/>
    </mc:Choice>
  </mc:AlternateContent>
  <xr:revisionPtr revIDLastSave="0" documentId="13_ncr:1_{9DD319FA-EB19-4042-8A19-52C93758F7CF}" xr6:coauthVersionLast="47" xr6:coauthVersionMax="47" xr10:uidLastSave="{00000000-0000-0000-0000-000000000000}"/>
  <bookViews>
    <workbookView xWindow="12" yWindow="0" windowWidth="22332" windowHeight="12336" xr2:uid="{0A6F46E1-ABC0-4FF4-9338-30FBC607A351}"/>
  </bookViews>
  <sheets>
    <sheet name="Foglio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F25" i="1"/>
  <c r="G25" i="1"/>
  <c r="H25" i="1"/>
  <c r="I25" i="1"/>
  <c r="J25" i="1"/>
  <c r="K25" i="1"/>
  <c r="L25" i="1"/>
  <c r="M25" i="1"/>
  <c r="N25" i="1"/>
  <c r="O25" i="1"/>
  <c r="P25" i="1"/>
  <c r="Q25" i="1"/>
  <c r="D25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N21" i="1" a="1"/>
  <c r="P21" i="1" a="1"/>
  <c r="I21" i="1" a="1"/>
  <c r="M21" i="1" a="1"/>
  <c r="Q21" i="1" a="1"/>
  <c r="J21" i="1" a="1"/>
  <c r="L21" i="1" a="1"/>
  <c r="K21" i="1" a="1"/>
  <c r="O21" i="1" a="1"/>
  <c r="H21" i="1" a="1"/>
  <c r="E21" i="1" a="1"/>
  <c r="F21" i="1" a="1"/>
  <c r="G21" i="1" a="1"/>
  <c r="D21" i="1" a="1"/>
  <c r="M16" i="1" a="1"/>
  <c r="N16" i="1" a="1"/>
  <c r="O16" i="1" a="1"/>
  <c r="P16" i="1" a="1"/>
  <c r="Q16" i="1" a="1"/>
  <c r="F16" i="1" a="1"/>
  <c r="J16" i="1" a="1"/>
  <c r="K16" i="1" a="1"/>
  <c r="G16" i="1" a="1"/>
  <c r="H16" i="1" a="1"/>
  <c r="L16" i="1" a="1"/>
  <c r="E16" i="1" a="1"/>
  <c r="I16" i="1" a="1"/>
  <c r="D16" i="1" a="1"/>
  <c r="H21" i="1" l="1"/>
  <c r="O21" i="1"/>
  <c r="K21" i="1"/>
  <c r="L21" i="1"/>
  <c r="J21" i="1"/>
  <c r="Q21" i="1"/>
  <c r="M21" i="1"/>
  <c r="I21" i="1"/>
  <c r="P21" i="1"/>
  <c r="N21" i="1"/>
  <c r="G21" i="1"/>
  <c r="F21" i="1"/>
  <c r="E21" i="1"/>
  <c r="D21" i="1"/>
  <c r="Q16" i="1"/>
  <c r="P16" i="1"/>
  <c r="O16" i="1"/>
  <c r="N16" i="1"/>
  <c r="M16" i="1"/>
  <c r="I16" i="1"/>
  <c r="E16" i="1"/>
  <c r="L16" i="1"/>
  <c r="H16" i="1"/>
  <c r="G16" i="1"/>
  <c r="K16" i="1"/>
  <c r="J16" i="1"/>
  <c r="F16" i="1"/>
  <c r="D16" i="1"/>
  <c r="N13" i="1" a="1"/>
  <c r="Q13" i="1" a="1"/>
  <c r="P13" i="1" a="1"/>
  <c r="E13" i="1" a="1"/>
  <c r="F13" i="1" a="1"/>
  <c r="I13" i="1" a="1"/>
  <c r="L13" i="1" a="1"/>
  <c r="D13" i="1" a="1"/>
  <c r="H13" i="1" a="1"/>
  <c r="K13" i="1" a="1"/>
  <c r="G13" i="1" a="1"/>
  <c r="J13" i="1" a="1"/>
  <c r="M13" i="1" a="1"/>
  <c r="O13" i="1" a="1"/>
  <c r="O13" i="1" l="1"/>
  <c r="M13" i="1"/>
  <c r="J13" i="1"/>
  <c r="G13" i="1"/>
  <c r="K13" i="1"/>
  <c r="H13" i="1"/>
  <c r="D13" i="1"/>
  <c r="L13" i="1"/>
  <c r="I13" i="1"/>
  <c r="F13" i="1"/>
  <c r="E13" i="1"/>
  <c r="P13" i="1"/>
  <c r="Q13" i="1"/>
  <c r="N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<sst xmlns="http://schemas.openxmlformats.org/spreadsheetml/2006/main" count="15" uniqueCount="13">
  <si>
    <t>S</t>
  </si>
  <si>
    <t>strike</t>
  </si>
  <si>
    <t>time maturity</t>
  </si>
  <si>
    <t>int. Rate</t>
  </si>
  <si>
    <t>volatility</t>
  </si>
  <si>
    <t>num of step</t>
  </si>
  <si>
    <t>call</t>
  </si>
  <si>
    <t>BINOMIAL</t>
  </si>
  <si>
    <t>LEISEN REIMER</t>
  </si>
  <si>
    <t>COMPARISON WITH BLACK-SCHOLES</t>
  </si>
  <si>
    <t>BLACK-SCHOLES</t>
  </si>
  <si>
    <t>REL. ERROR BINOMIAL(%)</t>
  </si>
  <si>
    <t>REL. ERROR LEISEN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</si>
</sst>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1" xfId="0" applyBorder="1"/>
    <xf numFmtId="0" fontId="1" fillId="2" borderId="1" xfId="1" applyBorder="1"/>
    <xf numFmtId="0" fontId="0" fillId="0" borderId="0" xfId="0" applyBorder="1"/>
    <xf numFmtId="0" fontId="1" fillId="2" borderId="2" xfId="1" applyBorder="1"/>
  </cellXfs>
  <cellStyles count="2">
    <cellStyle name="40% - Colore 2" xfId="1" builtinId="35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price</a:t>
            </a:r>
          </a:p>
        </c:rich>
      </c:tx>
      <c:layout>
        <c:manualLayout>
          <c:xMode val="edge"/>
          <c:yMode val="edge"/>
          <c:x val="0.41260411198600172"/>
          <c:y val="6.7179021048291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1594925634295717E-2"/>
          <c:y val="0.19486111111111112"/>
          <c:w val="0.88396062992125979"/>
          <c:h val="0.65607283464566934"/>
        </c:manualLayout>
      </c:layout>
      <c:lineChart>
        <c:grouping val="standard"/>
        <c:varyColors val="0"/>
        <c:ser>
          <c:idx val="0"/>
          <c:order val="0"/>
          <c:tx>
            <c:v>Binomial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Foglio1!$D$9:$Q$9</c:f>
              <c:numCache>
                <c:formatCode>General</c:formatCode>
                <c:ptCount val="1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cat>
          <c:val>
            <c:numRef>
              <c:f>Foglio1!$D$13:$Q$13</c:f>
              <c:numCache>
                <c:formatCode>General</c:formatCode>
                <c:ptCount val="14"/>
                <c:pt idx="0">
                  <c:v>8.3499500153194752</c:v>
                </c:pt>
                <c:pt idx="1">
                  <c:v>8.4122624594027133</c:v>
                </c:pt>
                <c:pt idx="2">
                  <c:v>8.4292068024731535</c:v>
                </c:pt>
                <c:pt idx="3">
                  <c:v>8.4361342911577761</c:v>
                </c:pt>
                <c:pt idx="4">
                  <c:v>8.4395012500087319</c:v>
                </c:pt>
                <c:pt idx="5">
                  <c:v>8.4412640417884344</c:v>
                </c:pt>
                <c:pt idx="6">
                  <c:v>8.4422422234786332</c:v>
                </c:pt>
                <c:pt idx="7">
                  <c:v>8.4427379223488686</c:v>
                </c:pt>
                <c:pt idx="8">
                  <c:v>8.4429862396440836</c:v>
                </c:pt>
                <c:pt idx="9">
                  <c:v>8.4430504401746056</c:v>
                </c:pt>
                <c:pt idx="10">
                  <c:v>8.4430306167333367</c:v>
                </c:pt>
                <c:pt idx="11">
                  <c:v>8.4429314781380889</c:v>
                </c:pt>
                <c:pt idx="12">
                  <c:v>8.4428058975070996</c:v>
                </c:pt>
                <c:pt idx="13">
                  <c:v>8.4426236688014438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A-4EAC-AA9E-198ABD1B5E25}"/>
            </c:ext>
          </c:extLst>
        </c:ser>
        <c:ser>
          <c:idx val="1"/>
          <c:order val="1"/>
          <c:tx>
            <c:v>Leisen-Reimer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Foglio1!$D$16:$Q$16</c:f>
              <c:numCache>
                <c:formatCode>General</c:formatCode>
                <c:ptCount val="14"/>
                <c:pt idx="0">
                  <c:v>8.4303997829056119</c:v>
                </c:pt>
                <c:pt idx="1">
                  <c:v>8.4324686288538029</c:v>
                </c:pt>
                <c:pt idx="2">
                  <c:v>8.4329198006298984</c:v>
                </c:pt>
                <c:pt idx="3">
                  <c:v>8.4330879745363614</c:v>
                </c:pt>
                <c:pt idx="4">
                  <c:v>8.4331685069464193</c:v>
                </c:pt>
                <c:pt idx="5">
                  <c:v>8.4332131998401341</c:v>
                </c:pt>
                <c:pt idx="6">
                  <c:v>8.4332405490925346</c:v>
                </c:pt>
                <c:pt idx="7">
                  <c:v>8.4332584927495695</c:v>
                </c:pt>
                <c:pt idx="8">
                  <c:v>8.4332708969334789</c:v>
                </c:pt>
                <c:pt idx="9">
                  <c:v>8.4332798276504857</c:v>
                </c:pt>
                <c:pt idx="10">
                  <c:v>8.4332864703772099</c:v>
                </c:pt>
                <c:pt idx="11">
                  <c:v>8.4332915448183456</c:v>
                </c:pt>
                <c:pt idx="12">
                  <c:v>8.4332955084457897</c:v>
                </c:pt>
                <c:pt idx="13">
                  <c:v>8.4332986633154565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19-4DE0-BAA4-E2477B6C24F1}"/>
            </c:ext>
          </c:extLst>
        </c:ser>
        <c:ser>
          <c:idx val="2"/>
          <c:order val="2"/>
          <c:tx>
            <c:v>Black-Scholes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Foglio1!$D$21:$Q$21</c:f>
              <c:numCache>
                <c:formatCode>General</c:formatCode>
                <c:ptCount val="14"/>
                <c:pt idx="0">
                  <c:v>8.4333273843895213</c:v>
                </c:pt>
                <c:pt idx="1">
                  <c:v>8.4333273843895213</c:v>
                </c:pt>
                <c:pt idx="2">
                  <c:v>8.4333273843895213</c:v>
                </c:pt>
                <c:pt idx="3">
                  <c:v>8.4333273843895213</c:v>
                </c:pt>
                <c:pt idx="4">
                  <c:v>8.4333273843895213</c:v>
                </c:pt>
                <c:pt idx="5">
                  <c:v>8.4333273843895213</c:v>
                </c:pt>
                <c:pt idx="6">
                  <c:v>8.4333273843895213</c:v>
                </c:pt>
                <c:pt idx="7">
                  <c:v>8.4333273843895213</c:v>
                </c:pt>
                <c:pt idx="8">
                  <c:v>8.4333273843895213</c:v>
                </c:pt>
                <c:pt idx="9">
                  <c:v>8.4333273843895213</c:v>
                </c:pt>
                <c:pt idx="10">
                  <c:v>8.4333273843895213</c:v>
                </c:pt>
                <c:pt idx="11">
                  <c:v>8.4333273843895213</c:v>
                </c:pt>
                <c:pt idx="12">
                  <c:v>8.4333273843895213</c:v>
                </c:pt>
                <c:pt idx="13">
                  <c:v>8.4333273843895213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19-4DE0-BAA4-E2477B6C2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360096"/>
        <c:axId val="671361760"/>
      </c:lineChart>
      <c:catAx>
        <c:axId val="67136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alpha val="98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1361760"/>
        <c:crosses val="autoZero"/>
        <c:auto val="1"/>
        <c:lblAlgn val="ctr"/>
        <c:lblOffset val="100"/>
        <c:noMultiLvlLbl val="0"/>
      </c:catAx>
      <c:valAx>
        <c:axId val="67136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136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Relative error (%)</a:t>
            </a:r>
          </a:p>
        </c:rich>
      </c:tx>
      <c:layout>
        <c:manualLayout>
          <c:xMode val="edge"/>
          <c:yMode val="edge"/>
          <c:x val="0.43479782581968834"/>
          <c:y val="3.24072999114486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8928258967629044E-2"/>
          <c:y val="0.19486111111111112"/>
          <c:w val="0.8966272965879265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v>binomial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Foglio1!$D$9:$Q$9</c:f>
              <c:numCache>
                <c:formatCode>General</c:formatCode>
                <c:ptCount val="1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cat>
          <c:val>
            <c:numRef>
              <c:f>Foglio1!$D$23:$Q$23</c:f>
              <c:numCache>
                <c:formatCode>General</c:formatCode>
                <c:ptCount val="14"/>
                <c:pt idx="0">
                  <c:v>0.98866515278870204</c:v>
                </c:pt>
                <c:pt idx="1">
                  <c:v>0.24978189540939866</c:v>
                </c:pt>
                <c:pt idx="2">
                  <c:v>4.8860689601535806E-2</c:v>
                </c:pt>
                <c:pt idx="3">
                  <c:v>3.3283502943932959E-2</c:v>
                </c:pt>
                <c:pt idx="4">
                  <c:v>7.3207944359407029E-2</c:v>
                </c:pt>
                <c:pt idx="5">
                  <c:v>9.411062842887076E-2</c:v>
                </c:pt>
                <c:pt idx="6">
                  <c:v>0.1057096289848016</c:v>
                </c:pt>
                <c:pt idx="7">
                  <c:v>0.11158748534732033</c:v>
                </c:pt>
                <c:pt idx="8">
                  <c:v>0.1145319612806828</c:v>
                </c:pt>
                <c:pt idx="9">
                  <c:v>0.11529323293059962</c:v>
                </c:pt>
                <c:pt idx="10">
                  <c:v>0.11505817219637941</c:v>
                </c:pt>
                <c:pt idx="11">
                  <c:v>0.11388261490174262</c:v>
                </c:pt>
                <c:pt idx="12">
                  <c:v>0.11239351546014291</c:v>
                </c:pt>
                <c:pt idx="13">
                  <c:v>0.11023269924431346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E-42EF-B680-6E8C570149E2}"/>
            </c:ext>
          </c:extLst>
        </c:ser>
        <c:ser>
          <c:idx val="1"/>
          <c:order val="1"/>
          <c:tx>
            <c:v>Leisen-Reimer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Foglio1!$D$25:$Q$25</c:f>
              <c:numCache>
                <c:formatCode>General</c:formatCode>
                <c:ptCount val="14"/>
                <c:pt idx="0">
                  <c:v>3.4714666589709245E-2</c:v>
                </c:pt>
                <c:pt idx="1">
                  <c:v>1.018287914812906E-2</c:v>
                </c:pt>
                <c:pt idx="2">
                  <c:v>4.8330124166336245E-3</c:v>
                </c:pt>
                <c:pt idx="3">
                  <c:v>2.8388540163057589E-3</c:v>
                </c:pt>
                <c:pt idx="4">
                  <c:v>1.8839235791574538E-3</c:v>
                </c:pt>
                <c:pt idx="5">
                  <c:v>1.3539679438822208E-3</c:v>
                </c:pt>
                <c:pt idx="6">
                  <c:v>1.0296682795388268E-3</c:v>
                </c:pt>
                <c:pt idx="7">
                  <c:v>8.1689749267116951E-4</c:v>
                </c:pt>
                <c:pt idx="8">
                  <c:v>6.6981220422008528E-4</c:v>
                </c:pt>
                <c:pt idx="9">
                  <c:v>5.639142993985964E-4</c:v>
                </c:pt>
                <c:pt idx="10">
                  <c:v>4.8514673327121609E-4</c:v>
                </c:pt>
                <c:pt idx="11">
                  <c:v>4.249754520622608E-4</c:v>
                </c:pt>
                <c:pt idx="12">
                  <c:v>3.7797588399884441E-4</c:v>
                </c:pt>
                <c:pt idx="13">
                  <c:v>3.4056633586860625E-4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CE-42EF-B680-6E8C57014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893504"/>
        <c:axId val="364893024"/>
      </c:lineChart>
      <c:catAx>
        <c:axId val="36489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64893024"/>
        <c:crosses val="autoZero"/>
        <c:auto val="1"/>
        <c:lblAlgn val="ctr"/>
        <c:lblOffset val="100"/>
        <c:noMultiLvlLbl val="0"/>
      </c:catAx>
      <c:valAx>
        <c:axId val="36489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6489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</xdr:colOff>
      <xdr:row>26</xdr:row>
      <xdr:rowOff>175260</xdr:rowOff>
    </xdr:from>
    <xdr:to>
      <xdr:col>15</xdr:col>
      <xdr:colOff>548640</xdr:colOff>
      <xdr:row>54</xdr:row>
      <xdr:rowOff>106680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C4FCA11-C0E6-4CDF-B223-D7F361169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590550</xdr:colOff>
      <xdr:row>54</xdr:row>
      <xdr:rowOff>163830</xdr:rowOff>
    </xdr:from>
    <xdr:to>
      <xdr:col>15</xdr:col>
      <xdr:colOff>579120</xdr:colOff>
      <xdr:row>78</xdr:row>
      <xdr:rowOff>167640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BF329BA-CC38-5577-ACD7-C6CBED1A41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DBF2C-66C7-4E4B-80B1-1DF09ACDA292}">
  <sheetPr codeName="Foglio1"/>
  <dimension ref="B4:Q25"/>
  <sheetViews>
    <sheetView tabSelected="1" workbookViewId="0">
      <selection activeCell="Q48" sqref="Q48"/>
    </sheetView>
  </sheetViews>
  <sheetFormatPr defaultRowHeight="14.4" x14ac:dyDescent="0.3"/>
  <cols>
    <col min="3" max="3" width="13.88671875" customWidth="1"/>
  </cols>
  <sheetData>
    <row r="4" spans="3:17" x14ac:dyDescent="0.3">
      <c r="C4" s="2" t="s">
        <v>0</v>
      </c>
      <c r="D4" s="1">
        <v>100</v>
      </c>
    </row>
    <row r="5" spans="3:17" x14ac:dyDescent="0.3">
      <c r="C5" s="2" t="s">
        <v>1</v>
      </c>
      <c r="D5" s="1">
        <v>100</v>
      </c>
    </row>
    <row r="6" spans="3:17" x14ac:dyDescent="0.3">
      <c r="C6" s="2" t="s">
        <v>2</v>
      </c>
      <c r="D6" s="1">
        <v>1</v>
      </c>
    </row>
    <row r="7" spans="3:17" x14ac:dyDescent="0.3">
      <c r="C7" s="2" t="s">
        <v>3</v>
      </c>
      <c r="D7" s="1">
        <v>0.01</v>
      </c>
    </row>
    <row r="8" spans="3:17" x14ac:dyDescent="0.3">
      <c r="C8" s="2" t="s">
        <v>4</v>
      </c>
      <c r="D8" s="1">
        <v>0.2</v>
      </c>
    </row>
    <row r="9" spans="3:17" x14ac:dyDescent="0.3">
      <c r="C9" s="2" t="s">
        <v>5</v>
      </c>
      <c r="D9" s="1">
        <v>10</v>
      </c>
      <c r="E9" s="1">
        <v>20</v>
      </c>
      <c r="F9" s="1">
        <v>30</v>
      </c>
      <c r="G9" s="1">
        <v>40</v>
      </c>
      <c r="H9" s="1">
        <v>50</v>
      </c>
      <c r="I9" s="1">
        <v>60</v>
      </c>
      <c r="J9" s="1">
        <v>70</v>
      </c>
      <c r="K9" s="1">
        <v>80</v>
      </c>
      <c r="L9" s="1">
        <v>90</v>
      </c>
      <c r="M9" s="1">
        <v>100</v>
      </c>
      <c r="N9" s="1">
        <v>110</v>
      </c>
      <c r="O9" s="1">
        <v>120</v>
      </c>
      <c r="P9" s="1">
        <v>130</v>
      </c>
      <c r="Q9" s="1">
        <v>140</v>
      </c>
    </row>
    <row r="12" spans="3:17" x14ac:dyDescent="0.3">
      <c r="C12" t="s">
        <v>7</v>
      </c>
      <c r="D12" s="2" t="s">
        <v>6</v>
      </c>
    </row>
    <row r="13" spans="3:17" x14ac:dyDescent="0.3">
      <c r="D13" s="1" cm="1">
        <f t="array" ref="D13">Bi_Call_Eur($D$4,$D$5,$D$6,$D$7,$D$8,D$9)</f>
        <v>8.3499500153194752</v>
      </c>
      <c r="E13" s="1" cm="1">
        <f t="array" ref="E13">Bi_Call_Eur($D$4,$D$5,$D$6,$D$7,$D$8,E$9)</f>
        <v>8.4122624594027133</v>
      </c>
      <c r="F13" s="1" cm="1">
        <f t="array" ref="F13">Bi_Call_Eur($D$4,$D$5,$D$6,$D$7,$D$8,F$9)</f>
        <v>8.4292068024731535</v>
      </c>
      <c r="G13" s="1" cm="1">
        <f t="array" ref="G13">Bi_Call_Eur($D$4,$D$5,$D$6,$D$7,$D$8,G$9)</f>
        <v>8.4361342911577761</v>
      </c>
      <c r="H13" s="1" cm="1">
        <f t="array" ref="H13">Bi_Call_Eur($D$4,$D$5,$D$6,$D$7,$D$8,H$9)</f>
        <v>8.4395012500087319</v>
      </c>
      <c r="I13" s="1" cm="1">
        <f t="array" ref="I13">Bi_Call_Eur($D$4,$D$5,$D$6,$D$7,$D$8,I$9)</f>
        <v>8.4412640417884344</v>
      </c>
      <c r="J13" s="1" cm="1">
        <f t="array" ref="J13">Bi_Call_Eur($D$4,$D$5,$D$6,$D$7,$D$8,J$9)</f>
        <v>8.4422422234786332</v>
      </c>
      <c r="K13" s="1" cm="1">
        <f t="array" ref="K13">Bi_Call_Eur($D$4,$D$5,$D$6,$D$7,$D$8,K$9)</f>
        <v>8.4427379223488686</v>
      </c>
      <c r="L13" s="1" cm="1">
        <f t="array" ref="L13">Bi_Call_Eur($D$4,$D$5,$D$6,$D$7,$D$8,L$9)</f>
        <v>8.4429862396440836</v>
      </c>
      <c r="M13" s="1" cm="1">
        <f t="array" ref="M13">Bi_Call_Eur($D$4,$D$5,$D$6,$D$7,$D$8,M$9)</f>
        <v>8.4430504401746056</v>
      </c>
      <c r="N13" s="1" cm="1">
        <f t="array" ref="N13">Bi_Call_Eur($D$4,$D$5,$D$6,$D$7,$D$8,N$9)</f>
        <v>8.4430306167333367</v>
      </c>
      <c r="O13" s="1" cm="1">
        <f t="array" ref="O13">Bi_Call_Eur($D$4,$D$5,$D$6,$D$7,$D$8,O$9)</f>
        <v>8.4429314781380889</v>
      </c>
      <c r="P13" s="1" cm="1">
        <f t="array" ref="P13">Bi_Call_Eur($D$4,$D$5,$D$6,$D$7,$D$8,P$9)</f>
        <v>8.4428058975070996</v>
      </c>
      <c r="Q13" s="1" cm="1">
        <f t="array" ref="Q13">Bi_Call_Eur($D$4,$D$5,$D$6,$D$7,$D$8,Q$9)</f>
        <v>8.4426236688014438</v>
      </c>
    </row>
    <row r="15" spans="3:17" x14ac:dyDescent="0.3">
      <c r="C15" t="s">
        <v>8</v>
      </c>
      <c r="D15" s="4" t="s">
        <v>6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3:17" x14ac:dyDescent="0.3">
      <c r="D16" s="1" cm="1">
        <f t="array" ref="D16">LeisenReimerTrunc("a","c",$D$4,$D$5,$D$6,$D$7,$D$7,$D$8,D9)</f>
        <v>8.4303997829056119</v>
      </c>
      <c r="E16" s="1" cm="1">
        <f t="array" ref="E16">LeisenReimerTrunc("a","c",$D$4,$D$5,$D$6,$D$7,$D$7,$D$8,E9)</f>
        <v>8.4324686288538029</v>
      </c>
      <c r="F16" s="1" cm="1">
        <f t="array" ref="F16">LeisenReimerTrunc("a","c",$D$4,$D$5,$D$6,$D$7,$D$7,$D$8,F9)</f>
        <v>8.4329198006298984</v>
      </c>
      <c r="G16" s="1" cm="1">
        <f t="array" ref="G16">LeisenReimerTrunc("a","c",$D$4,$D$5,$D$6,$D$7,$D$7,$D$8,G9)</f>
        <v>8.4330879745363614</v>
      </c>
      <c r="H16" s="1" cm="1">
        <f t="array" ref="H16">LeisenReimerTrunc("a","c",$D$4,$D$5,$D$6,$D$7,$D$7,$D$8,H9)</f>
        <v>8.4331685069464193</v>
      </c>
      <c r="I16" s="1" cm="1">
        <f t="array" ref="I16">LeisenReimerTrunc("a","c",$D$4,$D$5,$D$6,$D$7,$D$7,$D$8,I9)</f>
        <v>8.4332131998401341</v>
      </c>
      <c r="J16" s="1" cm="1">
        <f t="array" ref="J16">LeisenReimerTrunc("a","c",$D$4,$D$5,$D$6,$D$7,$D$7,$D$8,J9)</f>
        <v>8.4332405490925346</v>
      </c>
      <c r="K16" s="1" cm="1">
        <f t="array" ref="K16">LeisenReimerTrunc("a","c",$D$4,$D$5,$D$6,$D$7,$D$7,$D$8,K9)</f>
        <v>8.4332584927495695</v>
      </c>
      <c r="L16" s="1" cm="1">
        <f t="array" ref="L16">LeisenReimerTrunc("a","c",$D$4,$D$5,$D$6,$D$7,$D$7,$D$8,L9)</f>
        <v>8.4332708969334789</v>
      </c>
      <c r="M16" s="1" cm="1">
        <f t="array" ref="M16">LeisenReimerTrunc("a","c",$D$4,$D$5,$D$6,$D$7,$D$7,$D$8,M9)</f>
        <v>8.4332798276504857</v>
      </c>
      <c r="N16" s="1" cm="1">
        <f t="array" ref="N16">LeisenReimerTrunc("a","c",$D$4,$D$5,$D$6,$D$7,$D$7,$D$8,N9)</f>
        <v>8.4332864703772099</v>
      </c>
      <c r="O16" s="1" cm="1">
        <f t="array" ref="O16">LeisenReimerTrunc("a","c",$D$4,$D$5,$D$6,$D$7,$D$7,$D$8,O9)</f>
        <v>8.4332915448183456</v>
      </c>
      <c r="P16" s="1" cm="1">
        <f t="array" ref="P16">LeisenReimerTrunc("a","c",$D$4,$D$5,$D$6,$D$7,$D$7,$D$8,P9)</f>
        <v>8.4332955084457897</v>
      </c>
      <c r="Q16" s="1" cm="1">
        <f t="array" ref="Q16">LeisenReimerTrunc("a","c",$D$4,$D$5,$D$6,$D$7,$D$7,$D$8,Q9)</f>
        <v>8.4332986633154565</v>
      </c>
    </row>
    <row r="18" spans="2:17" x14ac:dyDescent="0.3">
      <c r="C18" t="s">
        <v>9</v>
      </c>
    </row>
    <row r="20" spans="2:17" x14ac:dyDescent="0.3">
      <c r="D20" s="2" t="s">
        <v>6</v>
      </c>
    </row>
    <row r="21" spans="2:17" x14ac:dyDescent="0.3">
      <c r="C21" t="s">
        <v>10</v>
      </c>
      <c r="D21" s="1" cm="1">
        <f t="array" ref="D21">Call_Eur($D$4, $D$5, $D$6,$D$7, $D$8)</f>
        <v>8.4333273843895213</v>
      </c>
      <c r="E21" s="1" cm="1">
        <f t="array" ref="E21">Call_Eur($D$4, $D$5, $D$6,$D$7, $D$8)</f>
        <v>8.4333273843895213</v>
      </c>
      <c r="F21" s="1" cm="1">
        <f t="array" ref="F21">Call_Eur($D$4, $D$5, $D$6,$D$7, $D$8)</f>
        <v>8.4333273843895213</v>
      </c>
      <c r="G21" s="1" cm="1">
        <f t="array" ref="G21">Call_Eur($D$4, $D$5, $D$6,$D$7, $D$8)</f>
        <v>8.4333273843895213</v>
      </c>
      <c r="H21" s="1" cm="1">
        <f t="array" ref="H21">Call_Eur($D$4, $D$5, $D$6,$D$7, $D$8)</f>
        <v>8.4333273843895213</v>
      </c>
      <c r="I21" s="1" cm="1">
        <f t="array" ref="I21">Call_Eur($D$4, $D$5, $D$6,$D$7, $D$8)</f>
        <v>8.4333273843895213</v>
      </c>
      <c r="J21" s="1" cm="1">
        <f t="array" ref="J21">Call_Eur($D$4, $D$5, $D$6,$D$7, $D$8)</f>
        <v>8.4333273843895213</v>
      </c>
      <c r="K21" s="1" cm="1">
        <f t="array" ref="K21">Call_Eur($D$4, $D$5, $D$6,$D$7, $D$8)</f>
        <v>8.4333273843895213</v>
      </c>
      <c r="L21" s="1" cm="1">
        <f t="array" ref="L21">Call_Eur($D$4, $D$5, $D$6,$D$7, $D$8)</f>
        <v>8.4333273843895213</v>
      </c>
      <c r="M21" s="1" cm="1">
        <f t="array" ref="M21">Call_Eur($D$4, $D$5, $D$6,$D$7, $D$8)</f>
        <v>8.4333273843895213</v>
      </c>
      <c r="N21" s="1" cm="1">
        <f t="array" ref="N21">Call_Eur($D$4, $D$5, $D$6,$D$7, $D$8)</f>
        <v>8.4333273843895213</v>
      </c>
      <c r="O21" s="1" cm="1">
        <f t="array" ref="O21">Call_Eur($D$4, $D$5, $D$6,$D$7, $D$8)</f>
        <v>8.4333273843895213</v>
      </c>
      <c r="P21" s="1" cm="1">
        <f t="array" ref="P21">Call_Eur($D$4, $D$5, $D$6,$D$7, $D$8)</f>
        <v>8.4333273843895213</v>
      </c>
      <c r="Q21" s="1" cm="1">
        <f t="array" ref="Q21">Call_Eur($D$4, $D$5, $D$6,$D$7, $D$8)</f>
        <v>8.4333273843895213</v>
      </c>
    </row>
    <row r="23" spans="2:17" x14ac:dyDescent="0.3">
      <c r="B23" t="s">
        <v>11</v>
      </c>
      <c r="D23" s="1">
        <f>100*ABS(D13-D21)/D21</f>
        <v>0.98866515278870204</v>
      </c>
      <c r="E23" s="1">
        <f t="shared" ref="E23:Q23" si="0">100*ABS(E13-E21)/E21</f>
        <v>0.24978189540939866</v>
      </c>
      <c r="F23" s="1">
        <f t="shared" si="0"/>
        <v>4.8860689601535806E-2</v>
      </c>
      <c r="G23" s="1">
        <f t="shared" si="0"/>
        <v>3.3283502943932959E-2</v>
      </c>
      <c r="H23" s="1">
        <f t="shared" si="0"/>
        <v>7.3207944359407029E-2</v>
      </c>
      <c r="I23" s="1">
        <f t="shared" si="0"/>
        <v>9.411062842887076E-2</v>
      </c>
      <c r="J23" s="1">
        <f t="shared" si="0"/>
        <v>0.1057096289848016</v>
      </c>
      <c r="K23" s="1">
        <f t="shared" si="0"/>
        <v>0.11158748534732033</v>
      </c>
      <c r="L23" s="1">
        <f t="shared" si="0"/>
        <v>0.1145319612806828</v>
      </c>
      <c r="M23" s="1">
        <f t="shared" si="0"/>
        <v>0.11529323293059962</v>
      </c>
      <c r="N23" s="1">
        <f t="shared" si="0"/>
        <v>0.11505817219637941</v>
      </c>
      <c r="O23" s="1">
        <f t="shared" si="0"/>
        <v>0.11388261490174262</v>
      </c>
      <c r="P23" s="1">
        <f t="shared" si="0"/>
        <v>0.11239351546014291</v>
      </c>
      <c r="Q23" s="1">
        <f t="shared" si="0"/>
        <v>0.11023269924431346</v>
      </c>
    </row>
    <row r="25" spans="2:17" x14ac:dyDescent="0.3">
      <c r="B25" t="s">
        <v>12</v>
      </c>
      <c r="D25" s="1">
        <f>100*ABS(D16-D21)/D21</f>
        <v>3.4714666589709245E-2</v>
      </c>
      <c r="E25" s="1">
        <f t="shared" ref="E25:Q25" si="1">100*ABS(E16-E21)/E21</f>
        <v>1.018287914812906E-2</v>
      </c>
      <c r="F25" s="1">
        <f t="shared" si="1"/>
        <v>4.8330124166336245E-3</v>
      </c>
      <c r="G25" s="1">
        <f t="shared" si="1"/>
        <v>2.8388540163057589E-3</v>
      </c>
      <c r="H25" s="1">
        <f t="shared" si="1"/>
        <v>1.8839235791574538E-3</v>
      </c>
      <c r="I25" s="1">
        <f t="shared" si="1"/>
        <v>1.3539679438822208E-3</v>
      </c>
      <c r="J25" s="1">
        <f t="shared" si="1"/>
        <v>1.0296682795388268E-3</v>
      </c>
      <c r="K25" s="1">
        <f t="shared" si="1"/>
        <v>8.1689749267116951E-4</v>
      </c>
      <c r="L25" s="1">
        <f t="shared" si="1"/>
        <v>6.6981220422008528E-4</v>
      </c>
      <c r="M25" s="1">
        <f t="shared" si="1"/>
        <v>5.639142993985964E-4</v>
      </c>
      <c r="N25" s="1">
        <f t="shared" si="1"/>
        <v>4.8514673327121609E-4</v>
      </c>
      <c r="O25" s="1">
        <f t="shared" si="1"/>
        <v>4.249754520622608E-4</v>
      </c>
      <c r="P25" s="1">
        <f t="shared" si="1"/>
        <v>3.7797588399884441E-4</v>
      </c>
      <c r="Q25" s="1">
        <f t="shared" si="1"/>
        <v>3.4056633586860625E-4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>Universita' degi Studi di Padova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lab07509@ad.torre.math.unipd.it</dc:creator>
  <cp:lastModifiedBy>Nicola Schiavo</cp:lastModifiedBy>
  <dcterms:created xsi:type="dcterms:W3CDTF">2024-03-22T15:40:21Z</dcterms:created>
  <dcterms:modified xsi:type="dcterms:W3CDTF">2024-04-05T08:28:01Z</dcterms:modified>
</cp:coreProperties>
</file>