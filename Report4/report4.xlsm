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ukg11058\Documents\"/>
    </mc:Choice>
  </mc:AlternateContent>
  <xr:revisionPtr revIDLastSave="0" documentId="13_ncr:1_{843C2DB2-FD85-4BA0-9331-F9CCF9EB536E}" xr6:coauthVersionLast="47" xr6:coauthVersionMax="47" xr10:uidLastSave="{00000000-0000-0000-0000-000000000000}"/>
  <bookViews>
    <workbookView xWindow="-108" yWindow="-108" windowWidth="23256" windowHeight="12456" activeTab="2" xr2:uid="{95161D2D-D46E-460C-80E6-02306A5D45CF}"/>
  </bookViews>
  <sheets>
    <sheet name="call" sheetId="1" r:id="rId1"/>
    <sheet name="put" sheetId="2" r:id="rId2"/>
    <sheet name="TMV analysis" sheetId="4" r:id="rId3"/>
  </sheets>
  <functionGroups builtInGroupCount="19"/>
  <definedNames>
    <definedName name="TMV.DE" localSheetId="2">'TMV analysis'!$B$3:$H$130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4" i="4" l="1"/>
  <c r="N75" i="4" s="1"/>
  <c r="N76" i="4" s="1"/>
  <c r="N77" i="4" s="1"/>
  <c r="N78" i="4" s="1"/>
  <c r="N79" i="4" s="1"/>
  <c r="N80" i="4" s="1"/>
  <c r="P72" i="4"/>
  <c r="Q72" i="4" s="1"/>
  <c r="R72" i="4" s="1"/>
  <c r="S72" i="4" s="1"/>
  <c r="T72" i="4" s="1"/>
  <c r="U72" i="4" s="1"/>
  <c r="V72" i="4" s="1"/>
  <c r="W72" i="4" s="1"/>
  <c r="X72" i="4" s="1"/>
  <c r="N62" i="4"/>
  <c r="N63" i="4" s="1"/>
  <c r="N64" i="4" s="1"/>
  <c r="N65" i="4" s="1"/>
  <c r="N66" i="4" s="1"/>
  <c r="N67" i="4" s="1"/>
  <c r="N68" i="4" s="1"/>
  <c r="P60" i="4"/>
  <c r="Q60" i="4" s="1"/>
  <c r="R60" i="4" s="1"/>
  <c r="S60" i="4" s="1"/>
  <c r="T60" i="4" s="1"/>
  <c r="U60" i="4" s="1"/>
  <c r="V60" i="4" s="1"/>
  <c r="W60" i="4" s="1"/>
  <c r="X60" i="4" s="1"/>
  <c r="N50" i="4"/>
  <c r="N51" i="4" s="1"/>
  <c r="N52" i="4" s="1"/>
  <c r="N53" i="4" s="1"/>
  <c r="N54" i="4" s="1"/>
  <c r="N55" i="4" s="1"/>
  <c r="N56" i="4" s="1"/>
  <c r="P48" i="4"/>
  <c r="Q48" i="4" s="1"/>
  <c r="R48" i="4" s="1"/>
  <c r="S48" i="4" s="1"/>
  <c r="T48" i="4" s="1"/>
  <c r="U48" i="4" s="1"/>
  <c r="V48" i="4" s="1"/>
  <c r="W48" i="4" s="1"/>
  <c r="X48" i="4" s="1"/>
  <c r="AD18" i="4"/>
  <c r="AE18" i="4"/>
  <c r="AF18" i="4"/>
  <c r="AG18" i="4"/>
  <c r="AH18" i="4"/>
  <c r="AD19" i="4"/>
  <c r="AE19" i="4"/>
  <c r="AF19" i="4"/>
  <c r="AG19" i="4"/>
  <c r="AH19" i="4"/>
  <c r="AE17" i="4"/>
  <c r="AF17" i="4"/>
  <c r="AG17" i="4"/>
  <c r="AH17" i="4"/>
  <c r="AD17" i="4"/>
  <c r="AD11" i="4"/>
  <c r="AE11" i="4"/>
  <c r="AF11" i="4"/>
  <c r="AG11" i="4"/>
  <c r="AH11" i="4"/>
  <c r="AD12" i="4"/>
  <c r="AE12" i="4"/>
  <c r="AF12" i="4"/>
  <c r="AG12" i="4"/>
  <c r="AH12" i="4"/>
  <c r="AE10" i="4"/>
  <c r="AF10" i="4"/>
  <c r="AG10" i="4"/>
  <c r="AH10" i="4"/>
  <c r="AD10" i="4"/>
  <c r="N38" i="4"/>
  <c r="N39" i="4" s="1"/>
  <c r="N40" i="4" s="1"/>
  <c r="N41" i="4" s="1"/>
  <c r="N42" i="4" s="1"/>
  <c r="N43" i="4" s="1"/>
  <c r="N44" i="4" s="1"/>
  <c r="P36" i="4"/>
  <c r="Q36" i="4" s="1"/>
  <c r="R36" i="4" s="1"/>
  <c r="S36" i="4" s="1"/>
  <c r="T36" i="4" s="1"/>
  <c r="U36" i="4" s="1"/>
  <c r="V36" i="4" s="1"/>
  <c r="W36" i="4" s="1"/>
  <c r="X36" i="4" s="1"/>
  <c r="N26" i="4"/>
  <c r="N27" i="4" s="1"/>
  <c r="N28" i="4" s="1"/>
  <c r="N29" i="4" s="1"/>
  <c r="N30" i="4" s="1"/>
  <c r="N31" i="4" s="1"/>
  <c r="N32" i="4" s="1"/>
  <c r="P24" i="4"/>
  <c r="Q24" i="4" s="1"/>
  <c r="R24" i="4" s="1"/>
  <c r="S24" i="4" s="1"/>
  <c r="T24" i="4" s="1"/>
  <c r="U24" i="4" s="1"/>
  <c r="V24" i="4" s="1"/>
  <c r="W24" i="4" s="1"/>
  <c r="X24" i="4" s="1"/>
  <c r="M12" i="4"/>
  <c r="M19" i="4"/>
  <c r="M11" i="4"/>
  <c r="M18" i="4"/>
  <c r="M17" i="4"/>
  <c r="M10" i="4"/>
  <c r="P74" i="4" a="1"/>
  <c r="T74" i="4" a="1"/>
  <c r="X74" i="4" a="1"/>
  <c r="R75" i="4" a="1"/>
  <c r="V75" i="4" a="1"/>
  <c r="P76" i="4" a="1"/>
  <c r="T76" i="4" a="1"/>
  <c r="X76" i="4" a="1"/>
  <c r="R77" i="4" a="1"/>
  <c r="V77" i="4" a="1"/>
  <c r="P78" i="4" a="1"/>
  <c r="T78" i="4" a="1"/>
  <c r="X78" i="4" a="1"/>
  <c r="R79" i="4" a="1"/>
  <c r="V79" i="4" a="1"/>
  <c r="P80" i="4" a="1"/>
  <c r="T80" i="4" a="1"/>
  <c r="X80" i="4" a="1"/>
  <c r="P77" i="4" a="1"/>
  <c r="X77" i="4" a="1"/>
  <c r="P79" i="4" a="1"/>
  <c r="R80" i="4" a="1"/>
  <c r="O74" i="4" a="1"/>
  <c r="S76" i="4" a="1"/>
  <c r="U77" i="4" a="1"/>
  <c r="W78" i="4" a="1"/>
  <c r="S80" i="4" a="1"/>
  <c r="Q74" i="4" a="1"/>
  <c r="U74" i="4" a="1"/>
  <c r="O75" i="4" a="1"/>
  <c r="S75" i="4" a="1"/>
  <c r="W75" i="4" a="1"/>
  <c r="Q76" i="4" a="1"/>
  <c r="U76" i="4" a="1"/>
  <c r="O77" i="4" a="1"/>
  <c r="S77" i="4" a="1"/>
  <c r="W77" i="4" a="1"/>
  <c r="Q78" i="4" a="1"/>
  <c r="U78" i="4" a="1"/>
  <c r="O79" i="4" a="1"/>
  <c r="S79" i="4" a="1"/>
  <c r="W79" i="4" a="1"/>
  <c r="Q80" i="4" a="1"/>
  <c r="U80" i="4" a="1"/>
  <c r="P75" i="4" a="1"/>
  <c r="V76" i="4" a="1"/>
  <c r="R78" i="4" a="1"/>
  <c r="X79" i="4" a="1"/>
  <c r="S74" i="4" a="1"/>
  <c r="U75" i="4" a="1"/>
  <c r="W76" i="4" a="1"/>
  <c r="O78" i="4" a="1"/>
  <c r="Q79" i="4" a="1"/>
  <c r="W80" i="4" a="1"/>
  <c r="R74" i="4" a="1"/>
  <c r="V74" i="4" a="1"/>
  <c r="T75" i="4" a="1"/>
  <c r="X75" i="4" a="1"/>
  <c r="R76" i="4" a="1"/>
  <c r="T77" i="4" a="1"/>
  <c r="V78" i="4" a="1"/>
  <c r="T79" i="4" a="1"/>
  <c r="V80" i="4" a="1"/>
  <c r="Q75" i="4" a="1"/>
  <c r="O76" i="4" a="1"/>
  <c r="Q77" i="4" a="1"/>
  <c r="S78" i="4" a="1"/>
  <c r="O80" i="4" a="1"/>
  <c r="W74" i="4" a="1"/>
  <c r="U79" i="4" a="1"/>
  <c r="P73" i="4" a="1"/>
  <c r="T73" i="4" a="1"/>
  <c r="X73" i="4" a="1"/>
  <c r="U73" i="4" a="1"/>
  <c r="S73" i="4" a="1"/>
  <c r="Q73" i="4" a="1"/>
  <c r="V73" i="4" a="1"/>
  <c r="W73" i="4" a="1"/>
  <c r="R73" i="4" a="1"/>
  <c r="O62" i="4" a="1"/>
  <c r="S62" i="4" a="1"/>
  <c r="W62" i="4" a="1"/>
  <c r="Q63" i="4" a="1"/>
  <c r="U63" i="4" a="1"/>
  <c r="O64" i="4" a="1"/>
  <c r="S64" i="4" a="1"/>
  <c r="W64" i="4" a="1"/>
  <c r="Q65" i="4" a="1"/>
  <c r="U65" i="4" a="1"/>
  <c r="O66" i="4" a="1"/>
  <c r="S66" i="4" a="1"/>
  <c r="W66" i="4" a="1"/>
  <c r="Q67" i="4" a="1"/>
  <c r="U67" i="4" a="1"/>
  <c r="O68" i="4" a="1"/>
  <c r="W68" i="4" a="1"/>
  <c r="W63" i="4" a="1"/>
  <c r="S67" i="4" a="1"/>
  <c r="T62" i="4" a="1"/>
  <c r="R63" i="4" a="1"/>
  <c r="X64" i="4" a="1"/>
  <c r="P66" i="4" a="1"/>
  <c r="V67" i="4" a="1"/>
  <c r="X68" i="4" a="1"/>
  <c r="S63" i="4" a="1"/>
  <c r="Q66" i="4" a="1"/>
  <c r="P62" i="4" a="1"/>
  <c r="X62" i="4" a="1"/>
  <c r="V63" i="4" a="1"/>
  <c r="P64" i="4" a="1"/>
  <c r="T64" i="4" a="1"/>
  <c r="R65" i="4" a="1"/>
  <c r="V65" i="4" a="1"/>
  <c r="T66" i="4" a="1"/>
  <c r="X66" i="4" a="1"/>
  <c r="R67" i="4" a="1"/>
  <c r="P68" i="4" a="1"/>
  <c r="T68" i="4" a="1"/>
  <c r="U62" i="4" a="1"/>
  <c r="U64" i="4" a="1"/>
  <c r="W65" i="4" a="1"/>
  <c r="O67" i="4" a="1"/>
  <c r="Q68" i="4" a="1"/>
  <c r="V62" i="4" a="1"/>
  <c r="P65" i="4" a="1"/>
  <c r="R66" i="4" a="1"/>
  <c r="V66" i="4" a="1"/>
  <c r="T67" i="4" a="1"/>
  <c r="X67" i="4" a="1"/>
  <c r="V68" i="4" a="1"/>
  <c r="S68" i="4" a="1"/>
  <c r="Q62" i="4" a="1"/>
  <c r="Q64" i="4" a="1"/>
  <c r="O65" i="4" a="1"/>
  <c r="U66" i="4" a="1"/>
  <c r="W67" i="4" a="1"/>
  <c r="R62" i="4" a="1"/>
  <c r="P63" i="4" a="1"/>
  <c r="T63" i="4" a="1"/>
  <c r="X63" i="4" a="1"/>
  <c r="R64" i="4" a="1"/>
  <c r="V64" i="4" a="1"/>
  <c r="T65" i="4" a="1"/>
  <c r="X65" i="4" a="1"/>
  <c r="P67" i="4" a="1"/>
  <c r="R68" i="4" a="1"/>
  <c r="O63" i="4" a="1"/>
  <c r="S65" i="4" a="1"/>
  <c r="U68" i="4" a="1"/>
  <c r="Q61" i="4" a="1"/>
  <c r="U61" i="4" a="1"/>
  <c r="R61" i="4" a="1"/>
  <c r="V61" i="4" a="1"/>
  <c r="S61" i="4" a="1"/>
  <c r="W61" i="4" a="1"/>
  <c r="X61" i="4" a="1"/>
  <c r="T61" i="4" a="1"/>
  <c r="P61" i="4" a="1"/>
  <c r="O73" i="4" a="1"/>
  <c r="O61" i="4" a="1"/>
  <c r="O49" i="4" a="1"/>
  <c r="O50" i="4" a="1"/>
  <c r="P56" i="4" a="1"/>
  <c r="W51" i="4" a="1"/>
  <c r="O53" i="4" a="1"/>
  <c r="W53" i="4" a="1"/>
  <c r="U54" i="4" a="1"/>
  <c r="S55" i="4" a="1"/>
  <c r="Q56" i="4" a="1"/>
  <c r="X55" i="4" a="1"/>
  <c r="S50" i="4" a="1"/>
  <c r="U51" i="4" a="1"/>
  <c r="W52" i="4" a="1"/>
  <c r="O54" i="4" a="1"/>
  <c r="Q55" i="4" a="1"/>
  <c r="O56" i="4" a="1"/>
  <c r="P50" i="4" a="1"/>
  <c r="T50" i="4" a="1"/>
  <c r="X50" i="4" a="1"/>
  <c r="R51" i="4" a="1"/>
  <c r="V51" i="4" a="1"/>
  <c r="P52" i="4" a="1"/>
  <c r="T52" i="4" a="1"/>
  <c r="X52" i="4" a="1"/>
  <c r="R53" i="4" a="1"/>
  <c r="V53" i="4" a="1"/>
  <c r="P54" i="4" a="1"/>
  <c r="T54" i="4" a="1"/>
  <c r="X54" i="4" a="1"/>
  <c r="R55" i="4" a="1"/>
  <c r="V55" i="4" a="1"/>
  <c r="T56" i="4" a="1"/>
  <c r="X56" i="4" a="1"/>
  <c r="U50" i="4" a="1"/>
  <c r="S51" i="4" a="1"/>
  <c r="Q52" i="4" a="1"/>
  <c r="U52" i="4" a="1"/>
  <c r="S53" i="4" a="1"/>
  <c r="Q54" i="4" a="1"/>
  <c r="O55" i="4" a="1"/>
  <c r="W55" i="4" a="1"/>
  <c r="U56" i="4" a="1"/>
  <c r="R56" i="4" a="1"/>
  <c r="W50" i="4" a="1"/>
  <c r="O52" i="4" a="1"/>
  <c r="U53" i="4" a="1"/>
  <c r="W54" i="4" a="1"/>
  <c r="U55" i="4" a="1"/>
  <c r="O51" i="4" a="1"/>
  <c r="W56" i="4" a="1"/>
  <c r="Q50" i="4" a="1"/>
  <c r="R50" i="4" a="1"/>
  <c r="V50" i="4" a="1"/>
  <c r="P51" i="4" a="1"/>
  <c r="T51" i="4" a="1"/>
  <c r="X51" i="4" a="1"/>
  <c r="R52" i="4" a="1"/>
  <c r="V52" i="4" a="1"/>
  <c r="P53" i="4" a="1"/>
  <c r="T53" i="4" a="1"/>
  <c r="X53" i="4" a="1"/>
  <c r="R54" i="4" a="1"/>
  <c r="V54" i="4" a="1"/>
  <c r="P55" i="4" a="1"/>
  <c r="T55" i="4" a="1"/>
  <c r="V56" i="4" a="1"/>
  <c r="Q51" i="4" a="1"/>
  <c r="S52" i="4" a="1"/>
  <c r="Q53" i="4" a="1"/>
  <c r="S54" i="4" a="1"/>
  <c r="S56" i="4" a="1"/>
  <c r="P49" i="4" a="1"/>
  <c r="T49" i="4" a="1"/>
  <c r="X49" i="4" a="1"/>
  <c r="U49" i="4" a="1"/>
  <c r="R49" i="4" a="1"/>
  <c r="V49" i="4" a="1"/>
  <c r="S49" i="4" a="1"/>
  <c r="W49" i="4" a="1"/>
  <c r="Q49" i="4" a="1"/>
  <c r="O37" i="4" a="1"/>
  <c r="O38" i="4" a="1"/>
  <c r="S38" i="4" a="1"/>
  <c r="W38" i="4" a="1"/>
  <c r="Q39" i="4" a="1"/>
  <c r="U39" i="4" a="1"/>
  <c r="O40" i="4" a="1"/>
  <c r="S40" i="4" a="1"/>
  <c r="W40" i="4" a="1"/>
  <c r="Q41" i="4" a="1"/>
  <c r="U41" i="4" a="1"/>
  <c r="O42" i="4" a="1"/>
  <c r="S42" i="4" a="1"/>
  <c r="W42" i="4" a="1"/>
  <c r="Q43" i="4" a="1"/>
  <c r="U43" i="4" a="1"/>
  <c r="O44" i="4" a="1"/>
  <c r="S44" i="4" a="1"/>
  <c r="W44" i="4" a="1"/>
  <c r="T42" i="4" a="1"/>
  <c r="P44" i="4" a="1"/>
  <c r="T44" i="4" a="1"/>
  <c r="U38" i="4" a="1"/>
  <c r="W39" i="4" a="1"/>
  <c r="O41" i="4" a="1"/>
  <c r="Q42" i="4" a="1"/>
  <c r="O43" i="4" a="1"/>
  <c r="U44" i="4" a="1"/>
  <c r="R38" i="4" a="1"/>
  <c r="T39" i="4" a="1"/>
  <c r="V40" i="4" a="1"/>
  <c r="X41" i="4" a="1"/>
  <c r="P43" i="4" a="1"/>
  <c r="R44" i="4" a="1"/>
  <c r="T38" i="4" a="1"/>
  <c r="R43" i="4" a="1"/>
  <c r="O39" i="4" a="1"/>
  <c r="Q40" i="4" a="1"/>
  <c r="S41" i="4" a="1"/>
  <c r="U42" i="4" a="1"/>
  <c r="W43" i="4" a="1"/>
  <c r="V38" i="4" a="1"/>
  <c r="X39" i="4" a="1"/>
  <c r="P41" i="4" a="1"/>
  <c r="R42" i="4" a="1"/>
  <c r="T43" i="4" a="1"/>
  <c r="V44" i="4" a="1"/>
  <c r="P38" i="4" a="1"/>
  <c r="X38" i="4" a="1"/>
  <c r="R39" i="4" a="1"/>
  <c r="V39" i="4" a="1"/>
  <c r="P40" i="4" a="1"/>
  <c r="T40" i="4" a="1"/>
  <c r="X40" i="4" a="1"/>
  <c r="R41" i="4" a="1"/>
  <c r="V41" i="4" a="1"/>
  <c r="P42" i="4" a="1"/>
  <c r="X42" i="4" a="1"/>
  <c r="V43" i="4" a="1"/>
  <c r="X44" i="4" a="1"/>
  <c r="S39" i="4" a="1"/>
  <c r="U40" i="4" a="1"/>
  <c r="W41" i="4" a="1"/>
  <c r="S43" i="4" a="1"/>
  <c r="Q44" i="4" a="1"/>
  <c r="P39" i="4" a="1"/>
  <c r="R40" i="4" a="1"/>
  <c r="T41" i="4" a="1"/>
  <c r="V42" i="4" a="1"/>
  <c r="X43" i="4" a="1"/>
  <c r="Q38" i="4" a="1"/>
  <c r="V37" i="4" a="1"/>
  <c r="X37" i="4" a="1"/>
  <c r="W37" i="4" a="1"/>
  <c r="Q37" i="4" a="1"/>
  <c r="U37" i="4" a="1"/>
  <c r="R37" i="4" a="1"/>
  <c r="S37" i="4" a="1"/>
  <c r="P37" i="4" a="1"/>
  <c r="T37" i="4" a="1"/>
  <c r="O26" i="4" a="1"/>
  <c r="S26" i="4" a="1"/>
  <c r="W26" i="4" a="1"/>
  <c r="Q27" i="4" a="1"/>
  <c r="U27" i="4" a="1"/>
  <c r="O28" i="4" a="1"/>
  <c r="S28" i="4" a="1"/>
  <c r="W28" i="4" a="1"/>
  <c r="Q29" i="4" a="1"/>
  <c r="U29" i="4" a="1"/>
  <c r="O30" i="4" a="1"/>
  <c r="S30" i="4" a="1"/>
  <c r="W30" i="4" a="1"/>
  <c r="Q31" i="4" a="1"/>
  <c r="U31" i="4" a="1"/>
  <c r="O32" i="4" a="1"/>
  <c r="S32" i="4" a="1"/>
  <c r="W32" i="4" a="1"/>
  <c r="P26" i="4" a="1"/>
  <c r="T26" i="4" a="1"/>
  <c r="X26" i="4" a="1"/>
  <c r="R27" i="4" a="1"/>
  <c r="V27" i="4" a="1"/>
  <c r="P28" i="4" a="1"/>
  <c r="T28" i="4" a="1"/>
  <c r="X28" i="4" a="1"/>
  <c r="R29" i="4" a="1"/>
  <c r="V29" i="4" a="1"/>
  <c r="P30" i="4" a="1"/>
  <c r="T30" i="4" a="1"/>
  <c r="X30" i="4" a="1"/>
  <c r="R31" i="4" a="1"/>
  <c r="V31" i="4" a="1"/>
  <c r="P32" i="4" a="1"/>
  <c r="T32" i="4" a="1"/>
  <c r="X32" i="4" a="1"/>
  <c r="Q26" i="4" a="1"/>
  <c r="U26" i="4" a="1"/>
  <c r="O27" i="4" a="1"/>
  <c r="S27" i="4" a="1"/>
  <c r="W27" i="4" a="1"/>
  <c r="Q28" i="4" a="1"/>
  <c r="U28" i="4" a="1"/>
  <c r="O29" i="4" a="1"/>
  <c r="S29" i="4" a="1"/>
  <c r="W29" i="4" a="1"/>
  <c r="Q30" i="4" a="1"/>
  <c r="U30" i="4" a="1"/>
  <c r="O31" i="4" a="1"/>
  <c r="S31" i="4" a="1"/>
  <c r="W31" i="4" a="1"/>
  <c r="Q32" i="4" a="1"/>
  <c r="U32" i="4" a="1"/>
  <c r="R26" i="4" a="1"/>
  <c r="X27" i="4" a="1"/>
  <c r="T29" i="4" a="1"/>
  <c r="P31" i="4" a="1"/>
  <c r="R32" i="4" a="1"/>
  <c r="V26" i="4" a="1"/>
  <c r="R28" i="4" a="1"/>
  <c r="X29" i="4" a="1"/>
  <c r="T31" i="4" a="1"/>
  <c r="V32" i="4" a="1"/>
  <c r="P27" i="4" a="1"/>
  <c r="V28" i="4" a="1"/>
  <c r="R30" i="4" a="1"/>
  <c r="X31" i="4" a="1"/>
  <c r="T27" i="4" a="1"/>
  <c r="P29" i="4" a="1"/>
  <c r="V30" i="4" a="1"/>
  <c r="P25" i="4" a="1"/>
  <c r="T25" i="4" a="1"/>
  <c r="X25" i="4" a="1"/>
  <c r="Q25" i="4" a="1"/>
  <c r="U25" i="4" a="1"/>
  <c r="R25" i="4" a="1"/>
  <c r="V25" i="4" a="1"/>
  <c r="S25" i="4" a="1"/>
  <c r="W25" i="4" a="1"/>
  <c r="O25" i="4" a="1"/>
  <c r="U79" i="4" l="1"/>
  <c r="W74" i="4"/>
  <c r="O80" i="4"/>
  <c r="S78" i="4"/>
  <c r="Q77" i="4"/>
  <c r="O76" i="4"/>
  <c r="Q75" i="4"/>
  <c r="V80" i="4"/>
  <c r="T79" i="4"/>
  <c r="V78" i="4"/>
  <c r="T77" i="4"/>
  <c r="R76" i="4"/>
  <c r="X75" i="4"/>
  <c r="T75" i="4"/>
  <c r="V74" i="4"/>
  <c r="R74" i="4"/>
  <c r="W80" i="4"/>
  <c r="Q79" i="4"/>
  <c r="O78" i="4"/>
  <c r="W76" i="4"/>
  <c r="U75" i="4"/>
  <c r="S74" i="4"/>
  <c r="X79" i="4"/>
  <c r="R78" i="4"/>
  <c r="V76" i="4"/>
  <c r="P75" i="4"/>
  <c r="U80" i="4"/>
  <c r="Q80" i="4"/>
  <c r="W79" i="4"/>
  <c r="S79" i="4"/>
  <c r="O79" i="4"/>
  <c r="U78" i="4"/>
  <c r="Q78" i="4"/>
  <c r="W77" i="4"/>
  <c r="S77" i="4"/>
  <c r="O77" i="4"/>
  <c r="U76" i="4"/>
  <c r="Q76" i="4"/>
  <c r="W75" i="4"/>
  <c r="S75" i="4"/>
  <c r="O75" i="4"/>
  <c r="U74" i="4"/>
  <c r="Q74" i="4"/>
  <c r="S80" i="4"/>
  <c r="W78" i="4"/>
  <c r="U77" i="4"/>
  <c r="S76" i="4"/>
  <c r="O74" i="4"/>
  <c r="R80" i="4"/>
  <c r="P79" i="4"/>
  <c r="X77" i="4"/>
  <c r="P77" i="4"/>
  <c r="X80" i="4"/>
  <c r="T80" i="4"/>
  <c r="P80" i="4"/>
  <c r="V79" i="4"/>
  <c r="R79" i="4"/>
  <c r="X78" i="4"/>
  <c r="T78" i="4"/>
  <c r="P78" i="4"/>
  <c r="V77" i="4"/>
  <c r="R77" i="4"/>
  <c r="X76" i="4"/>
  <c r="T76" i="4"/>
  <c r="P76" i="4"/>
  <c r="V75" i="4"/>
  <c r="R75" i="4"/>
  <c r="X74" i="4"/>
  <c r="T74" i="4"/>
  <c r="P74" i="4"/>
  <c r="R73" i="4"/>
  <c r="W73" i="4"/>
  <c r="V73" i="4"/>
  <c r="Q73" i="4"/>
  <c r="S73" i="4"/>
  <c r="U73" i="4"/>
  <c r="X73" i="4"/>
  <c r="T73" i="4"/>
  <c r="P73" i="4"/>
  <c r="U68" i="4"/>
  <c r="S65" i="4"/>
  <c r="O63" i="4"/>
  <c r="R68" i="4"/>
  <c r="P67" i="4"/>
  <c r="X65" i="4"/>
  <c r="T65" i="4"/>
  <c r="V64" i="4"/>
  <c r="R64" i="4"/>
  <c r="X63" i="4"/>
  <c r="T63" i="4"/>
  <c r="P63" i="4"/>
  <c r="R62" i="4"/>
  <c r="W67" i="4"/>
  <c r="U66" i="4"/>
  <c r="O65" i="4"/>
  <c r="Q64" i="4"/>
  <c r="Q62" i="4"/>
  <c r="S68" i="4"/>
  <c r="V68" i="4"/>
  <c r="X67" i="4"/>
  <c r="T67" i="4"/>
  <c r="V66" i="4"/>
  <c r="R66" i="4"/>
  <c r="P65" i="4"/>
  <c r="V62" i="4"/>
  <c r="Q68" i="4"/>
  <c r="O67" i="4"/>
  <c r="W65" i="4"/>
  <c r="U64" i="4"/>
  <c r="U62" i="4"/>
  <c r="T68" i="4"/>
  <c r="P68" i="4"/>
  <c r="R67" i="4"/>
  <c r="X66" i="4"/>
  <c r="T66" i="4"/>
  <c r="V65" i="4"/>
  <c r="R65" i="4"/>
  <c r="T64" i="4"/>
  <c r="P64" i="4"/>
  <c r="V63" i="4"/>
  <c r="X62" i="4"/>
  <c r="P62" i="4"/>
  <c r="Q66" i="4"/>
  <c r="S63" i="4"/>
  <c r="X68" i="4"/>
  <c r="V67" i="4"/>
  <c r="P66" i="4"/>
  <c r="X64" i="4"/>
  <c r="R63" i="4"/>
  <c r="T62" i="4"/>
  <c r="S67" i="4"/>
  <c r="W63" i="4"/>
  <c r="W68" i="4"/>
  <c r="O68" i="4"/>
  <c r="U67" i="4"/>
  <c r="Q67" i="4"/>
  <c r="W66" i="4"/>
  <c r="S66" i="4"/>
  <c r="O66" i="4"/>
  <c r="U65" i="4"/>
  <c r="Q65" i="4"/>
  <c r="W64" i="4"/>
  <c r="S64" i="4"/>
  <c r="O64" i="4"/>
  <c r="U63" i="4"/>
  <c r="Q63" i="4"/>
  <c r="W62" i="4"/>
  <c r="S62" i="4"/>
  <c r="O62" i="4"/>
  <c r="P61" i="4"/>
  <c r="T61" i="4"/>
  <c r="X61" i="4"/>
  <c r="W61" i="4"/>
  <c r="S61" i="4"/>
  <c r="V61" i="4"/>
  <c r="R61" i="4"/>
  <c r="U61" i="4"/>
  <c r="Q61" i="4"/>
  <c r="O73" i="4"/>
  <c r="O61" i="4"/>
  <c r="O49" i="4"/>
  <c r="S56" i="4"/>
  <c r="S54" i="4"/>
  <c r="Q53" i="4"/>
  <c r="S52" i="4"/>
  <c r="Q51" i="4"/>
  <c r="V56" i="4"/>
  <c r="T55" i="4"/>
  <c r="P55" i="4"/>
  <c r="V54" i="4"/>
  <c r="R54" i="4"/>
  <c r="X53" i="4"/>
  <c r="T53" i="4"/>
  <c r="P53" i="4"/>
  <c r="V52" i="4"/>
  <c r="R52" i="4"/>
  <c r="X51" i="4"/>
  <c r="T51" i="4"/>
  <c r="P51" i="4"/>
  <c r="V50" i="4"/>
  <c r="R50" i="4"/>
  <c r="Q50" i="4"/>
  <c r="W56" i="4"/>
  <c r="O51" i="4"/>
  <c r="U55" i="4"/>
  <c r="W54" i="4"/>
  <c r="U53" i="4"/>
  <c r="O52" i="4"/>
  <c r="W50" i="4"/>
  <c r="R56" i="4"/>
  <c r="U56" i="4"/>
  <c r="W55" i="4"/>
  <c r="O55" i="4"/>
  <c r="Q54" i="4"/>
  <c r="S53" i="4"/>
  <c r="U52" i="4"/>
  <c r="Q52" i="4"/>
  <c r="S51" i="4"/>
  <c r="U50" i="4"/>
  <c r="X56" i="4"/>
  <c r="T56" i="4"/>
  <c r="V55" i="4"/>
  <c r="R55" i="4"/>
  <c r="X54" i="4"/>
  <c r="T54" i="4"/>
  <c r="P54" i="4"/>
  <c r="V53" i="4"/>
  <c r="R53" i="4"/>
  <c r="X52" i="4"/>
  <c r="T52" i="4"/>
  <c r="P52" i="4"/>
  <c r="V51" i="4"/>
  <c r="R51" i="4"/>
  <c r="X50" i="4"/>
  <c r="T50" i="4"/>
  <c r="P50" i="4"/>
  <c r="O56" i="4"/>
  <c r="Q55" i="4"/>
  <c r="O54" i="4"/>
  <c r="W52" i="4"/>
  <c r="U51" i="4"/>
  <c r="S50" i="4"/>
  <c r="X55" i="4"/>
  <c r="Q56" i="4"/>
  <c r="S55" i="4"/>
  <c r="U54" i="4"/>
  <c r="W53" i="4"/>
  <c r="O53" i="4"/>
  <c r="W51" i="4"/>
  <c r="P56" i="4"/>
  <c r="O50" i="4"/>
  <c r="Q49" i="4"/>
  <c r="W49" i="4"/>
  <c r="S49" i="4"/>
  <c r="V49" i="4"/>
  <c r="R49" i="4"/>
  <c r="U49" i="4"/>
  <c r="X49" i="4"/>
  <c r="T49" i="4"/>
  <c r="P49" i="4"/>
  <c r="O37" i="4"/>
  <c r="Q38" i="4"/>
  <c r="X43" i="4"/>
  <c r="V42" i="4"/>
  <c r="T41" i="4"/>
  <c r="R40" i="4"/>
  <c r="P39" i="4"/>
  <c r="Q44" i="4"/>
  <c r="S43" i="4"/>
  <c r="W41" i="4"/>
  <c r="U40" i="4"/>
  <c r="S39" i="4"/>
  <c r="X44" i="4"/>
  <c r="V43" i="4"/>
  <c r="X42" i="4"/>
  <c r="P42" i="4"/>
  <c r="V41" i="4"/>
  <c r="R41" i="4"/>
  <c r="X40" i="4"/>
  <c r="T40" i="4"/>
  <c r="P40" i="4"/>
  <c r="V39" i="4"/>
  <c r="R39" i="4"/>
  <c r="X38" i="4"/>
  <c r="P38" i="4"/>
  <c r="V44" i="4"/>
  <c r="T43" i="4"/>
  <c r="R42" i="4"/>
  <c r="P41" i="4"/>
  <c r="X39" i="4"/>
  <c r="V38" i="4"/>
  <c r="W43" i="4"/>
  <c r="U42" i="4"/>
  <c r="S41" i="4"/>
  <c r="Q40" i="4"/>
  <c r="O39" i="4"/>
  <c r="R43" i="4"/>
  <c r="T38" i="4"/>
  <c r="R44" i="4"/>
  <c r="P43" i="4"/>
  <c r="X41" i="4"/>
  <c r="V40" i="4"/>
  <c r="T39" i="4"/>
  <c r="R38" i="4"/>
  <c r="U44" i="4"/>
  <c r="O43" i="4"/>
  <c r="Q42" i="4"/>
  <c r="O41" i="4"/>
  <c r="W39" i="4"/>
  <c r="U38" i="4"/>
  <c r="T44" i="4"/>
  <c r="P44" i="4"/>
  <c r="T42" i="4"/>
  <c r="W44" i="4"/>
  <c r="S44" i="4"/>
  <c r="O44" i="4"/>
  <c r="U43" i="4"/>
  <c r="Q43" i="4"/>
  <c r="W42" i="4"/>
  <c r="S42" i="4"/>
  <c r="O42" i="4"/>
  <c r="U41" i="4"/>
  <c r="Q41" i="4"/>
  <c r="W40" i="4"/>
  <c r="S40" i="4"/>
  <c r="O40" i="4"/>
  <c r="U39" i="4"/>
  <c r="Q39" i="4"/>
  <c r="W38" i="4"/>
  <c r="S38" i="4"/>
  <c r="O38" i="4"/>
  <c r="W37" i="4"/>
  <c r="X37" i="4"/>
  <c r="V37" i="4"/>
  <c r="T37" i="4"/>
  <c r="P37" i="4"/>
  <c r="S37" i="4"/>
  <c r="R37" i="4"/>
  <c r="U37" i="4"/>
  <c r="Q37" i="4"/>
  <c r="V30" i="4"/>
  <c r="P29" i="4"/>
  <c r="T27" i="4"/>
  <c r="X31" i="4"/>
  <c r="R30" i="4"/>
  <c r="V28" i="4"/>
  <c r="P27" i="4"/>
  <c r="V32" i="4"/>
  <c r="T31" i="4"/>
  <c r="X29" i="4"/>
  <c r="R28" i="4"/>
  <c r="V26" i="4"/>
  <c r="R32" i="4"/>
  <c r="P31" i="4"/>
  <c r="T29" i="4"/>
  <c r="X27" i="4"/>
  <c r="R26" i="4"/>
  <c r="U32" i="4"/>
  <c r="Q32" i="4"/>
  <c r="W31" i="4"/>
  <c r="S31" i="4"/>
  <c r="O31" i="4"/>
  <c r="U30" i="4"/>
  <c r="Q30" i="4"/>
  <c r="W29" i="4"/>
  <c r="S29" i="4"/>
  <c r="O29" i="4"/>
  <c r="U28" i="4"/>
  <c r="Q28" i="4"/>
  <c r="W27" i="4"/>
  <c r="S27" i="4"/>
  <c r="O27" i="4"/>
  <c r="U26" i="4"/>
  <c r="Q26" i="4"/>
  <c r="X32" i="4"/>
  <c r="T32" i="4"/>
  <c r="P32" i="4"/>
  <c r="V31" i="4"/>
  <c r="R31" i="4"/>
  <c r="X30" i="4"/>
  <c r="T30" i="4"/>
  <c r="P30" i="4"/>
  <c r="V29" i="4"/>
  <c r="R29" i="4"/>
  <c r="X28" i="4"/>
  <c r="T28" i="4"/>
  <c r="P28" i="4"/>
  <c r="V27" i="4"/>
  <c r="R27" i="4"/>
  <c r="X26" i="4"/>
  <c r="T26" i="4"/>
  <c r="P26" i="4"/>
  <c r="W32" i="4"/>
  <c r="S32" i="4"/>
  <c r="O32" i="4"/>
  <c r="U31" i="4"/>
  <c r="Q31" i="4"/>
  <c r="W30" i="4"/>
  <c r="S30" i="4"/>
  <c r="O30" i="4"/>
  <c r="U29" i="4"/>
  <c r="Q29" i="4"/>
  <c r="W28" i="4"/>
  <c r="S28" i="4"/>
  <c r="O28" i="4"/>
  <c r="U27" i="4"/>
  <c r="Q27" i="4"/>
  <c r="W26" i="4"/>
  <c r="S26" i="4"/>
  <c r="O26" i="4"/>
  <c r="W25" i="4"/>
  <c r="S25" i="4"/>
  <c r="V25" i="4"/>
  <c r="R25" i="4"/>
  <c r="U25" i="4"/>
  <c r="Q25" i="4"/>
  <c r="X25" i="4"/>
  <c r="T25" i="4"/>
  <c r="P25" i="4"/>
  <c r="O25" i="4"/>
  <c r="J72" i="4" l="1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5" i="4"/>
  <c r="AO91" i="2"/>
  <c r="AO92" i="2" s="1"/>
  <c r="AO93" i="2" s="1"/>
  <c r="AO94" i="2" s="1"/>
  <c r="AO95" i="2" s="1"/>
  <c r="AO96" i="2" s="1"/>
  <c r="AO97" i="2" s="1"/>
  <c r="AO98" i="2" s="1"/>
  <c r="AO99" i="2" s="1"/>
  <c r="AO100" i="2" s="1"/>
  <c r="AO101" i="2" s="1"/>
  <c r="AO102" i="2" s="1"/>
  <c r="AO103" i="2" s="1"/>
  <c r="AO104" i="2" s="1"/>
  <c r="AO105" i="2" s="1"/>
  <c r="AO106" i="2" s="1"/>
  <c r="W91" i="2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E91" i="2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AQ89" i="2"/>
  <c r="AR89" i="2" s="1"/>
  <c r="AS89" i="2" s="1"/>
  <c r="AT89" i="2" s="1"/>
  <c r="AU89" i="2" s="1"/>
  <c r="AV89" i="2" s="1"/>
  <c r="AW89" i="2" s="1"/>
  <c r="AX89" i="2" s="1"/>
  <c r="AY89" i="2" s="1"/>
  <c r="AZ89" i="2" s="1"/>
  <c r="BA89" i="2" s="1"/>
  <c r="BB89" i="2" s="1"/>
  <c r="BC89" i="2" s="1"/>
  <c r="Y89" i="2"/>
  <c r="Z89" i="2" s="1"/>
  <c r="AA89" i="2" s="1"/>
  <c r="AB89" i="2" s="1"/>
  <c r="AC89" i="2" s="1"/>
  <c r="AD89" i="2" s="1"/>
  <c r="AE89" i="2" s="1"/>
  <c r="AF89" i="2" s="1"/>
  <c r="AG89" i="2" s="1"/>
  <c r="AH89" i="2" s="1"/>
  <c r="AI89" i="2" s="1"/>
  <c r="AJ89" i="2" s="1"/>
  <c r="AK89" i="2" s="1"/>
  <c r="G89" i="2"/>
  <c r="H89" i="2" s="1"/>
  <c r="I89" i="2" s="1"/>
  <c r="J89" i="2" s="1"/>
  <c r="K89" i="2" s="1"/>
  <c r="L89" i="2" s="1"/>
  <c r="M89" i="2" s="1"/>
  <c r="N89" i="2" s="1"/>
  <c r="O89" i="2" s="1"/>
  <c r="P89" i="2" s="1"/>
  <c r="Q89" i="2" s="1"/>
  <c r="R89" i="2" s="1"/>
  <c r="S89" i="2" s="1"/>
  <c r="AO52" i="2"/>
  <c r="AO53" i="2" s="1"/>
  <c r="AO54" i="2" s="1"/>
  <c r="AO55" i="2" s="1"/>
  <c r="AO56" i="2" s="1"/>
  <c r="AO57" i="2" s="1"/>
  <c r="AO58" i="2" s="1"/>
  <c r="AO59" i="2" s="1"/>
  <c r="AO60" i="2" s="1"/>
  <c r="AO61" i="2" s="1"/>
  <c r="AO62" i="2" s="1"/>
  <c r="AO63" i="2" s="1"/>
  <c r="AO64" i="2" s="1"/>
  <c r="AO65" i="2" s="1"/>
  <c r="AO66" i="2" s="1"/>
  <c r="AO67" i="2" s="1"/>
  <c r="W52" i="2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E52" i="2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AQ50" i="2"/>
  <c r="AR50" i="2" s="1"/>
  <c r="AS50" i="2" s="1"/>
  <c r="AT50" i="2" s="1"/>
  <c r="AU50" i="2" s="1"/>
  <c r="AV50" i="2" s="1"/>
  <c r="AW50" i="2" s="1"/>
  <c r="AX50" i="2" s="1"/>
  <c r="AY50" i="2" s="1"/>
  <c r="AZ50" i="2" s="1"/>
  <c r="BA50" i="2" s="1"/>
  <c r="BB50" i="2" s="1"/>
  <c r="BC50" i="2" s="1"/>
  <c r="Y50" i="2"/>
  <c r="Z50" i="2" s="1"/>
  <c r="AA50" i="2" s="1"/>
  <c r="AB50" i="2" s="1"/>
  <c r="AC50" i="2" s="1"/>
  <c r="AD50" i="2" s="1"/>
  <c r="AE50" i="2" s="1"/>
  <c r="AF50" i="2" s="1"/>
  <c r="AG50" i="2" s="1"/>
  <c r="AH50" i="2" s="1"/>
  <c r="AI50" i="2" s="1"/>
  <c r="AJ50" i="2" s="1"/>
  <c r="AK50" i="2" s="1"/>
  <c r="G50" i="2"/>
  <c r="H50" i="2" s="1"/>
  <c r="I50" i="2" s="1"/>
  <c r="J50" i="2" s="1"/>
  <c r="K50" i="2" s="1"/>
  <c r="L50" i="2" s="1"/>
  <c r="M50" i="2" s="1"/>
  <c r="N50" i="2" s="1"/>
  <c r="O50" i="2" s="1"/>
  <c r="P50" i="2" s="1"/>
  <c r="Q50" i="2" s="1"/>
  <c r="R50" i="2" s="1"/>
  <c r="S50" i="2" s="1"/>
  <c r="E15" i="2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AO12" i="2"/>
  <c r="AO13" i="2" s="1"/>
  <c r="AO14" i="2" s="1"/>
  <c r="AO15" i="2" s="1"/>
  <c r="AO16" i="2" s="1"/>
  <c r="AO17" i="2" s="1"/>
  <c r="AO18" i="2" s="1"/>
  <c r="AO19" i="2" s="1"/>
  <c r="AO20" i="2" s="1"/>
  <c r="AO21" i="2" s="1"/>
  <c r="AO22" i="2" s="1"/>
  <c r="AO23" i="2" s="1"/>
  <c r="AO24" i="2" s="1"/>
  <c r="AO25" i="2" s="1"/>
  <c r="AO26" i="2" s="1"/>
  <c r="AO27" i="2" s="1"/>
  <c r="W12" i="2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E12" i="2"/>
  <c r="E13" i="2" s="1"/>
  <c r="E14" i="2" s="1"/>
  <c r="AQ10" i="2"/>
  <c r="AR10" i="2" s="1"/>
  <c r="AS10" i="2" s="1"/>
  <c r="AT10" i="2" s="1"/>
  <c r="AU10" i="2" s="1"/>
  <c r="AV10" i="2" s="1"/>
  <c r="AW10" i="2" s="1"/>
  <c r="AX10" i="2" s="1"/>
  <c r="AY10" i="2" s="1"/>
  <c r="AZ10" i="2" s="1"/>
  <c r="BA10" i="2" s="1"/>
  <c r="BB10" i="2" s="1"/>
  <c r="BC10" i="2" s="1"/>
  <c r="Y10" i="2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AK10" i="2" s="1"/>
  <c r="G10" i="2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AP91" i="2" a="1"/>
  <c r="AT91" i="2" a="1"/>
  <c r="AX91" i="2" a="1"/>
  <c r="BB91" i="2" a="1"/>
  <c r="AR92" i="2" a="1"/>
  <c r="AV92" i="2" a="1"/>
  <c r="AZ92" i="2" a="1"/>
  <c r="AP93" i="2" a="1"/>
  <c r="AT93" i="2" a="1"/>
  <c r="AX93" i="2" a="1"/>
  <c r="BB93" i="2" a="1"/>
  <c r="AR94" i="2" a="1"/>
  <c r="AV94" i="2" a="1"/>
  <c r="AZ94" i="2" a="1"/>
  <c r="AP95" i="2" a="1"/>
  <c r="AT95" i="2" a="1"/>
  <c r="AX95" i="2" a="1"/>
  <c r="BB95" i="2" a="1"/>
  <c r="AR96" i="2" a="1"/>
  <c r="AV96" i="2" a="1"/>
  <c r="AZ96" i="2" a="1"/>
  <c r="AP97" i="2" a="1"/>
  <c r="AT97" i="2" a="1"/>
  <c r="AX97" i="2" a="1"/>
  <c r="BB97" i="2" a="1"/>
  <c r="AR98" i="2" a="1"/>
  <c r="AV98" i="2" a="1"/>
  <c r="AP99" i="2" a="1"/>
  <c r="AT99" i="2" a="1"/>
  <c r="AX99" i="2" a="1"/>
  <c r="BB99" i="2" a="1"/>
  <c r="AR100" i="2" a="1"/>
  <c r="AV100" i="2" a="1"/>
  <c r="AZ100" i="2" a="1"/>
  <c r="AP101" i="2" a="1"/>
  <c r="AT101" i="2" a="1"/>
  <c r="AX101" i="2" a="1"/>
  <c r="BB101" i="2" a="1"/>
  <c r="AR102" i="2" a="1"/>
  <c r="AV102" i="2" a="1"/>
  <c r="AP103" i="2" a="1"/>
  <c r="AT103" i="2" a="1"/>
  <c r="BB103" i="2" a="1"/>
  <c r="AV104" i="2" a="1"/>
  <c r="AP105" i="2" a="1"/>
  <c r="BB105" i="2" a="1"/>
  <c r="AV106" i="2" a="1"/>
  <c r="AT102" i="2" a="1"/>
  <c r="AV105" i="2" a="1"/>
  <c r="AT106" i="2" a="1"/>
  <c r="BB106" i="2" a="1"/>
  <c r="AS97" i="2" a="1"/>
  <c r="BA99" i="2" a="1"/>
  <c r="AR91" i="2" a="1"/>
  <c r="AV91" i="2" a="1"/>
  <c r="AZ91" i="2" a="1"/>
  <c r="AP92" i="2" a="1"/>
  <c r="AT92" i="2" a="1"/>
  <c r="AX92" i="2" a="1"/>
  <c r="BB92" i="2" a="1"/>
  <c r="AR93" i="2" a="1"/>
  <c r="AV93" i="2" a="1"/>
  <c r="AZ93" i="2" a="1"/>
  <c r="AP94" i="2" a="1"/>
  <c r="AT94" i="2" a="1"/>
  <c r="AX94" i="2" a="1"/>
  <c r="BB94" i="2" a="1"/>
  <c r="AR95" i="2" a="1"/>
  <c r="AV95" i="2" a="1"/>
  <c r="AZ95" i="2" a="1"/>
  <c r="AP96" i="2" a="1"/>
  <c r="AT96" i="2" a="1"/>
  <c r="AX96" i="2" a="1"/>
  <c r="BB96" i="2" a="1"/>
  <c r="AR97" i="2" a="1"/>
  <c r="AV97" i="2" a="1"/>
  <c r="AZ97" i="2" a="1"/>
  <c r="AP98" i="2" a="1"/>
  <c r="AT98" i="2" a="1"/>
  <c r="AX98" i="2" a="1"/>
  <c r="BB98" i="2" a="1"/>
  <c r="AR99" i="2" a="1"/>
  <c r="AV99" i="2" a="1"/>
  <c r="AZ99" i="2" a="1"/>
  <c r="AP100" i="2" a="1"/>
  <c r="AT100" i="2" a="1"/>
  <c r="AX100" i="2" a="1"/>
  <c r="BB100" i="2" a="1"/>
  <c r="AR101" i="2" a="1"/>
  <c r="AV101" i="2" a="1"/>
  <c r="AZ101" i="2" a="1"/>
  <c r="AP102" i="2" a="1"/>
  <c r="AX102" i="2" a="1"/>
  <c r="BB102" i="2" a="1"/>
  <c r="AR103" i="2" a="1"/>
  <c r="AV103" i="2" a="1"/>
  <c r="AZ103" i="2" a="1"/>
  <c r="AP104" i="2" a="1"/>
  <c r="AT104" i="2" a="1"/>
  <c r="AX104" i="2" a="1"/>
  <c r="BB104" i="2" a="1"/>
  <c r="AR105" i="2" a="1"/>
  <c r="AZ105" i="2" a="1"/>
  <c r="AP106" i="2" a="1"/>
  <c r="AX106" i="2" a="1"/>
  <c r="AU96" i="2" a="1"/>
  <c r="BA97" i="2" a="1"/>
  <c r="AU98" i="2" a="1"/>
  <c r="BC98" i="2" a="1"/>
  <c r="AW99" i="2" a="1"/>
  <c r="AU100" i="2" a="1"/>
  <c r="AS91" i="2" a="1"/>
  <c r="AW91" i="2" a="1"/>
  <c r="BA91" i="2" a="1"/>
  <c r="AQ92" i="2" a="1"/>
  <c r="AU92" i="2" a="1"/>
  <c r="AY92" i="2" a="1"/>
  <c r="BC92" i="2" a="1"/>
  <c r="AS93" i="2" a="1"/>
  <c r="AW93" i="2" a="1"/>
  <c r="BA93" i="2" a="1"/>
  <c r="AQ94" i="2" a="1"/>
  <c r="AU94" i="2" a="1"/>
  <c r="AY94" i="2" a="1"/>
  <c r="BC94" i="2" a="1"/>
  <c r="AS95" i="2" a="1"/>
  <c r="AW95" i="2" a="1"/>
  <c r="BA95" i="2" a="1"/>
  <c r="AQ96" i="2" a="1"/>
  <c r="AY96" i="2" a="1"/>
  <c r="BC96" i="2" a="1"/>
  <c r="AW97" i="2" a="1"/>
  <c r="AQ98" i="2" a="1"/>
  <c r="AY98" i="2" a="1"/>
  <c r="AS99" i="2" a="1"/>
  <c r="AQ100" i="2" a="1"/>
  <c r="AZ98" i="2" a="1"/>
  <c r="AZ102" i="2" a="1"/>
  <c r="AX103" i="2" a="1"/>
  <c r="AR104" i="2" a="1"/>
  <c r="AZ104" i="2" a="1"/>
  <c r="AT105" i="2" a="1"/>
  <c r="AX105" i="2" a="1"/>
  <c r="AR106" i="2" a="1"/>
  <c r="AZ106" i="2" a="1"/>
  <c r="AY91" i="2" a="1"/>
  <c r="BC93" i="2" a="1"/>
  <c r="AS96" i="2" a="1"/>
  <c r="AW98" i="2" a="1"/>
  <c r="AS101" i="2" a="1"/>
  <c r="BC101" i="2" a="1"/>
  <c r="AW103" i="2" a="1"/>
  <c r="AS104" i="2" a="1"/>
  <c r="BA105" i="2" a="1"/>
  <c r="AW106" i="2" a="1"/>
  <c r="BC91" i="2" a="1"/>
  <c r="AS94" i="2" a="1"/>
  <c r="AW96" i="2" a="1"/>
  <c r="BA98" i="2" a="1"/>
  <c r="AW100" i="2" a="1"/>
  <c r="AQ102" i="2" a="1"/>
  <c r="BA102" i="2" a="1"/>
  <c r="AU104" i="2" a="1"/>
  <c r="AQ105" i="2" a="1"/>
  <c r="AY106" i="2" a="1"/>
  <c r="AQ106" i="2" a="1"/>
  <c r="AQ95" i="2" a="1"/>
  <c r="AU105" i="2" a="1"/>
  <c r="AY93" i="2" a="1"/>
  <c r="AQ101" i="2" a="1"/>
  <c r="AY102" i="2" a="1"/>
  <c r="AY105" i="2" a="1"/>
  <c r="AS92" i="2" a="1"/>
  <c r="AW94" i="2" a="1"/>
  <c r="BA96" i="2" a="1"/>
  <c r="AQ99" i="2" a="1"/>
  <c r="AY100" i="2" a="1"/>
  <c r="AU101" i="2" a="1"/>
  <c r="BC102" i="2" a="1"/>
  <c r="AY103" i="2" a="1"/>
  <c r="AS105" i="2" a="1"/>
  <c r="BC105" i="2" a="1"/>
  <c r="AW92" i="2" a="1"/>
  <c r="BA94" i="2" a="1"/>
  <c r="AU99" i="2" a="1"/>
  <c r="AW101" i="2" a="1"/>
  <c r="AS102" i="2" a="1"/>
  <c r="BA103" i="2" a="1"/>
  <c r="AW104" i="2" a="1"/>
  <c r="BA100" i="2" a="1"/>
  <c r="AQ103" i="2" a="1"/>
  <c r="BC95" i="2" a="1"/>
  <c r="AS98" i="2" a="1"/>
  <c r="AU103" i="2" a="1"/>
  <c r="AQ97" i="2" a="1"/>
  <c r="BA106" i="2" a="1"/>
  <c r="BA92" i="2" a="1"/>
  <c r="AU97" i="2" a="1"/>
  <c r="AU102" i="2" a="1"/>
  <c r="AY104" i="2" a="1"/>
  <c r="BC106" i="2" a="1"/>
  <c r="AU91" i="2" a="1"/>
  <c r="AS100" i="2" a="1"/>
  <c r="BC104" i="2" a="1"/>
  <c r="AQ93" i="2" a="1"/>
  <c r="AU95" i="2" a="1"/>
  <c r="AY97" i="2" a="1"/>
  <c r="AY99" i="2" a="1"/>
  <c r="BC100" i="2" a="1"/>
  <c r="AY101" i="2" a="1"/>
  <c r="AS103" i="2" a="1"/>
  <c r="BC103" i="2" a="1"/>
  <c r="AW105" i="2" a="1"/>
  <c r="AS106" i="2" a="1"/>
  <c r="AQ91" i="2" a="1"/>
  <c r="AU93" i="2" a="1"/>
  <c r="AY95" i="2" a="1"/>
  <c r="BC97" i="2" a="1"/>
  <c r="BC99" i="2" a="1"/>
  <c r="BA101" i="2" a="1"/>
  <c r="AW102" i="2" a="1"/>
  <c r="AQ104" i="2" a="1"/>
  <c r="BA104" i="2" a="1"/>
  <c r="AU106" i="2" a="1"/>
  <c r="AQ90" i="2" a="1"/>
  <c r="AU90" i="2" a="1"/>
  <c r="AY90" i="2" a="1"/>
  <c r="BC90" i="2" a="1"/>
  <c r="AT90" i="2" a="1"/>
  <c r="AR90" i="2" a="1"/>
  <c r="AV90" i="2" a="1"/>
  <c r="AZ90" i="2" a="1"/>
  <c r="BB90" i="2" a="1"/>
  <c r="AX90" i="2" a="1"/>
  <c r="AS90" i="2" a="1"/>
  <c r="AW90" i="2" a="1"/>
  <c r="BA90" i="2" a="1"/>
  <c r="AP90" i="2" a="1"/>
  <c r="X91" i="2" a="1"/>
  <c r="AB91" i="2" a="1"/>
  <c r="AF91" i="2" a="1"/>
  <c r="AJ91" i="2" a="1"/>
  <c r="Z92" i="2" a="1"/>
  <c r="AD92" i="2" a="1"/>
  <c r="AH92" i="2" a="1"/>
  <c r="X93" i="2" a="1"/>
  <c r="AB93" i="2" a="1"/>
  <c r="AF93" i="2" a="1"/>
  <c r="AJ93" i="2" a="1"/>
  <c r="AD94" i="2" a="1"/>
  <c r="AH94" i="2" a="1"/>
  <c r="X95" i="2" a="1"/>
  <c r="AB95" i="2" a="1"/>
  <c r="AF95" i="2" a="1"/>
  <c r="AJ95" i="2" a="1"/>
  <c r="Z96" i="2" a="1"/>
  <c r="AH96" i="2" a="1"/>
  <c r="AB97" i="2" a="1"/>
  <c r="AJ97" i="2" a="1"/>
  <c r="AD98" i="2" a="1"/>
  <c r="X99" i="2" a="1"/>
  <c r="AJ99" i="2" a="1"/>
  <c r="AH100" i="2" a="1"/>
  <c r="AF101" i="2" a="1"/>
  <c r="Z102" i="2" a="1"/>
  <c r="AB103" i="2" a="1"/>
  <c r="Z104" i="2" a="1"/>
  <c r="X105" i="2" a="1"/>
  <c r="AJ105" i="2" a="1"/>
  <c r="AH106" i="2" a="1"/>
  <c r="Y91" i="2" a="1"/>
  <c r="AC91" i="2" a="1"/>
  <c r="AG91" i="2" a="1"/>
  <c r="AK91" i="2" a="1"/>
  <c r="AA92" i="2" a="1"/>
  <c r="AE92" i="2" a="1"/>
  <c r="AI92" i="2" a="1"/>
  <c r="Y93" i="2" a="1"/>
  <c r="AC93" i="2" a="1"/>
  <c r="AG93" i="2" a="1"/>
  <c r="AK93" i="2" a="1"/>
  <c r="AA94" i="2" a="1"/>
  <c r="AE94" i="2" a="1"/>
  <c r="AI94" i="2" a="1"/>
  <c r="Y95" i="2" a="1"/>
  <c r="AC95" i="2" a="1"/>
  <c r="AG95" i="2" a="1"/>
  <c r="AK95" i="2" a="1"/>
  <c r="AA96" i="2" a="1"/>
  <c r="AE96" i="2" a="1"/>
  <c r="AI96" i="2" a="1"/>
  <c r="Y97" i="2" a="1"/>
  <c r="AC97" i="2" a="1"/>
  <c r="AG97" i="2" a="1"/>
  <c r="AK97" i="2" a="1"/>
  <c r="AA98" i="2" a="1"/>
  <c r="AE98" i="2" a="1"/>
  <c r="AI98" i="2" a="1"/>
  <c r="Y99" i="2" a="1"/>
  <c r="AC99" i="2" a="1"/>
  <c r="AG99" i="2" a="1"/>
  <c r="AK99" i="2" a="1"/>
  <c r="AA100" i="2" a="1"/>
  <c r="AE100" i="2" a="1"/>
  <c r="AI100" i="2" a="1"/>
  <c r="Y101" i="2" a="1"/>
  <c r="AC101" i="2" a="1"/>
  <c r="AG101" i="2" a="1"/>
  <c r="AK101" i="2" a="1"/>
  <c r="AA102" i="2" a="1"/>
  <c r="AE102" i="2" a="1"/>
  <c r="AI102" i="2" a="1"/>
  <c r="Y103" i="2" a="1"/>
  <c r="AC103" i="2" a="1"/>
  <c r="AG103" i="2" a="1"/>
  <c r="AK103" i="2" a="1"/>
  <c r="Z91" i="2" a="1"/>
  <c r="AD91" i="2" a="1"/>
  <c r="AH91" i="2" a="1"/>
  <c r="X92" i="2" a="1"/>
  <c r="AB92" i="2" a="1"/>
  <c r="AF92" i="2" a="1"/>
  <c r="AJ92" i="2" a="1"/>
  <c r="Z93" i="2" a="1"/>
  <c r="AD93" i="2" a="1"/>
  <c r="AH93" i="2" a="1"/>
  <c r="X94" i="2" a="1"/>
  <c r="AB94" i="2" a="1"/>
  <c r="AF94" i="2" a="1"/>
  <c r="AJ94" i="2" a="1"/>
  <c r="Z95" i="2" a="1"/>
  <c r="AD95" i="2" a="1"/>
  <c r="AH95" i="2" a="1"/>
  <c r="X96" i="2" a="1"/>
  <c r="AB96" i="2" a="1"/>
  <c r="AF96" i="2" a="1"/>
  <c r="AJ96" i="2" a="1"/>
  <c r="Z97" i="2" a="1"/>
  <c r="AD97" i="2" a="1"/>
  <c r="AH97" i="2" a="1"/>
  <c r="X98" i="2" a="1"/>
  <c r="AB98" i="2" a="1"/>
  <c r="AF98" i="2" a="1"/>
  <c r="AJ98" i="2" a="1"/>
  <c r="Z99" i="2" a="1"/>
  <c r="AD99" i="2" a="1"/>
  <c r="AH99" i="2" a="1"/>
  <c r="X100" i="2" a="1"/>
  <c r="AB100" i="2" a="1"/>
  <c r="AF100" i="2" a="1"/>
  <c r="AJ100" i="2" a="1"/>
  <c r="Z101" i="2" a="1"/>
  <c r="AD101" i="2" a="1"/>
  <c r="AH101" i="2" a="1"/>
  <c r="X102" i="2" a="1"/>
  <c r="AB102" i="2" a="1"/>
  <c r="AF102" i="2" a="1"/>
  <c r="AJ102" i="2" a="1"/>
  <c r="Z103" i="2" a="1"/>
  <c r="AD103" i="2" a="1"/>
  <c r="AH103" i="2" a="1"/>
  <c r="X104" i="2" a="1"/>
  <c r="AB104" i="2" a="1"/>
  <c r="AF104" i="2" a="1"/>
  <c r="AJ104" i="2" a="1"/>
  <c r="Z105" i="2" a="1"/>
  <c r="AD105" i="2" a="1"/>
  <c r="AH105" i="2" a="1"/>
  <c r="X106" i="2" a="1"/>
  <c r="AB106" i="2" a="1"/>
  <c r="AF106" i="2" a="1"/>
  <c r="AJ106" i="2" a="1"/>
  <c r="Z94" i="2" a="1"/>
  <c r="AD96" i="2" a="1"/>
  <c r="X97" i="2" a="1"/>
  <c r="AF97" i="2" a="1"/>
  <c r="Z98" i="2" a="1"/>
  <c r="AH98" i="2" a="1"/>
  <c r="AB99" i="2" a="1"/>
  <c r="AF99" i="2" a="1"/>
  <c r="Z100" i="2" a="1"/>
  <c r="AD100" i="2" a="1"/>
  <c r="X101" i="2" a="1"/>
  <c r="AB101" i="2" a="1"/>
  <c r="AJ101" i="2" a="1"/>
  <c r="AD102" i="2" a="1"/>
  <c r="AH102" i="2" a="1"/>
  <c r="X103" i="2" a="1"/>
  <c r="AF103" i="2" a="1"/>
  <c r="AJ103" i="2" a="1"/>
  <c r="AD104" i="2" a="1"/>
  <c r="AH104" i="2" a="1"/>
  <c r="AB105" i="2" a="1"/>
  <c r="AF105" i="2" a="1"/>
  <c r="Z106" i="2" a="1"/>
  <c r="AD106" i="2" a="1"/>
  <c r="AE104" i="2" a="1"/>
  <c r="AE93" i="2" a="1"/>
  <c r="AI95" i="2" a="1"/>
  <c r="Y98" i="2" a="1"/>
  <c r="AE101" i="2" a="1"/>
  <c r="AA105" i="2" a="1"/>
  <c r="AA91" i="2" a="1"/>
  <c r="AC100" i="2" a="1"/>
  <c r="AI105" i="2" a="1"/>
  <c r="AE91" i="2" a="1"/>
  <c r="AG92" i="2" a="1"/>
  <c r="AI93" i="2" a="1"/>
  <c r="AK94" i="2" a="1"/>
  <c r="Y96" i="2" a="1"/>
  <c r="AA97" i="2" a="1"/>
  <c r="AC98" i="2" a="1"/>
  <c r="AE99" i="2" a="1"/>
  <c r="AG100" i="2" a="1"/>
  <c r="AI101" i="2" a="1"/>
  <c r="AK102" i="2" a="1"/>
  <c r="Y104" i="2" a="1"/>
  <c r="AI104" i="2" a="1"/>
  <c r="AC105" i="2" a="1"/>
  <c r="AK105" i="2" a="1"/>
  <c r="AE106" i="2" a="1"/>
  <c r="AC92" i="2" a="1"/>
  <c r="AK96" i="2" a="1"/>
  <c r="AG102" i="2" a="1"/>
  <c r="AG104" i="2" a="1"/>
  <c r="AC106" i="2" a="1"/>
  <c r="AI91" i="2" a="1"/>
  <c r="AK92" i="2" a="1"/>
  <c r="Y94" i="2" a="1"/>
  <c r="AA95" i="2" a="1"/>
  <c r="AC96" i="2" a="1"/>
  <c r="AE97" i="2" a="1"/>
  <c r="AG98" i="2" a="1"/>
  <c r="AI99" i="2" a="1"/>
  <c r="AK100" i="2" a="1"/>
  <c r="Y102" i="2" a="1"/>
  <c r="AA103" i="2" a="1"/>
  <c r="AA104" i="2" a="1"/>
  <c r="AK104" i="2" a="1"/>
  <c r="AE105" i="2" a="1"/>
  <c r="Y106" i="2" a="1"/>
  <c r="AG106" i="2" a="1"/>
  <c r="AC104" i="2" a="1"/>
  <c r="Y92" i="2" a="1"/>
  <c r="AA93" i="2" a="1"/>
  <c r="AC94" i="2" a="1"/>
  <c r="AE95" i="2" a="1"/>
  <c r="AG96" i="2" a="1"/>
  <c r="AI97" i="2" a="1"/>
  <c r="AK98" i="2" a="1"/>
  <c r="Y100" i="2" a="1"/>
  <c r="AA101" i="2" a="1"/>
  <c r="AC102" i="2" a="1"/>
  <c r="AE103" i="2" a="1"/>
  <c r="Y105" i="2" a="1"/>
  <c r="AG105" i="2" a="1"/>
  <c r="AA106" i="2" a="1"/>
  <c r="AI106" i="2" a="1"/>
  <c r="AG94" i="2" a="1"/>
  <c r="AA99" i="2" a="1"/>
  <c r="AI103" i="2" a="1"/>
  <c r="AK106" i="2" a="1"/>
  <c r="AA90" i="2" a="1"/>
  <c r="AE90" i="2" a="1"/>
  <c r="AI90" i="2" a="1"/>
  <c r="AB90" i="2" a="1"/>
  <c r="AF90" i="2" a="1"/>
  <c r="AJ90" i="2" a="1"/>
  <c r="Y90" i="2" a="1"/>
  <c r="AC90" i="2" a="1"/>
  <c r="AG90" i="2" a="1"/>
  <c r="AK90" i="2" a="1"/>
  <c r="Z90" i="2" a="1"/>
  <c r="AD90" i="2" a="1"/>
  <c r="AH90" i="2" a="1"/>
  <c r="X90" i="2" a="1"/>
  <c r="F90" i="2" a="1"/>
  <c r="F91" i="2" a="1"/>
  <c r="J91" i="2" a="1"/>
  <c r="G91" i="2" a="1"/>
  <c r="K91" i="2" a="1"/>
  <c r="O91" i="2" a="1"/>
  <c r="S91" i="2" a="1"/>
  <c r="I92" i="2" a="1"/>
  <c r="M92" i="2" a="1"/>
  <c r="Q92" i="2" a="1"/>
  <c r="G93" i="2" a="1"/>
  <c r="K93" i="2" a="1"/>
  <c r="O93" i="2" a="1"/>
  <c r="S93" i="2" a="1"/>
  <c r="I94" i="2" a="1"/>
  <c r="M94" i="2" a="1"/>
  <c r="Q94" i="2" a="1"/>
  <c r="G95" i="2" a="1"/>
  <c r="K95" i="2" a="1"/>
  <c r="O95" i="2" a="1"/>
  <c r="S95" i="2" a="1"/>
  <c r="I96" i="2" a="1"/>
  <c r="M96" i="2" a="1"/>
  <c r="Q96" i="2" a="1"/>
  <c r="G97" i="2" a="1"/>
  <c r="K97" i="2" a="1"/>
  <c r="O97" i="2" a="1"/>
  <c r="S97" i="2" a="1"/>
  <c r="I98" i="2" a="1"/>
  <c r="M98" i="2" a="1"/>
  <c r="Q98" i="2" a="1"/>
  <c r="G99" i="2" a="1"/>
  <c r="K99" i="2" a="1"/>
  <c r="O99" i="2" a="1"/>
  <c r="S99" i="2" a="1"/>
  <c r="I100" i="2" a="1"/>
  <c r="M100" i="2" a="1"/>
  <c r="Q100" i="2" a="1"/>
  <c r="G101" i="2" a="1"/>
  <c r="K101" i="2" a="1"/>
  <c r="O101" i="2" a="1"/>
  <c r="S101" i="2" a="1"/>
  <c r="I102" i="2" a="1"/>
  <c r="H91" i="2" a="1"/>
  <c r="L91" i="2" a="1"/>
  <c r="P91" i="2" a="1"/>
  <c r="F92" i="2" a="1"/>
  <c r="J92" i="2" a="1"/>
  <c r="N92" i="2" a="1"/>
  <c r="R92" i="2" a="1"/>
  <c r="H93" i="2" a="1"/>
  <c r="L93" i="2" a="1"/>
  <c r="P93" i="2" a="1"/>
  <c r="F94" i="2" a="1"/>
  <c r="J94" i="2" a="1"/>
  <c r="N94" i="2" a="1"/>
  <c r="R94" i="2" a="1"/>
  <c r="H95" i="2" a="1"/>
  <c r="L95" i="2" a="1"/>
  <c r="P95" i="2" a="1"/>
  <c r="F96" i="2" a="1"/>
  <c r="J96" i="2" a="1"/>
  <c r="N96" i="2" a="1"/>
  <c r="R96" i="2" a="1"/>
  <c r="H97" i="2" a="1"/>
  <c r="L97" i="2" a="1"/>
  <c r="P97" i="2" a="1"/>
  <c r="F98" i="2" a="1"/>
  <c r="J98" i="2" a="1"/>
  <c r="N98" i="2" a="1"/>
  <c r="R98" i="2" a="1"/>
  <c r="H99" i="2" a="1"/>
  <c r="L99" i="2" a="1"/>
  <c r="P99" i="2" a="1"/>
  <c r="F100" i="2" a="1"/>
  <c r="J100" i="2" a="1"/>
  <c r="N100" i="2" a="1"/>
  <c r="R100" i="2" a="1"/>
  <c r="H101" i="2" a="1"/>
  <c r="L101" i="2" a="1"/>
  <c r="P101" i="2" a="1"/>
  <c r="F102" i="2" a="1"/>
  <c r="J102" i="2" a="1"/>
  <c r="N102" i="2" a="1"/>
  <c r="R102" i="2" a="1"/>
  <c r="H103" i="2" a="1"/>
  <c r="L103" i="2" a="1"/>
  <c r="P103" i="2" a="1"/>
  <c r="F104" i="2" a="1"/>
  <c r="J104" i="2" a="1"/>
  <c r="N104" i="2" a="1"/>
  <c r="R104" i="2" a="1"/>
  <c r="H105" i="2" a="1"/>
  <c r="L105" i="2" a="1"/>
  <c r="P105" i="2" a="1"/>
  <c r="F106" i="2" a="1"/>
  <c r="J106" i="2" a="1"/>
  <c r="N106" i="2" a="1"/>
  <c r="R106" i="2" a="1"/>
  <c r="I91" i="2" a="1"/>
  <c r="M91" i="2" a="1"/>
  <c r="Q91" i="2" a="1"/>
  <c r="G92" i="2" a="1"/>
  <c r="K92" i="2" a="1"/>
  <c r="O92" i="2" a="1"/>
  <c r="S92" i="2" a="1"/>
  <c r="I93" i="2" a="1"/>
  <c r="M93" i="2" a="1"/>
  <c r="Q93" i="2" a="1"/>
  <c r="G94" i="2" a="1"/>
  <c r="K94" i="2" a="1"/>
  <c r="O94" i="2" a="1"/>
  <c r="S94" i="2" a="1"/>
  <c r="I95" i="2" a="1"/>
  <c r="M95" i="2" a="1"/>
  <c r="Q95" i="2" a="1"/>
  <c r="G96" i="2" a="1"/>
  <c r="K96" i="2" a="1"/>
  <c r="O96" i="2" a="1"/>
  <c r="S96" i="2" a="1"/>
  <c r="I97" i="2" a="1"/>
  <c r="M97" i="2" a="1"/>
  <c r="Q97" i="2" a="1"/>
  <c r="G98" i="2" a="1"/>
  <c r="K98" i="2" a="1"/>
  <c r="O98" i="2" a="1"/>
  <c r="S98" i="2" a="1"/>
  <c r="I99" i="2" a="1"/>
  <c r="M99" i="2" a="1"/>
  <c r="Q99" i="2" a="1"/>
  <c r="G100" i="2" a="1"/>
  <c r="K100" i="2" a="1"/>
  <c r="O100" i="2" a="1"/>
  <c r="S100" i="2" a="1"/>
  <c r="I101" i="2" a="1"/>
  <c r="M101" i="2" a="1"/>
  <c r="Q101" i="2" a="1"/>
  <c r="G102" i="2" a="1"/>
  <c r="K102" i="2" a="1"/>
  <c r="O102" i="2" a="1"/>
  <c r="S102" i="2" a="1"/>
  <c r="I103" i="2" a="1"/>
  <c r="M103" i="2" a="1"/>
  <c r="Q103" i="2" a="1"/>
  <c r="G104" i="2" a="1"/>
  <c r="K104" i="2" a="1"/>
  <c r="O104" i="2" a="1"/>
  <c r="S104" i="2" a="1"/>
  <c r="I105" i="2" a="1"/>
  <c r="M105" i="2" a="1"/>
  <c r="Q105" i="2" a="1"/>
  <c r="G106" i="2" a="1"/>
  <c r="K106" i="2" a="1"/>
  <c r="O106" i="2" a="1"/>
  <c r="S106" i="2" a="1"/>
  <c r="H92" i="2" a="1"/>
  <c r="L94" i="2" a="1"/>
  <c r="P96" i="2" a="1"/>
  <c r="O103" i="2" a="1"/>
  <c r="L104" i="2" a="1"/>
  <c r="S105" i="2" a="1"/>
  <c r="P94" i="2" a="1"/>
  <c r="F97" i="2" a="1"/>
  <c r="P98" i="2" a="1"/>
  <c r="R99" i="2" a="1"/>
  <c r="F101" i="2" a="1"/>
  <c r="H102" i="2" a="1"/>
  <c r="M104" i="2" a="1"/>
  <c r="J105" i="2" a="1"/>
  <c r="P106" i="2" a="1"/>
  <c r="G103" i="2" a="1"/>
  <c r="R103" i="2" a="1"/>
  <c r="K105" i="2" a="1"/>
  <c r="Q106" i="2" a="1"/>
  <c r="L100" i="2" a="1"/>
  <c r="K103" i="2" a="1"/>
  <c r="L106" i="2" a="1"/>
  <c r="P102" i="2" a="1"/>
  <c r="F105" i="2" a="1"/>
  <c r="H94" i="2" a="1"/>
  <c r="Q102" i="2" a="1"/>
  <c r="G105" i="2" a="1"/>
  <c r="L92" i="2" a="1"/>
  <c r="F103" i="2" a="1"/>
  <c r="H106" i="2" a="1"/>
  <c r="R93" i="2" a="1"/>
  <c r="R91" i="2" a="1"/>
  <c r="R101" i="2" a="1"/>
  <c r="P92" i="2" a="1"/>
  <c r="F95" i="2" a="1"/>
  <c r="J97" i="2" a="1"/>
  <c r="O105" i="2" a="1"/>
  <c r="H96" i="2" a="1"/>
  <c r="M106" i="2" a="1"/>
  <c r="L96" i="2" a="1"/>
  <c r="P100" i="2" a="1"/>
  <c r="F93" i="2" a="1"/>
  <c r="J95" i="2" a="1"/>
  <c r="N97" i="2" a="1"/>
  <c r="F99" i="2" a="1"/>
  <c r="H100" i="2" a="1"/>
  <c r="J101" i="2" a="1"/>
  <c r="L102" i="2" a="1"/>
  <c r="S103" i="2" a="1"/>
  <c r="P104" i="2" a="1"/>
  <c r="I106" i="2" a="1"/>
  <c r="J93" i="2" a="1"/>
  <c r="N95" i="2" a="1"/>
  <c r="R97" i="2" a="1"/>
  <c r="M102" i="2" a="1"/>
  <c r="J103" i="2" a="1"/>
  <c r="Q104" i="2" a="1"/>
  <c r="N105" i="2" a="1"/>
  <c r="N93" i="2" a="1"/>
  <c r="R95" i="2" a="1"/>
  <c r="H98" i="2" a="1"/>
  <c r="J99" i="2" a="1"/>
  <c r="N101" i="2" a="1"/>
  <c r="H104" i="2" a="1"/>
  <c r="N91" i="2" a="1"/>
  <c r="I104" i="2" a="1"/>
  <c r="L98" i="2" a="1"/>
  <c r="N99" i="2" a="1"/>
  <c r="N103" i="2" a="1"/>
  <c r="R105" i="2" a="1"/>
  <c r="H90" i="2" a="1"/>
  <c r="L90" i="2" a="1"/>
  <c r="P90" i="2" a="1"/>
  <c r="I90" i="2" a="1"/>
  <c r="M90" i="2" a="1"/>
  <c r="Q90" i="2" a="1"/>
  <c r="J90" i="2" a="1"/>
  <c r="N90" i="2" a="1"/>
  <c r="R90" i="2" a="1"/>
  <c r="G90" i="2" a="1"/>
  <c r="K90" i="2" a="1"/>
  <c r="O90" i="2" a="1"/>
  <c r="S90" i="2" a="1"/>
  <c r="AP52" i="2" a="1"/>
  <c r="AT52" i="2" a="1"/>
  <c r="AX52" i="2" a="1"/>
  <c r="BB52" i="2" a="1"/>
  <c r="AR53" i="2" a="1"/>
  <c r="AV53" i="2" a="1"/>
  <c r="AZ53" i="2" a="1"/>
  <c r="AP54" i="2" a="1"/>
  <c r="AT54" i="2" a="1"/>
  <c r="AX54" i="2" a="1"/>
  <c r="BB54" i="2" a="1"/>
  <c r="AR55" i="2" a="1"/>
  <c r="AV55" i="2" a="1"/>
  <c r="AZ55" i="2" a="1"/>
  <c r="AP56" i="2" a="1"/>
  <c r="AT56" i="2" a="1"/>
  <c r="AX56" i="2" a="1"/>
  <c r="BB56" i="2" a="1"/>
  <c r="AR57" i="2" a="1"/>
  <c r="AV57" i="2" a="1"/>
  <c r="AZ57" i="2" a="1"/>
  <c r="AP58" i="2" a="1"/>
  <c r="AT58" i="2" a="1"/>
  <c r="AX58" i="2" a="1"/>
  <c r="BB58" i="2" a="1"/>
  <c r="AR59" i="2" a="1"/>
  <c r="AV59" i="2" a="1"/>
  <c r="AZ59" i="2" a="1"/>
  <c r="AP60" i="2" a="1"/>
  <c r="AT60" i="2" a="1"/>
  <c r="AX60" i="2" a="1"/>
  <c r="BB60" i="2" a="1"/>
  <c r="AR61" i="2" a="1"/>
  <c r="AV61" i="2" a="1"/>
  <c r="AZ61" i="2" a="1"/>
  <c r="AP62" i="2" a="1"/>
  <c r="AT62" i="2" a="1"/>
  <c r="AX62" i="2" a="1"/>
  <c r="BB62" i="2" a="1"/>
  <c r="AR63" i="2" a="1"/>
  <c r="AV63" i="2" a="1"/>
  <c r="AZ63" i="2" a="1"/>
  <c r="AP64" i="2" a="1"/>
  <c r="AT64" i="2" a="1"/>
  <c r="AX64" i="2" a="1"/>
  <c r="BB64" i="2" a="1"/>
  <c r="AR65" i="2" a="1"/>
  <c r="AV65" i="2" a="1"/>
  <c r="AZ65" i="2" a="1"/>
  <c r="AP66" i="2" a="1"/>
  <c r="AT66" i="2" a="1"/>
  <c r="AX66" i="2" a="1"/>
  <c r="BB66" i="2" a="1"/>
  <c r="AR67" i="2" a="1"/>
  <c r="AV67" i="2" a="1"/>
  <c r="AZ67" i="2" a="1"/>
  <c r="AP57" i="2" a="1"/>
  <c r="AZ58" i="2" a="1"/>
  <c r="AX59" i="2" a="1"/>
  <c r="AV60" i="2" a="1"/>
  <c r="AX61" i="2" a="1"/>
  <c r="AZ62" i="2" a="1"/>
  <c r="AX63" i="2" a="1"/>
  <c r="AZ64" i="2" a="1"/>
  <c r="BB65" i="2" a="1"/>
  <c r="AP67" i="2" a="1"/>
  <c r="BB67" i="2" a="1"/>
  <c r="AY62" i="2" a="1"/>
  <c r="AS65" i="2" a="1"/>
  <c r="AQ66" i="2" a="1"/>
  <c r="BC66" i="2" a="1"/>
  <c r="AW67" i="2" a="1"/>
  <c r="AX55" i="2" a="1"/>
  <c r="AR58" i="2" a="1"/>
  <c r="AP59" i="2" a="1"/>
  <c r="AR60" i="2" a="1"/>
  <c r="AT61" i="2" a="1"/>
  <c r="AV62" i="2" a="1"/>
  <c r="AR64" i="2" a="1"/>
  <c r="AX65" i="2" a="1"/>
  <c r="AZ66" i="2" a="1"/>
  <c r="AQ52" i="2" a="1"/>
  <c r="AU52" i="2" a="1"/>
  <c r="AY52" i="2" a="1"/>
  <c r="BC52" i="2" a="1"/>
  <c r="AS53" i="2" a="1"/>
  <c r="AW53" i="2" a="1"/>
  <c r="BA53" i="2" a="1"/>
  <c r="AQ54" i="2" a="1"/>
  <c r="AU54" i="2" a="1"/>
  <c r="AY54" i="2" a="1"/>
  <c r="BC54" i="2" a="1"/>
  <c r="AS55" i="2" a="1"/>
  <c r="AW55" i="2" a="1"/>
  <c r="BA55" i="2" a="1"/>
  <c r="AQ56" i="2" a="1"/>
  <c r="AU56" i="2" a="1"/>
  <c r="AY56" i="2" a="1"/>
  <c r="BC56" i="2" a="1"/>
  <c r="AS57" i="2" a="1"/>
  <c r="AW57" i="2" a="1"/>
  <c r="BA57" i="2" a="1"/>
  <c r="AQ58" i="2" a="1"/>
  <c r="AU58" i="2" a="1"/>
  <c r="AY58" i="2" a="1"/>
  <c r="BC58" i="2" a="1"/>
  <c r="AS59" i="2" a="1"/>
  <c r="AW59" i="2" a="1"/>
  <c r="BA59" i="2" a="1"/>
  <c r="AQ60" i="2" a="1"/>
  <c r="AU60" i="2" a="1"/>
  <c r="AY60" i="2" a="1"/>
  <c r="BC60" i="2" a="1"/>
  <c r="AS61" i="2" a="1"/>
  <c r="AW61" i="2" a="1"/>
  <c r="BA61" i="2" a="1"/>
  <c r="AQ62" i="2" a="1"/>
  <c r="AU62" i="2" a="1"/>
  <c r="BC62" i="2" a="1"/>
  <c r="AS63" i="2" a="1"/>
  <c r="AW63" i="2" a="1"/>
  <c r="BA63" i="2" a="1"/>
  <c r="AQ64" i="2" a="1"/>
  <c r="AU64" i="2" a="1"/>
  <c r="AY64" i="2" a="1"/>
  <c r="BC64" i="2" a="1"/>
  <c r="AW65" i="2" a="1"/>
  <c r="BA65" i="2" a="1"/>
  <c r="AU66" i="2" a="1"/>
  <c r="AY66" i="2" a="1"/>
  <c r="AS67" i="2" a="1"/>
  <c r="BA67" i="2" a="1"/>
  <c r="AX57" i="2" a="1"/>
  <c r="AZ60" i="2" a="1"/>
  <c r="AR62" i="2" a="1"/>
  <c r="AT63" i="2" a="1"/>
  <c r="AV64" i="2" a="1"/>
  <c r="AT65" i="2" a="1"/>
  <c r="AV66" i="2" a="1"/>
  <c r="AX67" i="2" a="1"/>
  <c r="AR52" i="2" a="1"/>
  <c r="AV52" i="2" a="1"/>
  <c r="AZ52" i="2" a="1"/>
  <c r="AP53" i="2" a="1"/>
  <c r="AT53" i="2" a="1"/>
  <c r="AX53" i="2" a="1"/>
  <c r="BB53" i="2" a="1"/>
  <c r="AR54" i="2" a="1"/>
  <c r="AV54" i="2" a="1"/>
  <c r="AZ54" i="2" a="1"/>
  <c r="AP55" i="2" a="1"/>
  <c r="AT55" i="2" a="1"/>
  <c r="BB55" i="2" a="1"/>
  <c r="AR56" i="2" a="1"/>
  <c r="AV56" i="2" a="1"/>
  <c r="AZ56" i="2" a="1"/>
  <c r="AT57" i="2" a="1"/>
  <c r="BB57" i="2" a="1"/>
  <c r="AV58" i="2" a="1"/>
  <c r="AT59" i="2" a="1"/>
  <c r="BB59" i="2" a="1"/>
  <c r="AP61" i="2" a="1"/>
  <c r="BB61" i="2" a="1"/>
  <c r="AP63" i="2" a="1"/>
  <c r="BB63" i="2" a="1"/>
  <c r="AP65" i="2" a="1"/>
  <c r="AR66" i="2" a="1"/>
  <c r="AT67" i="2" a="1"/>
  <c r="AU63" i="2" a="1"/>
  <c r="AS66" i="2" a="1"/>
  <c r="AQ67" i="2" a="1"/>
  <c r="BC67" i="2" a="1"/>
  <c r="AS52" i="2" a="1"/>
  <c r="AW52" i="2" a="1"/>
  <c r="BA52" i="2" a="1"/>
  <c r="AQ53" i="2" a="1"/>
  <c r="AU53" i="2" a="1"/>
  <c r="AY53" i="2" a="1"/>
  <c r="BC53" i="2" a="1"/>
  <c r="AS54" i="2" a="1"/>
  <c r="AW54" i="2" a="1"/>
  <c r="BA54" i="2" a="1"/>
  <c r="AQ55" i="2" a="1"/>
  <c r="AU55" i="2" a="1"/>
  <c r="AY55" i="2" a="1"/>
  <c r="BC55" i="2" a="1"/>
  <c r="AS56" i="2" a="1"/>
  <c r="AW56" i="2" a="1"/>
  <c r="BA56" i="2" a="1"/>
  <c r="AQ57" i="2" a="1"/>
  <c r="AU57" i="2" a="1"/>
  <c r="AY57" i="2" a="1"/>
  <c r="BC57" i="2" a="1"/>
  <c r="AS58" i="2" a="1"/>
  <c r="AW58" i="2" a="1"/>
  <c r="BA58" i="2" a="1"/>
  <c r="AQ59" i="2" a="1"/>
  <c r="AU59" i="2" a="1"/>
  <c r="AY59" i="2" a="1"/>
  <c r="BC59" i="2" a="1"/>
  <c r="AS60" i="2" a="1"/>
  <c r="AW60" i="2" a="1"/>
  <c r="BA60" i="2" a="1"/>
  <c r="AQ61" i="2" a="1"/>
  <c r="AU61" i="2" a="1"/>
  <c r="AY61" i="2" a="1"/>
  <c r="BC61" i="2" a="1"/>
  <c r="AS62" i="2" a="1"/>
  <c r="AW62" i="2" a="1"/>
  <c r="BA62" i="2" a="1"/>
  <c r="AQ63" i="2" a="1"/>
  <c r="AY63" i="2" a="1"/>
  <c r="BC63" i="2" a="1"/>
  <c r="AS64" i="2" a="1"/>
  <c r="AW64" i="2" a="1"/>
  <c r="BA64" i="2" a="1"/>
  <c r="AQ65" i="2" a="1"/>
  <c r="AU65" i="2" a="1"/>
  <c r="AY65" i="2" a="1"/>
  <c r="BC65" i="2" a="1"/>
  <c r="AW66" i="2" a="1"/>
  <c r="BA66" i="2" a="1"/>
  <c r="AU67" i="2" a="1"/>
  <c r="AY67" i="2" a="1"/>
  <c r="AR51" i="2" a="1"/>
  <c r="AV51" i="2" a="1"/>
  <c r="AZ51" i="2" a="1"/>
  <c r="AQ51" i="2" a="1"/>
  <c r="AW51" i="2" a="1"/>
  <c r="AY51" i="2" a="1"/>
  <c r="AS51" i="2" a="1"/>
  <c r="BA51" i="2" a="1"/>
  <c r="AU51" i="2" a="1"/>
  <c r="AT51" i="2" a="1"/>
  <c r="AX51" i="2" a="1"/>
  <c r="BB51" i="2" a="1"/>
  <c r="BC51" i="2" a="1"/>
  <c r="AP51" i="2" a="1"/>
  <c r="Y52" i="2" a="1"/>
  <c r="AC52" i="2" a="1"/>
  <c r="AG52" i="2" a="1"/>
  <c r="AK52" i="2" a="1"/>
  <c r="AA53" i="2" a="1"/>
  <c r="AE53" i="2" a="1"/>
  <c r="AI53" i="2" a="1"/>
  <c r="Y54" i="2" a="1"/>
  <c r="AC54" i="2" a="1"/>
  <c r="AG54" i="2" a="1"/>
  <c r="AK54" i="2" a="1"/>
  <c r="AA55" i="2" a="1"/>
  <c r="AE55" i="2" a="1"/>
  <c r="AI55" i="2" a="1"/>
  <c r="Y56" i="2" a="1"/>
  <c r="AC56" i="2" a="1"/>
  <c r="AG56" i="2" a="1"/>
  <c r="AK56" i="2" a="1"/>
  <c r="AA57" i="2" a="1"/>
  <c r="AE57" i="2" a="1"/>
  <c r="AI57" i="2" a="1"/>
  <c r="Y58" i="2" a="1"/>
  <c r="AC58" i="2" a="1"/>
  <c r="AG58" i="2" a="1"/>
  <c r="AK58" i="2" a="1"/>
  <c r="AA59" i="2" a="1"/>
  <c r="AE59" i="2" a="1"/>
  <c r="AI59" i="2" a="1"/>
  <c r="Y60" i="2" a="1"/>
  <c r="AC60" i="2" a="1"/>
  <c r="AG60" i="2" a="1"/>
  <c r="AK60" i="2" a="1"/>
  <c r="AA61" i="2" a="1"/>
  <c r="AE61" i="2" a="1"/>
  <c r="AI61" i="2" a="1"/>
  <c r="Y62" i="2" a="1"/>
  <c r="AC62" i="2" a="1"/>
  <c r="AG62" i="2" a="1"/>
  <c r="AK62" i="2" a="1"/>
  <c r="AA63" i="2" a="1"/>
  <c r="AE63" i="2" a="1"/>
  <c r="AI63" i="2" a="1"/>
  <c r="Y64" i="2" a="1"/>
  <c r="AC64" i="2" a="1"/>
  <c r="AG64" i="2" a="1"/>
  <c r="AK64" i="2" a="1"/>
  <c r="AA65" i="2" a="1"/>
  <c r="AE65" i="2" a="1"/>
  <c r="AI65" i="2" a="1"/>
  <c r="Y66" i="2" a="1"/>
  <c r="AC66" i="2" a="1"/>
  <c r="AG66" i="2" a="1"/>
  <c r="AK66" i="2" a="1"/>
  <c r="AA67" i="2" a="1"/>
  <c r="AE67" i="2" a="1"/>
  <c r="AI67" i="2" a="1"/>
  <c r="AE62" i="2" a="1"/>
  <c r="AA64" i="2" a="1"/>
  <c r="Y65" i="2" a="1"/>
  <c r="AG65" i="2" a="1"/>
  <c r="AA66" i="2" a="1"/>
  <c r="AI66" i="2" a="1"/>
  <c r="AC67" i="2" a="1"/>
  <c r="AK67" i="2" a="1"/>
  <c r="AA52" i="2" a="1"/>
  <c r="AE52" i="2" a="1"/>
  <c r="AI52" i="2" a="1"/>
  <c r="Y53" i="2" a="1"/>
  <c r="AC53" i="2" a="1"/>
  <c r="AG53" i="2" a="1"/>
  <c r="AK53" i="2" a="1"/>
  <c r="AA54" i="2" a="1"/>
  <c r="AE54" i="2" a="1"/>
  <c r="AI54" i="2" a="1"/>
  <c r="Y55" i="2" a="1"/>
  <c r="AC55" i="2" a="1"/>
  <c r="AG55" i="2" a="1"/>
  <c r="AK55" i="2" a="1"/>
  <c r="AA56" i="2" a="1"/>
  <c r="AE56" i="2" a="1"/>
  <c r="AI56" i="2" a="1"/>
  <c r="Y57" i="2" a="1"/>
  <c r="AC57" i="2" a="1"/>
  <c r="AG57" i="2" a="1"/>
  <c r="AK57" i="2" a="1"/>
  <c r="AA58" i="2" a="1"/>
  <c r="AE58" i="2" a="1"/>
  <c r="AI58" i="2" a="1"/>
  <c r="Y59" i="2" a="1"/>
  <c r="AC59" i="2" a="1"/>
  <c r="AG59" i="2" a="1"/>
  <c r="AK59" i="2" a="1"/>
  <c r="AA60" i="2" a="1"/>
  <c r="AE60" i="2" a="1"/>
  <c r="AI60" i="2" a="1"/>
  <c r="Y61" i="2" a="1"/>
  <c r="AC61" i="2" a="1"/>
  <c r="AG61" i="2" a="1"/>
  <c r="AK61" i="2" a="1"/>
  <c r="AA62" i="2" a="1"/>
  <c r="AI62" i="2" a="1"/>
  <c r="Y63" i="2" a="1"/>
  <c r="AC63" i="2" a="1"/>
  <c r="AG63" i="2" a="1"/>
  <c r="AK63" i="2" a="1"/>
  <c r="AE64" i="2" a="1"/>
  <c r="AI64" i="2" a="1"/>
  <c r="AC65" i="2" a="1"/>
  <c r="AK65" i="2" a="1"/>
  <c r="AE66" i="2" a="1"/>
  <c r="Y67" i="2" a="1"/>
  <c r="AG67" i="2" a="1"/>
  <c r="X52" i="2" a="1"/>
  <c r="AF52" i="2" a="1"/>
  <c r="Z53" i="2" a="1"/>
  <c r="AH53" i="2" a="1"/>
  <c r="AB54" i="2" a="1"/>
  <c r="AJ54" i="2" a="1"/>
  <c r="AD55" i="2" a="1"/>
  <c r="X56" i="2" a="1"/>
  <c r="AF56" i="2" a="1"/>
  <c r="Z57" i="2" a="1"/>
  <c r="AH57" i="2" a="1"/>
  <c r="AB58" i="2" a="1"/>
  <c r="AJ58" i="2" a="1"/>
  <c r="AD59" i="2" a="1"/>
  <c r="X60" i="2" a="1"/>
  <c r="AF60" i="2" a="1"/>
  <c r="Z61" i="2" a="1"/>
  <c r="AH61" i="2" a="1"/>
  <c r="AB62" i="2" a="1"/>
  <c r="AJ62" i="2" a="1"/>
  <c r="AD63" i="2" a="1"/>
  <c r="X64" i="2" a="1"/>
  <c r="AF64" i="2" a="1"/>
  <c r="Z65" i="2" a="1"/>
  <c r="Z66" i="2" a="1"/>
  <c r="AH66" i="2" a="1"/>
  <c r="AB67" i="2" a="1"/>
  <c r="AJ67" i="2" a="1"/>
  <c r="AH65" i="2" a="1"/>
  <c r="AB66" i="2" a="1"/>
  <c r="AJ66" i="2" a="1"/>
  <c r="AD67" i="2" a="1"/>
  <c r="AJ52" i="2" a="1"/>
  <c r="AF54" i="2" a="1"/>
  <c r="AH55" i="2" a="1"/>
  <c r="AB56" i="2" a="1"/>
  <c r="X58" i="2" a="1"/>
  <c r="AH59" i="2" a="1"/>
  <c r="AF62" i="2" a="1"/>
  <c r="AJ64" i="2" a="1"/>
  <c r="X67" i="2" a="1"/>
  <c r="Z52" i="2" a="1"/>
  <c r="AH52" i="2" a="1"/>
  <c r="AB53" i="2" a="1"/>
  <c r="AJ53" i="2" a="1"/>
  <c r="AD54" i="2" a="1"/>
  <c r="X55" i="2" a="1"/>
  <c r="AF55" i="2" a="1"/>
  <c r="Z56" i="2" a="1"/>
  <c r="AH56" i="2" a="1"/>
  <c r="AB57" i="2" a="1"/>
  <c r="AJ57" i="2" a="1"/>
  <c r="AD58" i="2" a="1"/>
  <c r="X59" i="2" a="1"/>
  <c r="AF59" i="2" a="1"/>
  <c r="Z60" i="2" a="1"/>
  <c r="AH60" i="2" a="1"/>
  <c r="AB61" i="2" a="1"/>
  <c r="AJ61" i="2" a="1"/>
  <c r="AD62" i="2" a="1"/>
  <c r="X63" i="2" a="1"/>
  <c r="AF63" i="2" a="1"/>
  <c r="Z64" i="2" a="1"/>
  <c r="AH64" i="2" a="1"/>
  <c r="AB65" i="2" a="1"/>
  <c r="AB52" i="2" a="1"/>
  <c r="Z55" i="2" a="1"/>
  <c r="AJ56" i="2" a="1"/>
  <c r="AF58" i="2" a="1"/>
  <c r="AD61" i="2" a="1"/>
  <c r="AH63" i="2" a="1"/>
  <c r="AJ65" i="2" a="1"/>
  <c r="X66" i="2" a="1"/>
  <c r="AF66" i="2" a="1"/>
  <c r="Z67" i="2" a="1"/>
  <c r="AH67" i="2" a="1"/>
  <c r="AJ59" i="2" a="1"/>
  <c r="AH62" i="2" a="1"/>
  <c r="AJ63" i="2" a="1"/>
  <c r="X65" i="2" a="1"/>
  <c r="AD53" i="2" a="1"/>
  <c r="AB60" i="2" a="1"/>
  <c r="Z63" i="2" a="1"/>
  <c r="AD65" i="2" a="1"/>
  <c r="AF67" i="2" a="1"/>
  <c r="AD52" i="2" a="1"/>
  <c r="X53" i="2" a="1"/>
  <c r="AF53" i="2" a="1"/>
  <c r="Z54" i="2" a="1"/>
  <c r="AH54" i="2" a="1"/>
  <c r="AB55" i="2" a="1"/>
  <c r="AJ55" i="2" a="1"/>
  <c r="AD56" i="2" a="1"/>
  <c r="X57" i="2" a="1"/>
  <c r="AF57" i="2" a="1"/>
  <c r="Z58" i="2" a="1"/>
  <c r="AH58" i="2" a="1"/>
  <c r="AB59" i="2" a="1"/>
  <c r="AD60" i="2" a="1"/>
  <c r="X61" i="2" a="1"/>
  <c r="AF61" i="2" a="1"/>
  <c r="Z62" i="2" a="1"/>
  <c r="AB63" i="2" a="1"/>
  <c r="AD64" i="2" a="1"/>
  <c r="AF65" i="2" a="1"/>
  <c r="X54" i="2" a="1"/>
  <c r="AD57" i="2" a="1"/>
  <c r="Z59" i="2" a="1"/>
  <c r="AJ60" i="2" a="1"/>
  <c r="X62" i="2" a="1"/>
  <c r="AB64" i="2" a="1"/>
  <c r="AD66" i="2" a="1"/>
  <c r="Y51" i="2" a="1"/>
  <c r="AC51" i="2" a="1"/>
  <c r="AG51" i="2" a="1"/>
  <c r="AK51" i="2" a="1"/>
  <c r="AH51" i="2" a="1"/>
  <c r="AB51" i="2" a="1"/>
  <c r="Z51" i="2" a="1"/>
  <c r="AJ51" i="2" a="1"/>
  <c r="AD51" i="2" a="1"/>
  <c r="AA51" i="2" a="1"/>
  <c r="AE51" i="2" a="1"/>
  <c r="AI51" i="2" a="1"/>
  <c r="AF51" i="2" a="1"/>
  <c r="X51" i="2" a="1"/>
  <c r="I59" i="2" a="1"/>
  <c r="H55" i="2" a="1"/>
  <c r="G52" i="2" a="1"/>
  <c r="K52" i="2" a="1"/>
  <c r="O52" i="2" a="1"/>
  <c r="S52" i="2" a="1"/>
  <c r="I53" i="2" a="1"/>
  <c r="M53" i="2" a="1"/>
  <c r="Q53" i="2" a="1"/>
  <c r="G54" i="2" a="1"/>
  <c r="K54" i="2" a="1"/>
  <c r="O54" i="2" a="1"/>
  <c r="S54" i="2" a="1"/>
  <c r="I55" i="2" a="1"/>
  <c r="M55" i="2" a="1"/>
  <c r="Q55" i="2" a="1"/>
  <c r="G56" i="2" a="1"/>
  <c r="K56" i="2" a="1"/>
  <c r="O56" i="2" a="1"/>
  <c r="S56" i="2" a="1"/>
  <c r="I57" i="2" a="1"/>
  <c r="M57" i="2" a="1"/>
  <c r="Q57" i="2" a="1"/>
  <c r="G58" i="2" a="1"/>
  <c r="K58" i="2" a="1"/>
  <c r="O58" i="2" a="1"/>
  <c r="S58" i="2" a="1"/>
  <c r="M59" i="2" a="1"/>
  <c r="Q59" i="2" a="1"/>
  <c r="G60" i="2" a="1"/>
  <c r="K60" i="2" a="1"/>
  <c r="O60" i="2" a="1"/>
  <c r="S60" i="2" a="1"/>
  <c r="I61" i="2" a="1"/>
  <c r="M61" i="2" a="1"/>
  <c r="Q61" i="2" a="1"/>
  <c r="G62" i="2" a="1"/>
  <c r="K62" i="2" a="1"/>
  <c r="O62" i="2" a="1"/>
  <c r="S62" i="2" a="1"/>
  <c r="I63" i="2" a="1"/>
  <c r="M63" i="2" a="1"/>
  <c r="Q63" i="2" a="1"/>
  <c r="G64" i="2" a="1"/>
  <c r="K64" i="2" a="1"/>
  <c r="O64" i="2" a="1"/>
  <c r="S64" i="2" a="1"/>
  <c r="I65" i="2" a="1"/>
  <c r="M65" i="2" a="1"/>
  <c r="Q65" i="2" a="1"/>
  <c r="G66" i="2" a="1"/>
  <c r="K66" i="2" a="1"/>
  <c r="O66" i="2" a="1"/>
  <c r="S66" i="2" a="1"/>
  <c r="I67" i="2" a="1"/>
  <c r="M67" i="2" a="1"/>
  <c r="Q67" i="2" a="1"/>
  <c r="H52" i="2" a="1"/>
  <c r="L52" i="2" a="1"/>
  <c r="P52" i="2" a="1"/>
  <c r="F53" i="2" a="1"/>
  <c r="J53" i="2" a="1"/>
  <c r="N53" i="2" a="1"/>
  <c r="R53" i="2" a="1"/>
  <c r="H54" i="2" a="1"/>
  <c r="L54" i="2" a="1"/>
  <c r="P54" i="2" a="1"/>
  <c r="F55" i="2" a="1"/>
  <c r="J55" i="2" a="1"/>
  <c r="N55" i="2" a="1"/>
  <c r="R55" i="2" a="1"/>
  <c r="H56" i="2" a="1"/>
  <c r="L56" i="2" a="1"/>
  <c r="P56" i="2" a="1"/>
  <c r="F57" i="2" a="1"/>
  <c r="J57" i="2" a="1"/>
  <c r="N57" i="2" a="1"/>
  <c r="R57" i="2" a="1"/>
  <c r="H58" i="2" a="1"/>
  <c r="L58" i="2" a="1"/>
  <c r="P58" i="2" a="1"/>
  <c r="F59" i="2" a="1"/>
  <c r="J59" i="2" a="1"/>
  <c r="N59" i="2" a="1"/>
  <c r="R59" i="2" a="1"/>
  <c r="H60" i="2" a="1"/>
  <c r="L60" i="2" a="1"/>
  <c r="P60" i="2" a="1"/>
  <c r="F61" i="2" a="1"/>
  <c r="J61" i="2" a="1"/>
  <c r="N61" i="2" a="1"/>
  <c r="R61" i="2" a="1"/>
  <c r="H62" i="2" a="1"/>
  <c r="L62" i="2" a="1"/>
  <c r="P62" i="2" a="1"/>
  <c r="F63" i="2" a="1"/>
  <c r="J63" i="2" a="1"/>
  <c r="N63" i="2" a="1"/>
  <c r="R63" i="2" a="1"/>
  <c r="H64" i="2" a="1"/>
  <c r="L64" i="2" a="1"/>
  <c r="P64" i="2" a="1"/>
  <c r="F65" i="2" a="1"/>
  <c r="J65" i="2" a="1"/>
  <c r="N65" i="2" a="1"/>
  <c r="R65" i="2" a="1"/>
  <c r="H66" i="2" a="1"/>
  <c r="L66" i="2" a="1"/>
  <c r="P66" i="2" a="1"/>
  <c r="F67" i="2" a="1"/>
  <c r="J67" i="2" a="1"/>
  <c r="N67" i="2" a="1"/>
  <c r="R67" i="2" a="1"/>
  <c r="O53" i="2" a="1"/>
  <c r="G55" i="2" a="1"/>
  <c r="S55" i="2" a="1"/>
  <c r="M56" i="2" a="1"/>
  <c r="G57" i="2" a="1"/>
  <c r="O57" i="2" a="1"/>
  <c r="I58" i="2" a="1"/>
  <c r="Q58" i="2" a="1"/>
  <c r="K59" i="2" a="1"/>
  <c r="S59" i="2" a="1"/>
  <c r="M60" i="2" a="1"/>
  <c r="G61" i="2" a="1"/>
  <c r="O61" i="2" a="1"/>
  <c r="I62" i="2" a="1"/>
  <c r="Q62" i="2" a="1"/>
  <c r="K63" i="2" a="1"/>
  <c r="S63" i="2" a="1"/>
  <c r="M64" i="2" a="1"/>
  <c r="G65" i="2" a="1"/>
  <c r="O65" i="2" a="1"/>
  <c r="I66" i="2" a="1"/>
  <c r="Q66" i="2" a="1"/>
  <c r="K67" i="2" a="1"/>
  <c r="S67" i="2" a="1"/>
  <c r="I52" i="2" a="1"/>
  <c r="M52" i="2" a="1"/>
  <c r="Q52" i="2" a="1"/>
  <c r="G53" i="2" a="1"/>
  <c r="K53" i="2" a="1"/>
  <c r="S53" i="2" a="1"/>
  <c r="I54" i="2" a="1"/>
  <c r="M54" i="2" a="1"/>
  <c r="Q54" i="2" a="1"/>
  <c r="K55" i="2" a="1"/>
  <c r="O55" i="2" a="1"/>
  <c r="I56" i="2" a="1"/>
  <c r="Q56" i="2" a="1"/>
  <c r="K57" i="2" a="1"/>
  <c r="S57" i="2" a="1"/>
  <c r="M58" i="2" a="1"/>
  <c r="G59" i="2" a="1"/>
  <c r="O59" i="2" a="1"/>
  <c r="I60" i="2" a="1"/>
  <c r="Q60" i="2" a="1"/>
  <c r="K61" i="2" a="1"/>
  <c r="S61" i="2" a="1"/>
  <c r="M62" i="2" a="1"/>
  <c r="G63" i="2" a="1"/>
  <c r="O63" i="2" a="1"/>
  <c r="I64" i="2" a="1"/>
  <c r="Q64" i="2" a="1"/>
  <c r="K65" i="2" a="1"/>
  <c r="S65" i="2" a="1"/>
  <c r="M66" i="2" a="1"/>
  <c r="G67" i="2" a="1"/>
  <c r="O67" i="2" a="1"/>
  <c r="F52" i="2" a="1"/>
  <c r="R52" i="2" a="1"/>
  <c r="P57" i="2" a="1"/>
  <c r="L61" i="2" a="1"/>
  <c r="P63" i="2" a="1"/>
  <c r="F66" i="2" a="1"/>
  <c r="P53" i="2" a="1"/>
  <c r="F56" i="2" a="1"/>
  <c r="L57" i="2" a="1"/>
  <c r="J56" i="2" a="1"/>
  <c r="N66" i="2" a="1"/>
  <c r="N54" i="2" a="1"/>
  <c r="R56" i="2" a="1"/>
  <c r="H53" i="2" a="1"/>
  <c r="L55" i="2" a="1"/>
  <c r="J58" i="2" a="1"/>
  <c r="R58" i="2" a="1"/>
  <c r="L59" i="2" a="1"/>
  <c r="F60" i="2" a="1"/>
  <c r="N60" i="2" a="1"/>
  <c r="H61" i="2" a="1"/>
  <c r="J62" i="2" a="1"/>
  <c r="R62" i="2" a="1"/>
  <c r="L63" i="2" a="1"/>
  <c r="F64" i="2" a="1"/>
  <c r="N64" i="2" a="1"/>
  <c r="P65" i="2" a="1"/>
  <c r="J66" i="2" a="1"/>
  <c r="R66" i="2" a="1"/>
  <c r="F54" i="2" a="1"/>
  <c r="R64" i="2" a="1"/>
  <c r="J52" i="2" a="1"/>
  <c r="P61" i="2" a="1"/>
  <c r="H65" i="2" a="1"/>
  <c r="L67" i="2" a="1"/>
  <c r="H67" i="2" a="1"/>
  <c r="N52" i="2" a="1"/>
  <c r="R54" i="2" a="1"/>
  <c r="L53" i="2" a="1"/>
  <c r="P55" i="2" a="1"/>
  <c r="H57" i="2" a="1"/>
  <c r="J54" i="2" a="1"/>
  <c r="N56" i="2" a="1"/>
  <c r="F58" i="2" a="1"/>
  <c r="H59" i="2" a="1"/>
  <c r="P59" i="2" a="1"/>
  <c r="J60" i="2" a="1"/>
  <c r="R60" i="2" a="1"/>
  <c r="F62" i="2" a="1"/>
  <c r="N62" i="2" a="1"/>
  <c r="H63" i="2" a="1"/>
  <c r="J64" i="2" a="1"/>
  <c r="L65" i="2" a="1"/>
  <c r="P67" i="2" a="1"/>
  <c r="N58" i="2" a="1"/>
  <c r="G51" i="2" a="1"/>
  <c r="H51" i="2" a="1"/>
  <c r="L51" i="2" a="1"/>
  <c r="P51" i="2" a="1"/>
  <c r="I51" i="2" a="1"/>
  <c r="M51" i="2" a="1"/>
  <c r="Q51" i="2" a="1"/>
  <c r="N51" i="2" a="1"/>
  <c r="K51" i="2" a="1"/>
  <c r="S51" i="2" a="1"/>
  <c r="J51" i="2" a="1"/>
  <c r="R51" i="2" a="1"/>
  <c r="O51" i="2" a="1"/>
  <c r="F51" i="2" a="1"/>
  <c r="AQ12" i="2" a="1"/>
  <c r="AU12" i="2" a="1"/>
  <c r="AY12" i="2" a="1"/>
  <c r="BC12" i="2" a="1"/>
  <c r="AS13" i="2" a="1"/>
  <c r="AW13" i="2" a="1"/>
  <c r="BA13" i="2" a="1"/>
  <c r="AQ14" i="2" a="1"/>
  <c r="AU14" i="2" a="1"/>
  <c r="AY14" i="2" a="1"/>
  <c r="BC14" i="2" a="1"/>
  <c r="AS15" i="2" a="1"/>
  <c r="AW15" i="2" a="1"/>
  <c r="BA15" i="2" a="1"/>
  <c r="AQ16" i="2" a="1"/>
  <c r="AU16" i="2" a="1"/>
  <c r="AY16" i="2" a="1"/>
  <c r="BC16" i="2" a="1"/>
  <c r="AS17" i="2" a="1"/>
  <c r="AW17" i="2" a="1"/>
  <c r="BA17" i="2" a="1"/>
  <c r="AQ18" i="2" a="1"/>
  <c r="AU18" i="2" a="1"/>
  <c r="AY18" i="2" a="1"/>
  <c r="BC18" i="2" a="1"/>
  <c r="AS19" i="2" a="1"/>
  <c r="AW19" i="2" a="1"/>
  <c r="BA19" i="2" a="1"/>
  <c r="AQ20" i="2" a="1"/>
  <c r="AU20" i="2" a="1"/>
  <c r="AY20" i="2" a="1"/>
  <c r="BC20" i="2" a="1"/>
  <c r="AS21" i="2" a="1"/>
  <c r="AW21" i="2" a="1"/>
  <c r="BA21" i="2" a="1"/>
  <c r="AQ22" i="2" a="1"/>
  <c r="AU22" i="2" a="1"/>
  <c r="AY22" i="2" a="1"/>
  <c r="BC22" i="2" a="1"/>
  <c r="AS23" i="2" a="1"/>
  <c r="AW23" i="2" a="1"/>
  <c r="BA23" i="2" a="1"/>
  <c r="AQ24" i="2" a="1"/>
  <c r="AU24" i="2" a="1"/>
  <c r="AY24" i="2" a="1"/>
  <c r="BC24" i="2" a="1"/>
  <c r="AS25" i="2" a="1"/>
  <c r="AW25" i="2" a="1"/>
  <c r="BA25" i="2" a="1"/>
  <c r="AQ26" i="2" a="1"/>
  <c r="AU26" i="2" a="1"/>
  <c r="AY26" i="2" a="1"/>
  <c r="BC26" i="2" a="1"/>
  <c r="AS27" i="2" a="1"/>
  <c r="AW27" i="2" a="1"/>
  <c r="BA27" i="2" a="1"/>
  <c r="AS12" i="2" a="1"/>
  <c r="AW12" i="2" a="1"/>
  <c r="BA12" i="2" a="1"/>
  <c r="AQ13" i="2" a="1"/>
  <c r="AU13" i="2" a="1"/>
  <c r="AY13" i="2" a="1"/>
  <c r="BC13" i="2" a="1"/>
  <c r="AS14" i="2" a="1"/>
  <c r="AW14" i="2" a="1"/>
  <c r="BA14" i="2" a="1"/>
  <c r="AQ15" i="2" a="1"/>
  <c r="AU15" i="2" a="1"/>
  <c r="AY15" i="2" a="1"/>
  <c r="BC15" i="2" a="1"/>
  <c r="AS16" i="2" a="1"/>
  <c r="AW16" i="2" a="1"/>
  <c r="BA16" i="2" a="1"/>
  <c r="AQ17" i="2" a="1"/>
  <c r="AU17" i="2" a="1"/>
  <c r="AY17" i="2" a="1"/>
  <c r="BC17" i="2" a="1"/>
  <c r="AS18" i="2" a="1"/>
  <c r="AW18" i="2" a="1"/>
  <c r="BA18" i="2" a="1"/>
  <c r="AQ19" i="2" a="1"/>
  <c r="AU19" i="2" a="1"/>
  <c r="AY19" i="2" a="1"/>
  <c r="BC19" i="2" a="1"/>
  <c r="AS20" i="2" a="1"/>
  <c r="AW20" i="2" a="1"/>
  <c r="BA20" i="2" a="1"/>
  <c r="AQ21" i="2" a="1"/>
  <c r="AU21" i="2" a="1"/>
  <c r="AY21" i="2" a="1"/>
  <c r="BC21" i="2" a="1"/>
  <c r="AS22" i="2" a="1"/>
  <c r="AW22" i="2" a="1"/>
  <c r="BA22" i="2" a="1"/>
  <c r="AQ23" i="2" a="1"/>
  <c r="AU23" i="2" a="1"/>
  <c r="AY23" i="2" a="1"/>
  <c r="BC23" i="2" a="1"/>
  <c r="AS24" i="2" a="1"/>
  <c r="AW24" i="2" a="1"/>
  <c r="BA24" i="2" a="1"/>
  <c r="AQ25" i="2" a="1"/>
  <c r="AU25" i="2" a="1"/>
  <c r="AY25" i="2" a="1"/>
  <c r="BC25" i="2" a="1"/>
  <c r="AS26" i="2" a="1"/>
  <c r="AW26" i="2" a="1"/>
  <c r="BA26" i="2" a="1"/>
  <c r="AQ27" i="2" a="1"/>
  <c r="AU27" i="2" a="1"/>
  <c r="AY27" i="2" a="1"/>
  <c r="BC27" i="2" a="1"/>
  <c r="AP12" i="2" a="1"/>
  <c r="AX12" i="2" a="1"/>
  <c r="AR13" i="2" a="1"/>
  <c r="AZ13" i="2" a="1"/>
  <c r="AT14" i="2" a="1"/>
  <c r="BB14" i="2" a="1"/>
  <c r="AV15" i="2" a="1"/>
  <c r="AP16" i="2" a="1"/>
  <c r="AX16" i="2" a="1"/>
  <c r="AR17" i="2" a="1"/>
  <c r="AZ17" i="2" a="1"/>
  <c r="AT18" i="2" a="1"/>
  <c r="BB18" i="2" a="1"/>
  <c r="AV19" i="2" a="1"/>
  <c r="AP20" i="2" a="1"/>
  <c r="AX20" i="2" a="1"/>
  <c r="AR21" i="2" a="1"/>
  <c r="AZ21" i="2" a="1"/>
  <c r="AT22" i="2" a="1"/>
  <c r="BB22" i="2" a="1"/>
  <c r="AV23" i="2" a="1"/>
  <c r="AP24" i="2" a="1"/>
  <c r="AX24" i="2" a="1"/>
  <c r="AR25" i="2" a="1"/>
  <c r="AZ25" i="2" a="1"/>
  <c r="BB26" i="2" a="1"/>
  <c r="AR26" i="2" a="1"/>
  <c r="AT27" i="2" a="1"/>
  <c r="AT21" i="2" a="1"/>
  <c r="AV22" i="2" a="1"/>
  <c r="AX23" i="2" a="1"/>
  <c r="AT25" i="2" a="1"/>
  <c r="AX26" i="2" a="1"/>
  <c r="AP14" i="2" a="1"/>
  <c r="AZ15" i="2" a="1"/>
  <c r="AP18" i="2" a="1"/>
  <c r="AR19" i="2" a="1"/>
  <c r="AP22" i="2" a="1"/>
  <c r="AR23" i="2" a="1"/>
  <c r="BB24" i="2" a="1"/>
  <c r="AZ19" i="2" a="1"/>
  <c r="AR12" i="2" a="1"/>
  <c r="AZ12" i="2" a="1"/>
  <c r="AT13" i="2" a="1"/>
  <c r="BB13" i="2" a="1"/>
  <c r="AV14" i="2" a="1"/>
  <c r="AP15" i="2" a="1"/>
  <c r="AX15" i="2" a="1"/>
  <c r="AR16" i="2" a="1"/>
  <c r="AZ16" i="2" a="1"/>
  <c r="AT17" i="2" a="1"/>
  <c r="BB17" i="2" a="1"/>
  <c r="AV18" i="2" a="1"/>
  <c r="AP19" i="2" a="1"/>
  <c r="AX19" i="2" a="1"/>
  <c r="AZ20" i="2" a="1"/>
  <c r="BB21" i="2" a="1"/>
  <c r="AR24" i="2" a="1"/>
  <c r="AR15" i="2" a="1"/>
  <c r="AX22" i="2" a="1"/>
  <c r="AT26" i="2" a="1"/>
  <c r="BB25" i="2" a="1"/>
  <c r="AP27" i="2" a="1"/>
  <c r="AV13" i="2" a="1"/>
  <c r="BB20" i="2" a="1"/>
  <c r="AV25" i="2" a="1"/>
  <c r="AZ26" i="2" a="1"/>
  <c r="BB27" i="2" a="1"/>
  <c r="BB12" i="2" a="1"/>
  <c r="BB16" i="2" a="1"/>
  <c r="AT20" i="2" a="1"/>
  <c r="AT24" i="2" a="1"/>
  <c r="AV27" i="2" a="1"/>
  <c r="AV12" i="2" a="1"/>
  <c r="AP13" i="2" a="1"/>
  <c r="AX13" i="2" a="1"/>
  <c r="AR14" i="2" a="1"/>
  <c r="AZ14" i="2" a="1"/>
  <c r="AT15" i="2" a="1"/>
  <c r="BB15" i="2" a="1"/>
  <c r="AV16" i="2" a="1"/>
  <c r="AP17" i="2" a="1"/>
  <c r="AX17" i="2" a="1"/>
  <c r="AR18" i="2" a="1"/>
  <c r="AZ18" i="2" a="1"/>
  <c r="AT19" i="2" a="1"/>
  <c r="BB19" i="2" a="1"/>
  <c r="AV20" i="2" a="1"/>
  <c r="AP21" i="2" a="1"/>
  <c r="AX21" i="2" a="1"/>
  <c r="AR22" i="2" a="1"/>
  <c r="AZ22" i="2" a="1"/>
  <c r="AT23" i="2" a="1"/>
  <c r="BB23" i="2" a="1"/>
  <c r="AV24" i="2" a="1"/>
  <c r="AP25" i="2" a="1"/>
  <c r="AX25" i="2" a="1"/>
  <c r="AP26" i="2" a="1"/>
  <c r="AR27" i="2" a="1"/>
  <c r="AV26" i="2" a="1"/>
  <c r="AX27" i="2" a="1"/>
  <c r="AR20" i="2" a="1"/>
  <c r="AP23" i="2" a="1"/>
  <c r="AZ24" i="2" a="1"/>
  <c r="AZ27" i="2" a="1"/>
  <c r="AT12" i="2" a="1"/>
  <c r="AX14" i="2" a="1"/>
  <c r="AT16" i="2" a="1"/>
  <c r="AV17" i="2" a="1"/>
  <c r="AX18" i="2" a="1"/>
  <c r="AV21" i="2" a="1"/>
  <c r="AZ23" i="2" a="1"/>
  <c r="AZ11" i="2" a="1"/>
  <c r="AU11" i="2" a="1"/>
  <c r="AR11" i="2" a="1"/>
  <c r="AV11" i="2" a="1"/>
  <c r="AY11" i="2" a="1"/>
  <c r="AS11" i="2" a="1"/>
  <c r="AW11" i="2" a="1"/>
  <c r="BA11" i="2" a="1"/>
  <c r="AT11" i="2" a="1"/>
  <c r="AX11" i="2" a="1"/>
  <c r="BB11" i="2" a="1"/>
  <c r="AQ11" i="2" a="1"/>
  <c r="BC11" i="2" a="1"/>
  <c r="AP11" i="2" a="1"/>
  <c r="X12" i="2" a="1"/>
  <c r="AB12" i="2" a="1"/>
  <c r="AF12" i="2" a="1"/>
  <c r="AJ12" i="2" a="1"/>
  <c r="Z13" i="2" a="1"/>
  <c r="AD13" i="2" a="1"/>
  <c r="AH13" i="2" a="1"/>
  <c r="X14" i="2" a="1"/>
  <c r="AB14" i="2" a="1"/>
  <c r="AF14" i="2" a="1"/>
  <c r="AJ14" i="2" a="1"/>
  <c r="Z15" i="2" a="1"/>
  <c r="AD15" i="2" a="1"/>
  <c r="AH15" i="2" a="1"/>
  <c r="X16" i="2" a="1"/>
  <c r="AB16" i="2" a="1"/>
  <c r="AF16" i="2" a="1"/>
  <c r="AJ16" i="2" a="1"/>
  <c r="Z17" i="2" a="1"/>
  <c r="AD17" i="2" a="1"/>
  <c r="AH17" i="2" a="1"/>
  <c r="X18" i="2" a="1"/>
  <c r="AB18" i="2" a="1"/>
  <c r="AF18" i="2" a="1"/>
  <c r="AJ18" i="2" a="1"/>
  <c r="Z19" i="2" a="1"/>
  <c r="AD19" i="2" a="1"/>
  <c r="AH19" i="2" a="1"/>
  <c r="X20" i="2" a="1"/>
  <c r="AB20" i="2" a="1"/>
  <c r="AF20" i="2" a="1"/>
  <c r="AJ20" i="2" a="1"/>
  <c r="Z21" i="2" a="1"/>
  <c r="AD21" i="2" a="1"/>
  <c r="AH21" i="2" a="1"/>
  <c r="X22" i="2" a="1"/>
  <c r="AB22" i="2" a="1"/>
  <c r="AF22" i="2" a="1"/>
  <c r="AJ22" i="2" a="1"/>
  <c r="Z23" i="2" a="1"/>
  <c r="AD23" i="2" a="1"/>
  <c r="AH23" i="2" a="1"/>
  <c r="X24" i="2" a="1"/>
  <c r="AB24" i="2" a="1"/>
  <c r="AF24" i="2" a="1"/>
  <c r="AJ24" i="2" a="1"/>
  <c r="Z25" i="2" a="1"/>
  <c r="AD25" i="2" a="1"/>
  <c r="AH25" i="2" a="1"/>
  <c r="X26" i="2" a="1"/>
  <c r="AF26" i="2" a="1"/>
  <c r="AJ26" i="2" a="1"/>
  <c r="Z27" i="2" a="1"/>
  <c r="AD27" i="2" a="1"/>
  <c r="Y13" i="2" a="1"/>
  <c r="AI14" i="2" a="1"/>
  <c r="AK15" i="2" a="1"/>
  <c r="AG17" i="2" a="1"/>
  <c r="Y19" i="2" a="1"/>
  <c r="AI20" i="2" a="1"/>
  <c r="AE22" i="2" a="1"/>
  <c r="AE24" i="2" a="1"/>
  <c r="AK25" i="2" a="1"/>
  <c r="AG27" i="2" a="1"/>
  <c r="AI27" i="2" a="1"/>
  <c r="AD24" i="2" a="1"/>
  <c r="Z26" i="2" a="1"/>
  <c r="AF27" i="2" a="1"/>
  <c r="AA12" i="2" a="1"/>
  <c r="Y15" i="2" a="1"/>
  <c r="AE16" i="2" a="1"/>
  <c r="AK17" i="2" a="1"/>
  <c r="AG19" i="2" a="1"/>
  <c r="AC21" i="2" a="1"/>
  <c r="AC23" i="2" a="1"/>
  <c r="Y25" i="2" a="1"/>
  <c r="Y27" i="2" a="1"/>
  <c r="Y12" i="2" a="1"/>
  <c r="AC12" i="2" a="1"/>
  <c r="AG12" i="2" a="1"/>
  <c r="AK12" i="2" a="1"/>
  <c r="AA13" i="2" a="1"/>
  <c r="AE13" i="2" a="1"/>
  <c r="AI13" i="2" a="1"/>
  <c r="Y14" i="2" a="1"/>
  <c r="AC14" i="2" a="1"/>
  <c r="AG14" i="2" a="1"/>
  <c r="AK14" i="2" a="1"/>
  <c r="AA15" i="2" a="1"/>
  <c r="AE15" i="2" a="1"/>
  <c r="AI15" i="2" a="1"/>
  <c r="Y16" i="2" a="1"/>
  <c r="AC16" i="2" a="1"/>
  <c r="AG16" i="2" a="1"/>
  <c r="AK16" i="2" a="1"/>
  <c r="AA17" i="2" a="1"/>
  <c r="AE17" i="2" a="1"/>
  <c r="AI17" i="2" a="1"/>
  <c r="Y18" i="2" a="1"/>
  <c r="AC18" i="2" a="1"/>
  <c r="AG18" i="2" a="1"/>
  <c r="AK18" i="2" a="1"/>
  <c r="AA19" i="2" a="1"/>
  <c r="AE19" i="2" a="1"/>
  <c r="AI19" i="2" a="1"/>
  <c r="Y20" i="2" a="1"/>
  <c r="AC20" i="2" a="1"/>
  <c r="AG20" i="2" a="1"/>
  <c r="AK20" i="2" a="1"/>
  <c r="AA21" i="2" a="1"/>
  <c r="AE21" i="2" a="1"/>
  <c r="AI21" i="2" a="1"/>
  <c r="Y22" i="2" a="1"/>
  <c r="AC22" i="2" a="1"/>
  <c r="AG22" i="2" a="1"/>
  <c r="AK22" i="2" a="1"/>
  <c r="AA23" i="2" a="1"/>
  <c r="AE23" i="2" a="1"/>
  <c r="AI23" i="2" a="1"/>
  <c r="Y24" i="2" a="1"/>
  <c r="AC24" i="2" a="1"/>
  <c r="AG24" i="2" a="1"/>
  <c r="AK24" i="2" a="1"/>
  <c r="AA25" i="2" a="1"/>
  <c r="AE25" i="2" a="1"/>
  <c r="AI25" i="2" a="1"/>
  <c r="Y26" i="2" a="1"/>
  <c r="AC26" i="2" a="1"/>
  <c r="AG26" i="2" a="1"/>
  <c r="AK26" i="2" a="1"/>
  <c r="AA27" i="2" a="1"/>
  <c r="AE27" i="2" a="1"/>
  <c r="AH24" i="2" a="1"/>
  <c r="AJ25" i="2" a="1"/>
  <c r="AH26" i="2" a="1"/>
  <c r="AJ27" i="2" a="1"/>
  <c r="AI12" i="2" a="1"/>
  <c r="AC13" i="2" a="1"/>
  <c r="AE14" i="2" a="1"/>
  <c r="AC15" i="2" a="1"/>
  <c r="AA16" i="2" a="1"/>
  <c r="AI16" i="2" a="1"/>
  <c r="AA18" i="2" a="1"/>
  <c r="AC19" i="2" a="1"/>
  <c r="AE20" i="2" a="1"/>
  <c r="AK21" i="2" a="1"/>
  <c r="Y23" i="2" a="1"/>
  <c r="AK23" i="2" a="1"/>
  <c r="AC25" i="2" a="1"/>
  <c r="AE26" i="2" a="1"/>
  <c r="AK27" i="2" a="1"/>
  <c r="X21" i="2" a="1"/>
  <c r="AJ23" i="2" a="1"/>
  <c r="AB25" i="2" a="1"/>
  <c r="AD26" i="2" a="1"/>
  <c r="AB27" i="2" a="1"/>
  <c r="AE12" i="2" a="1"/>
  <c r="AA14" i="2" a="1"/>
  <c r="AG15" i="2" a="1"/>
  <c r="Y17" i="2" a="1"/>
  <c r="AI18" i="2" a="1"/>
  <c r="Y21" i="2" a="1"/>
  <c r="AI22" i="2" a="1"/>
  <c r="AI24" i="2" a="1"/>
  <c r="AI26" i="2" a="1"/>
  <c r="Z12" i="2" a="1"/>
  <c r="AD12" i="2" a="1"/>
  <c r="AH12" i="2" a="1"/>
  <c r="X13" i="2" a="1"/>
  <c r="AB13" i="2" a="1"/>
  <c r="AF13" i="2" a="1"/>
  <c r="AJ13" i="2" a="1"/>
  <c r="Z14" i="2" a="1"/>
  <c r="AD14" i="2" a="1"/>
  <c r="AH14" i="2" a="1"/>
  <c r="X15" i="2" a="1"/>
  <c r="AB15" i="2" a="1"/>
  <c r="AF15" i="2" a="1"/>
  <c r="AJ15" i="2" a="1"/>
  <c r="Z16" i="2" a="1"/>
  <c r="AD16" i="2" a="1"/>
  <c r="AH16" i="2" a="1"/>
  <c r="X17" i="2" a="1"/>
  <c r="AB17" i="2" a="1"/>
  <c r="AF17" i="2" a="1"/>
  <c r="AJ17" i="2" a="1"/>
  <c r="Z18" i="2" a="1"/>
  <c r="AD18" i="2" a="1"/>
  <c r="AH18" i="2" a="1"/>
  <c r="X19" i="2" a="1"/>
  <c r="AB19" i="2" a="1"/>
  <c r="AF19" i="2" a="1"/>
  <c r="AJ19" i="2" a="1"/>
  <c r="Z20" i="2" a="1"/>
  <c r="AD20" i="2" a="1"/>
  <c r="AH20" i="2" a="1"/>
  <c r="AB21" i="2" a="1"/>
  <c r="AF21" i="2" a="1"/>
  <c r="AJ21" i="2" a="1"/>
  <c r="Z22" i="2" a="1"/>
  <c r="AD22" i="2" a="1"/>
  <c r="AH22" i="2" a="1"/>
  <c r="X23" i="2" a="1"/>
  <c r="AB23" i="2" a="1"/>
  <c r="AF23" i="2" a="1"/>
  <c r="Z24" i="2" a="1"/>
  <c r="X25" i="2" a="1"/>
  <c r="AF25" i="2" a="1"/>
  <c r="X27" i="2" a="1"/>
  <c r="AK13" i="2" a="1"/>
  <c r="AE18" i="2" a="1"/>
  <c r="AA20" i="2" a="1"/>
  <c r="AA22" i="2" a="1"/>
  <c r="AA24" i="2" a="1"/>
  <c r="AA26" i="2" a="1"/>
  <c r="AB26" i="2" a="1"/>
  <c r="AH27" i="2" a="1"/>
  <c r="AG13" i="2" a="1"/>
  <c r="AC17" i="2" a="1"/>
  <c r="AK19" i="2" a="1"/>
  <c r="AG21" i="2" a="1"/>
  <c r="AG23" i="2" a="1"/>
  <c r="AG25" i="2" a="1"/>
  <c r="AC27" i="2" a="1"/>
  <c r="Y11" i="2" a="1"/>
  <c r="AD11" i="2" a="1"/>
  <c r="AH11" i="2" a="1"/>
  <c r="AI11" i="2" a="1"/>
  <c r="Z11" i="2" a="1"/>
  <c r="AK11" i="2" a="1"/>
  <c r="AG11" i="2" a="1"/>
  <c r="AA11" i="2" a="1"/>
  <c r="AE11" i="2" a="1"/>
  <c r="AC11" i="2" a="1"/>
  <c r="AB11" i="2" a="1"/>
  <c r="AF11" i="2" a="1"/>
  <c r="AJ11" i="2" a="1"/>
  <c r="X11" i="2" a="1"/>
  <c r="F12" i="2" a="1"/>
  <c r="J12" i="2" a="1"/>
  <c r="N12" i="2" a="1"/>
  <c r="R12" i="2" a="1"/>
  <c r="H13" i="2" a="1"/>
  <c r="L13" i="2" a="1"/>
  <c r="P13" i="2" a="1"/>
  <c r="F14" i="2" a="1"/>
  <c r="J14" i="2" a="1"/>
  <c r="N14" i="2" a="1"/>
  <c r="R14" i="2" a="1"/>
  <c r="H15" i="2" a="1"/>
  <c r="L15" i="2" a="1"/>
  <c r="P15" i="2" a="1"/>
  <c r="F16" i="2" a="1"/>
  <c r="J16" i="2" a="1"/>
  <c r="N16" i="2" a="1"/>
  <c r="R16" i="2" a="1"/>
  <c r="H17" i="2" a="1"/>
  <c r="L17" i="2" a="1"/>
  <c r="P17" i="2" a="1"/>
  <c r="F18" i="2" a="1"/>
  <c r="J18" i="2" a="1"/>
  <c r="N18" i="2" a="1"/>
  <c r="R18" i="2" a="1"/>
  <c r="H19" i="2" a="1"/>
  <c r="L19" i="2" a="1"/>
  <c r="P19" i="2" a="1"/>
  <c r="F20" i="2" a="1"/>
  <c r="J20" i="2" a="1"/>
  <c r="N20" i="2" a="1"/>
  <c r="R20" i="2" a="1"/>
  <c r="H21" i="2" a="1"/>
  <c r="L21" i="2" a="1"/>
  <c r="P21" i="2" a="1"/>
  <c r="F22" i="2" a="1"/>
  <c r="J22" i="2" a="1"/>
  <c r="N22" i="2" a="1"/>
  <c r="R22" i="2" a="1"/>
  <c r="H23" i="2" a="1"/>
  <c r="L23" i="2" a="1"/>
  <c r="P23" i="2" a="1"/>
  <c r="F24" i="2" a="1"/>
  <c r="J24" i="2" a="1"/>
  <c r="N24" i="2" a="1"/>
  <c r="R24" i="2" a="1"/>
  <c r="H25" i="2" a="1"/>
  <c r="L25" i="2" a="1"/>
  <c r="P25" i="2" a="1"/>
  <c r="F26" i="2" a="1"/>
  <c r="J26" i="2" a="1"/>
  <c r="N26" i="2" a="1"/>
  <c r="R26" i="2" a="1"/>
  <c r="H27" i="2" a="1"/>
  <c r="L27" i="2" a="1"/>
  <c r="P27" i="2" a="1"/>
  <c r="S20" i="2" a="1"/>
  <c r="S22" i="2" a="1"/>
  <c r="M23" i="2" a="1"/>
  <c r="G24" i="2" a="1"/>
  <c r="O24" i="2" a="1"/>
  <c r="I25" i="2" a="1"/>
  <c r="Q25" i="2" a="1"/>
  <c r="G26" i="2" a="1"/>
  <c r="O26" i="2" a="1"/>
  <c r="I27" i="2" a="1"/>
  <c r="Q27" i="2" a="1"/>
  <c r="G12" i="2" a="1"/>
  <c r="K12" i="2" a="1"/>
  <c r="O12" i="2" a="1"/>
  <c r="S12" i="2" a="1"/>
  <c r="I13" i="2" a="1"/>
  <c r="M13" i="2" a="1"/>
  <c r="Q13" i="2" a="1"/>
  <c r="G14" i="2" a="1"/>
  <c r="K14" i="2" a="1"/>
  <c r="O14" i="2" a="1"/>
  <c r="S14" i="2" a="1"/>
  <c r="I15" i="2" a="1"/>
  <c r="M15" i="2" a="1"/>
  <c r="Q15" i="2" a="1"/>
  <c r="G16" i="2" a="1"/>
  <c r="K16" i="2" a="1"/>
  <c r="O16" i="2" a="1"/>
  <c r="S16" i="2" a="1"/>
  <c r="I17" i="2" a="1"/>
  <c r="M17" i="2" a="1"/>
  <c r="Q17" i="2" a="1"/>
  <c r="G18" i="2" a="1"/>
  <c r="K18" i="2" a="1"/>
  <c r="O18" i="2" a="1"/>
  <c r="S18" i="2" a="1"/>
  <c r="I19" i="2" a="1"/>
  <c r="M19" i="2" a="1"/>
  <c r="Q19" i="2" a="1"/>
  <c r="G20" i="2" a="1"/>
  <c r="K20" i="2" a="1"/>
  <c r="O20" i="2" a="1"/>
  <c r="I21" i="2" a="1"/>
  <c r="M21" i="2" a="1"/>
  <c r="Q21" i="2" a="1"/>
  <c r="G22" i="2" a="1"/>
  <c r="K22" i="2" a="1"/>
  <c r="O22" i="2" a="1"/>
  <c r="I23" i="2" a="1"/>
  <c r="Q23" i="2" a="1"/>
  <c r="K24" i="2" a="1"/>
  <c r="S24" i="2" a="1"/>
  <c r="M25" i="2" a="1"/>
  <c r="K26" i="2" a="1"/>
  <c r="S26" i="2" a="1"/>
  <c r="M27" i="2" a="1"/>
  <c r="H12" i="2" a="1"/>
  <c r="L12" i="2" a="1"/>
  <c r="P12" i="2" a="1"/>
  <c r="F13" i="2" a="1"/>
  <c r="J13" i="2" a="1"/>
  <c r="N13" i="2" a="1"/>
  <c r="R13" i="2" a="1"/>
  <c r="H14" i="2" a="1"/>
  <c r="L14" i="2" a="1"/>
  <c r="P14" i="2" a="1"/>
  <c r="F15" i="2" a="1"/>
  <c r="J15" i="2" a="1"/>
  <c r="N15" i="2" a="1"/>
  <c r="R15" i="2" a="1"/>
  <c r="H16" i="2" a="1"/>
  <c r="L16" i="2" a="1"/>
  <c r="P16" i="2" a="1"/>
  <c r="F17" i="2" a="1"/>
  <c r="J17" i="2" a="1"/>
  <c r="N17" i="2" a="1"/>
  <c r="R17" i="2" a="1"/>
  <c r="I12" i="2" a="1"/>
  <c r="M12" i="2" a="1"/>
  <c r="Q12" i="2" a="1"/>
  <c r="G13" i="2" a="1"/>
  <c r="K13" i="2" a="1"/>
  <c r="O13" i="2" a="1"/>
  <c r="S13" i="2" a="1"/>
  <c r="I14" i="2" a="1"/>
  <c r="M14" i="2" a="1"/>
  <c r="Q14" i="2" a="1"/>
  <c r="G15" i="2" a="1"/>
  <c r="K15" i="2" a="1"/>
  <c r="O15" i="2" a="1"/>
  <c r="S15" i="2" a="1"/>
  <c r="I16" i="2" a="1"/>
  <c r="M16" i="2" a="1"/>
  <c r="Q16" i="2" a="1"/>
  <c r="G17" i="2" a="1"/>
  <c r="K17" i="2" a="1"/>
  <c r="O17" i="2" a="1"/>
  <c r="S17" i="2" a="1"/>
  <c r="I18" i="2" a="1"/>
  <c r="M18" i="2" a="1"/>
  <c r="Q18" i="2" a="1"/>
  <c r="G19" i="2" a="1"/>
  <c r="K19" i="2" a="1"/>
  <c r="O19" i="2" a="1"/>
  <c r="S19" i="2" a="1"/>
  <c r="I20" i="2" a="1"/>
  <c r="M20" i="2" a="1"/>
  <c r="H18" i="2" a="1"/>
  <c r="L20" i="2" a="1"/>
  <c r="O21" i="2" a="1"/>
  <c r="Q22" i="2" a="1"/>
  <c r="S23" i="2" a="1"/>
  <c r="G25" i="2" a="1"/>
  <c r="I26" i="2" a="1"/>
  <c r="J27" i="2" a="1"/>
  <c r="P20" i="2" a="1"/>
  <c r="R21" i="2" a="1"/>
  <c r="F23" i="2" a="1"/>
  <c r="H24" i="2" a="1"/>
  <c r="J25" i="2" a="1"/>
  <c r="K27" i="2" a="1"/>
  <c r="R19" i="2" a="1"/>
  <c r="G27" i="2" a="1"/>
  <c r="P22" i="2" a="1"/>
  <c r="L18" i="2" a="1"/>
  <c r="L26" i="2" a="1"/>
  <c r="S25" i="2" a="1"/>
  <c r="H20" i="2" a="1"/>
  <c r="P18" i="2" a="1"/>
  <c r="Q20" i="2" a="1"/>
  <c r="S21" i="2" a="1"/>
  <c r="G23" i="2" a="1"/>
  <c r="I24" i="2" a="1"/>
  <c r="K25" i="2" a="1"/>
  <c r="M26" i="2" a="1"/>
  <c r="N27" i="2" a="1"/>
  <c r="O23" i="2" a="1"/>
  <c r="R23" i="2" a="1"/>
  <c r="F19" i="2" a="1"/>
  <c r="F21" i="2" a="1"/>
  <c r="H22" i="2" a="1"/>
  <c r="J23" i="2" a="1"/>
  <c r="L24" i="2" a="1"/>
  <c r="N25" i="2" a="1"/>
  <c r="P26" i="2" a="1"/>
  <c r="O27" i="2" a="1"/>
  <c r="M22" i="2" a="1"/>
  <c r="F25" i="2" a="1"/>
  <c r="J19" i="2" a="1"/>
  <c r="G21" i="2" a="1"/>
  <c r="I22" i="2" a="1"/>
  <c r="K23" i="2" a="1"/>
  <c r="M24" i="2" a="1"/>
  <c r="O25" i="2" a="1"/>
  <c r="Q26" i="2" a="1"/>
  <c r="R27" i="2" a="1"/>
  <c r="K21" i="2" a="1"/>
  <c r="N21" i="2" a="1"/>
  <c r="N19" i="2" a="1"/>
  <c r="J21" i="2" a="1"/>
  <c r="L22" i="2" a="1"/>
  <c r="N23" i="2" a="1"/>
  <c r="P24" i="2" a="1"/>
  <c r="R25" i="2" a="1"/>
  <c r="F27" i="2" a="1"/>
  <c r="S27" i="2" a="1"/>
  <c r="Q24" i="2" a="1"/>
  <c r="H26" i="2" a="1"/>
  <c r="I11" i="2" a="1"/>
  <c r="M11" i="2" a="1"/>
  <c r="Q11" i="2" a="1"/>
  <c r="G11" i="2" a="1"/>
  <c r="O11" i="2" a="1"/>
  <c r="L11" i="2" a="1"/>
  <c r="P11" i="2" a="1"/>
  <c r="J11" i="2" a="1"/>
  <c r="N11" i="2" a="1"/>
  <c r="R11" i="2" a="1"/>
  <c r="K11" i="2" a="1"/>
  <c r="S11" i="2" a="1"/>
  <c r="H11" i="2" a="1"/>
  <c r="F11" i="2" a="1"/>
  <c r="AP173" i="1" a="1"/>
  <c r="AP177" i="1" a="1"/>
  <c r="BB177" i="1" a="1"/>
  <c r="AV178" i="1" a="1"/>
  <c r="AP179" i="1" a="1"/>
  <c r="AT179" i="1" a="1"/>
  <c r="BB179" i="1" a="1"/>
  <c r="AR180" i="1" a="1"/>
  <c r="AZ180" i="1" a="1"/>
  <c r="AT181" i="1" a="1"/>
  <c r="AX181" i="1" a="1"/>
  <c r="AR182" i="1" a="1"/>
  <c r="AZ182" i="1" a="1"/>
  <c r="AP183" i="1" a="1"/>
  <c r="AX183" i="1" a="1"/>
  <c r="BB183" i="1" a="1"/>
  <c r="AV184" i="1" a="1"/>
  <c r="AZ184" i="1" a="1"/>
  <c r="AT185" i="1" a="1"/>
  <c r="BB185" i="1" a="1"/>
  <c r="AR170" i="1" a="1"/>
  <c r="AV170" i="1" a="1"/>
  <c r="AZ170" i="1" a="1"/>
  <c r="AP171" i="1" a="1"/>
  <c r="AT171" i="1" a="1"/>
  <c r="AX171" i="1" a="1"/>
  <c r="BB171" i="1" a="1"/>
  <c r="AR172" i="1" a="1"/>
  <c r="AV172" i="1" a="1"/>
  <c r="AZ172" i="1" a="1"/>
  <c r="AT173" i="1" a="1"/>
  <c r="AX173" i="1" a="1"/>
  <c r="BB173" i="1" a="1"/>
  <c r="AR174" i="1" a="1"/>
  <c r="AV174" i="1" a="1"/>
  <c r="AZ174" i="1" a="1"/>
  <c r="AP175" i="1" a="1"/>
  <c r="AT175" i="1" a="1"/>
  <c r="AX175" i="1" a="1"/>
  <c r="BB175" i="1" a="1"/>
  <c r="AR176" i="1" a="1"/>
  <c r="AV176" i="1" a="1"/>
  <c r="AZ176" i="1" a="1"/>
  <c r="AT177" i="1" a="1"/>
  <c r="AX177" i="1" a="1"/>
  <c r="AR178" i="1" a="1"/>
  <c r="AZ178" i="1" a="1"/>
  <c r="AX179" i="1" a="1"/>
  <c r="AV180" i="1" a="1"/>
  <c r="AP181" i="1" a="1"/>
  <c r="BB181" i="1" a="1"/>
  <c r="AV182" i="1" a="1"/>
  <c r="AT183" i="1" a="1"/>
  <c r="AR184" i="1" a="1"/>
  <c r="AP185" i="1" a="1"/>
  <c r="AX185" i="1" a="1"/>
  <c r="AP170" i="1" a="1"/>
  <c r="AT170" i="1" a="1"/>
  <c r="AX170" i="1" a="1"/>
  <c r="BB170" i="1" a="1"/>
  <c r="AR171" i="1" a="1"/>
  <c r="AV171" i="1" a="1"/>
  <c r="AZ171" i="1" a="1"/>
  <c r="AP172" i="1" a="1"/>
  <c r="AT172" i="1" a="1"/>
  <c r="AX172" i="1" a="1"/>
  <c r="BB172" i="1" a="1"/>
  <c r="AR173" i="1" a="1"/>
  <c r="AV173" i="1" a="1"/>
  <c r="AZ173" i="1" a="1"/>
  <c r="AP174" i="1" a="1"/>
  <c r="AT174" i="1" a="1"/>
  <c r="AX174" i="1" a="1"/>
  <c r="BB174" i="1" a="1"/>
  <c r="AR175" i="1" a="1"/>
  <c r="AV175" i="1" a="1"/>
  <c r="AZ175" i="1" a="1"/>
  <c r="AP176" i="1" a="1"/>
  <c r="AT176" i="1" a="1"/>
  <c r="AX176" i="1" a="1"/>
  <c r="BB176" i="1" a="1"/>
  <c r="AR177" i="1" a="1"/>
  <c r="AV177" i="1" a="1"/>
  <c r="AZ177" i="1" a="1"/>
  <c r="AP178" i="1" a="1"/>
  <c r="AT178" i="1" a="1"/>
  <c r="AX178" i="1" a="1"/>
  <c r="BB178" i="1" a="1"/>
  <c r="AR179" i="1" a="1"/>
  <c r="AS170" i="1" a="1"/>
  <c r="AU171" i="1" a="1"/>
  <c r="AW172" i="1" a="1"/>
  <c r="AY173" i="1" a="1"/>
  <c r="BA174" i="1" a="1"/>
  <c r="BC175" i="1" a="1"/>
  <c r="BC176" i="1" a="1"/>
  <c r="AY178" i="1" a="1"/>
  <c r="AU179" i="1" a="1"/>
  <c r="BC179" i="1" a="1"/>
  <c r="AW180" i="1" a="1"/>
  <c r="AQ181" i="1" a="1"/>
  <c r="AY181" i="1" a="1"/>
  <c r="AS182" i="1" a="1"/>
  <c r="BA182" i="1" a="1"/>
  <c r="AU183" i="1" a="1"/>
  <c r="BC183" i="1" a="1"/>
  <c r="AW184" i="1" a="1"/>
  <c r="AQ185" i="1" a="1"/>
  <c r="AY185" i="1" a="1"/>
  <c r="AQ175" i="1" a="1"/>
  <c r="BA178" i="1" a="1"/>
  <c r="AQ180" i="1" a="1"/>
  <c r="AS181" i="1" a="1"/>
  <c r="AU182" i="1" a="1"/>
  <c r="AQ184" i="1" a="1"/>
  <c r="AS185" i="1" a="1"/>
  <c r="BC180" i="1" a="1"/>
  <c r="AS183" i="1" a="1"/>
  <c r="AU172" i="1" a="1"/>
  <c r="AU170" i="1" a="1"/>
  <c r="AW171" i="1" a="1"/>
  <c r="AY172" i="1" a="1"/>
  <c r="BA173" i="1" a="1"/>
  <c r="BC174" i="1" a="1"/>
  <c r="AQ176" i="1" a="1"/>
  <c r="AQ177" i="1" a="1"/>
  <c r="BC177" i="1" a="1"/>
  <c r="AV179" i="1" a="1"/>
  <c r="AP180" i="1" a="1"/>
  <c r="AX180" i="1" a="1"/>
  <c r="AR181" i="1" a="1"/>
  <c r="AZ181" i="1" a="1"/>
  <c r="AT182" i="1" a="1"/>
  <c r="BB182" i="1" a="1"/>
  <c r="AV183" i="1" a="1"/>
  <c r="AP184" i="1" a="1"/>
  <c r="AX184" i="1" a="1"/>
  <c r="AR185" i="1" a="1"/>
  <c r="AZ185" i="1" a="1"/>
  <c r="AW170" i="1" a="1"/>
  <c r="AY171" i="1" a="1"/>
  <c r="BA172" i="1" a="1"/>
  <c r="BC173" i="1" a="1"/>
  <c r="AS176" i="1" a="1"/>
  <c r="AS177" i="1" a="1"/>
  <c r="AQ178" i="1" a="1"/>
  <c r="AW179" i="1" a="1"/>
  <c r="AY180" i="1" a="1"/>
  <c r="BA181" i="1" a="1"/>
  <c r="BC182" i="1" a="1"/>
  <c r="AW183" i="1" a="1"/>
  <c r="AY184" i="1" a="1"/>
  <c r="BA185" i="1" a="1"/>
  <c r="AS179" i="1" a="1"/>
  <c r="AY182" i="1" a="1"/>
  <c r="BC184" i="1" a="1"/>
  <c r="AS171" i="1" a="1"/>
  <c r="BA175" i="1" a="1"/>
  <c r="AW178" i="1" a="1"/>
  <c r="AY170" i="1" a="1"/>
  <c r="BA171" i="1" a="1"/>
  <c r="BC172" i="1" a="1"/>
  <c r="AQ174" i="1" a="1"/>
  <c r="AS175" i="1" a="1"/>
  <c r="AU176" i="1" a="1"/>
  <c r="AU177" i="1" a="1"/>
  <c r="BC178" i="1" a="1"/>
  <c r="BC171" i="1" a="1"/>
  <c r="AS174" i="1" a="1"/>
  <c r="AW177" i="1" a="1"/>
  <c r="AY179" i="1" a="1"/>
  <c r="BA180" i="1" a="1"/>
  <c r="AW182" i="1" a="1"/>
  <c r="AY183" i="1" a="1"/>
  <c r="AU185" i="1" a="1"/>
  <c r="BC170" i="1" a="1"/>
  <c r="AS173" i="1" a="1"/>
  <c r="AU174" i="1" a="1"/>
  <c r="AW176" i="1" a="1"/>
  <c r="AQ179" i="1" a="1"/>
  <c r="AT180" i="1" a="1"/>
  <c r="AV181" i="1" a="1"/>
  <c r="AX182" i="1" a="1"/>
  <c r="AZ183" i="1" a="1"/>
  <c r="BB184" i="1" a="1"/>
  <c r="AQ171" i="1" a="1"/>
  <c r="AW174" i="1" a="1"/>
  <c r="AY176" i="1" a="1"/>
  <c r="BA179" i="1" a="1"/>
  <c r="AW181" i="1" a="1"/>
  <c r="AU184" i="1" a="1"/>
  <c r="AQ170" i="1" a="1"/>
  <c r="BA176" i="1" a="1"/>
  <c r="BA170" i="1" a="1"/>
  <c r="AQ173" i="1" a="1"/>
  <c r="AU175" i="1" a="1"/>
  <c r="AS178" i="1" a="1"/>
  <c r="AS180" i="1" a="1"/>
  <c r="AU181" i="1" a="1"/>
  <c r="BC181" i="1" a="1"/>
  <c r="AQ183" i="1" a="1"/>
  <c r="AS184" i="1" a="1"/>
  <c r="BA184" i="1" a="1"/>
  <c r="BC185" i="1" a="1"/>
  <c r="AQ172" i="1" a="1"/>
  <c r="AW175" i="1" a="1"/>
  <c r="AU178" i="1" a="1"/>
  <c r="AZ179" i="1" a="1"/>
  <c r="BB180" i="1" a="1"/>
  <c r="AP182" i="1" a="1"/>
  <c r="AR183" i="1" a="1"/>
  <c r="AT184" i="1" a="1"/>
  <c r="AV185" i="1" a="1"/>
  <c r="AS172" i="1" a="1"/>
  <c r="AU173" i="1" a="1"/>
  <c r="AY175" i="1" a="1"/>
  <c r="AY177" i="1" a="1"/>
  <c r="AU180" i="1" a="1"/>
  <c r="AQ182" i="1" a="1"/>
  <c r="BA183" i="1" a="1"/>
  <c r="AW185" i="1" a="1"/>
  <c r="AW173" i="1" a="1"/>
  <c r="AY174" i="1" a="1"/>
  <c r="BA177" i="1" a="1"/>
  <c r="AQ169" i="1" a="1"/>
  <c r="AU169" i="1" a="1"/>
  <c r="AY169" i="1" a="1"/>
  <c r="BC169" i="1" a="1"/>
  <c r="AV169" i="1" a="1"/>
  <c r="AR169" i="1" a="1"/>
  <c r="AZ169" i="1" a="1"/>
  <c r="AT169" i="1" a="1"/>
  <c r="BB169" i="1" a="1"/>
  <c r="AS169" i="1" a="1"/>
  <c r="AW169" i="1" a="1"/>
  <c r="BA169" i="1" a="1"/>
  <c r="AX169" i="1" a="1"/>
  <c r="AP169" i="1" a="1"/>
  <c r="AC182" i="1" a="1"/>
  <c r="Y184" i="1" a="1"/>
  <c r="AK184" i="1" a="1"/>
  <c r="AE185" i="1" a="1"/>
  <c r="Z178" i="1" a="1"/>
  <c r="AB179" i="1" a="1"/>
  <c r="Z180" i="1" a="1"/>
  <c r="X181" i="1" a="1"/>
  <c r="AJ181" i="1" a="1"/>
  <c r="AH182" i="1" a="1"/>
  <c r="AJ183" i="1" a="1"/>
  <c r="AF185" i="1" a="1"/>
  <c r="Y170" i="1" a="1"/>
  <c r="AC170" i="1" a="1"/>
  <c r="AG170" i="1" a="1"/>
  <c r="AK170" i="1" a="1"/>
  <c r="AA171" i="1" a="1"/>
  <c r="AE171" i="1" a="1"/>
  <c r="AI171" i="1" a="1"/>
  <c r="Y172" i="1" a="1"/>
  <c r="AC172" i="1" a="1"/>
  <c r="AG172" i="1" a="1"/>
  <c r="AK172" i="1" a="1"/>
  <c r="AA173" i="1" a="1"/>
  <c r="AE173" i="1" a="1"/>
  <c r="AI173" i="1" a="1"/>
  <c r="Y174" i="1" a="1"/>
  <c r="AC174" i="1" a="1"/>
  <c r="AG174" i="1" a="1"/>
  <c r="AK174" i="1" a="1"/>
  <c r="AA175" i="1" a="1"/>
  <c r="AE175" i="1" a="1"/>
  <c r="AI175" i="1" a="1"/>
  <c r="Y176" i="1" a="1"/>
  <c r="AC176" i="1" a="1"/>
  <c r="AG176" i="1" a="1"/>
  <c r="AK176" i="1" a="1"/>
  <c r="AA177" i="1" a="1"/>
  <c r="AE177" i="1" a="1"/>
  <c r="AI177" i="1" a="1"/>
  <c r="Y178" i="1" a="1"/>
  <c r="AC178" i="1" a="1"/>
  <c r="AG178" i="1" a="1"/>
  <c r="AK178" i="1" a="1"/>
  <c r="AA179" i="1" a="1"/>
  <c r="AE179" i="1" a="1"/>
  <c r="AI179" i="1" a="1"/>
  <c r="Y180" i="1" a="1"/>
  <c r="AC180" i="1" a="1"/>
  <c r="AG180" i="1" a="1"/>
  <c r="AK180" i="1" a="1"/>
  <c r="AA181" i="1" a="1"/>
  <c r="AE181" i="1" a="1"/>
  <c r="AI181" i="1" a="1"/>
  <c r="Y182" i="1" a="1"/>
  <c r="AG182" i="1" a="1"/>
  <c r="AK182" i="1" a="1"/>
  <c r="AA183" i="1" a="1"/>
  <c r="AE183" i="1" a="1"/>
  <c r="AI183" i="1" a="1"/>
  <c r="AC184" i="1" a="1"/>
  <c r="AG184" i="1" a="1"/>
  <c r="AA185" i="1" a="1"/>
  <c r="AI185" i="1" a="1"/>
  <c r="AH178" i="1" a="1"/>
  <c r="AF179" i="1" a="1"/>
  <c r="AD180" i="1" a="1"/>
  <c r="AF181" i="1" a="1"/>
  <c r="AD182" i="1" a="1"/>
  <c r="AB183" i="1" a="1"/>
  <c r="AH184" i="1" a="1"/>
  <c r="Z170" i="1" a="1"/>
  <c r="AD170" i="1" a="1"/>
  <c r="AH170" i="1" a="1"/>
  <c r="X171" i="1" a="1"/>
  <c r="AB171" i="1" a="1"/>
  <c r="AF171" i="1" a="1"/>
  <c r="AJ171" i="1" a="1"/>
  <c r="Z172" i="1" a="1"/>
  <c r="AD172" i="1" a="1"/>
  <c r="AH172" i="1" a="1"/>
  <c r="X173" i="1" a="1"/>
  <c r="AB173" i="1" a="1"/>
  <c r="AF173" i="1" a="1"/>
  <c r="AJ173" i="1" a="1"/>
  <c r="Z174" i="1" a="1"/>
  <c r="AD174" i="1" a="1"/>
  <c r="AH174" i="1" a="1"/>
  <c r="X175" i="1" a="1"/>
  <c r="AB175" i="1" a="1"/>
  <c r="AF175" i="1" a="1"/>
  <c r="AJ175" i="1" a="1"/>
  <c r="Z176" i="1" a="1"/>
  <c r="AD176" i="1" a="1"/>
  <c r="AH176" i="1" a="1"/>
  <c r="X177" i="1" a="1"/>
  <c r="AB177" i="1" a="1"/>
  <c r="AF177" i="1" a="1"/>
  <c r="AJ177" i="1" a="1"/>
  <c r="AD178" i="1" a="1"/>
  <c r="X179" i="1" a="1"/>
  <c r="AJ179" i="1" a="1"/>
  <c r="AH180" i="1" a="1"/>
  <c r="AB181" i="1" a="1"/>
  <c r="Z182" i="1" a="1"/>
  <c r="X183" i="1" a="1"/>
  <c r="Z184" i="1" a="1"/>
  <c r="AG175" i="1" a="1"/>
  <c r="AE178" i="1" a="1"/>
  <c r="AC179" i="1" a="1"/>
  <c r="AK179" i="1" a="1"/>
  <c r="AE180" i="1" a="1"/>
  <c r="Y181" i="1" a="1"/>
  <c r="AG181" i="1" a="1"/>
  <c r="AA182" i="1" a="1"/>
  <c r="AI182" i="1" a="1"/>
  <c r="Y183" i="1" a="1"/>
  <c r="AG183" i="1" a="1"/>
  <c r="AA184" i="1" a="1"/>
  <c r="AE184" i="1" a="1"/>
  <c r="Y185" i="1" a="1"/>
  <c r="AG185" i="1" a="1"/>
  <c r="AK185" i="1" a="1"/>
  <c r="Z177" i="1" a="1"/>
  <c r="X178" i="1" a="1"/>
  <c r="AJ178" i="1" a="1"/>
  <c r="AH179" i="1" a="1"/>
  <c r="AF180" i="1" a="1"/>
  <c r="AD181" i="1" a="1"/>
  <c r="AB182" i="1" a="1"/>
  <c r="Z183" i="1" a="1"/>
  <c r="X184" i="1" a="1"/>
  <c r="Z185" i="1" a="1"/>
  <c r="AF183" i="1" a="1"/>
  <c r="AB185" i="1" a="1"/>
  <c r="AA170" i="1" a="1"/>
  <c r="AE170" i="1" a="1"/>
  <c r="AI170" i="1" a="1"/>
  <c r="Y171" i="1" a="1"/>
  <c r="AC171" i="1" a="1"/>
  <c r="AG171" i="1" a="1"/>
  <c r="AK171" i="1" a="1"/>
  <c r="AA172" i="1" a="1"/>
  <c r="AE172" i="1" a="1"/>
  <c r="AI172" i="1" a="1"/>
  <c r="Y173" i="1" a="1"/>
  <c r="AC173" i="1" a="1"/>
  <c r="AG173" i="1" a="1"/>
  <c r="AK173" i="1" a="1"/>
  <c r="AA174" i="1" a="1"/>
  <c r="AE174" i="1" a="1"/>
  <c r="AI174" i="1" a="1"/>
  <c r="Y175" i="1" a="1"/>
  <c r="AC175" i="1" a="1"/>
  <c r="AK175" i="1" a="1"/>
  <c r="AA176" i="1" a="1"/>
  <c r="AE176" i="1" a="1"/>
  <c r="AI176" i="1" a="1"/>
  <c r="Y177" i="1" a="1"/>
  <c r="AC177" i="1" a="1"/>
  <c r="AG177" i="1" a="1"/>
  <c r="AK177" i="1" a="1"/>
  <c r="AA178" i="1" a="1"/>
  <c r="AI178" i="1" a="1"/>
  <c r="Y179" i="1" a="1"/>
  <c r="AG179" i="1" a="1"/>
  <c r="AA180" i="1" a="1"/>
  <c r="AI180" i="1" a="1"/>
  <c r="AC181" i="1" a="1"/>
  <c r="AK181" i="1" a="1"/>
  <c r="AE182" i="1" a="1"/>
  <c r="AC183" i="1" a="1"/>
  <c r="AK183" i="1" a="1"/>
  <c r="AI184" i="1" a="1"/>
  <c r="AC185" i="1" a="1"/>
  <c r="AJ176" i="1" a="1"/>
  <c r="AB178" i="1" a="1"/>
  <c r="AD179" i="1" a="1"/>
  <c r="AB180" i="1" a="1"/>
  <c r="Z181" i="1" a="1"/>
  <c r="AH181" i="1" a="1"/>
  <c r="AF182" i="1" a="1"/>
  <c r="AD183" i="1" a="1"/>
  <c r="AB184" i="1" a="1"/>
  <c r="AJ184" i="1" a="1"/>
  <c r="AD185" i="1" a="1"/>
  <c r="AD184" i="1" a="1"/>
  <c r="AJ185" i="1" a="1"/>
  <c r="X170" i="1" a="1"/>
  <c r="AB170" i="1" a="1"/>
  <c r="AF170" i="1" a="1"/>
  <c r="AJ170" i="1" a="1"/>
  <c r="Z171" i="1" a="1"/>
  <c r="AD171" i="1" a="1"/>
  <c r="AH171" i="1" a="1"/>
  <c r="X172" i="1" a="1"/>
  <c r="AB172" i="1" a="1"/>
  <c r="AF172" i="1" a="1"/>
  <c r="AJ172" i="1" a="1"/>
  <c r="Z173" i="1" a="1"/>
  <c r="AD173" i="1" a="1"/>
  <c r="AH173" i="1" a="1"/>
  <c r="X174" i="1" a="1"/>
  <c r="AB174" i="1" a="1"/>
  <c r="AF174" i="1" a="1"/>
  <c r="AJ174" i="1" a="1"/>
  <c r="Z175" i="1" a="1"/>
  <c r="AD175" i="1" a="1"/>
  <c r="AH175" i="1" a="1"/>
  <c r="X176" i="1" a="1"/>
  <c r="AB176" i="1" a="1"/>
  <c r="AF176" i="1" a="1"/>
  <c r="AD177" i="1" a="1"/>
  <c r="AH177" i="1" a="1"/>
  <c r="AF178" i="1" a="1"/>
  <c r="Z179" i="1" a="1"/>
  <c r="X180" i="1" a="1"/>
  <c r="AJ180" i="1" a="1"/>
  <c r="X182" i="1" a="1"/>
  <c r="AJ182" i="1" a="1"/>
  <c r="AH183" i="1" a="1"/>
  <c r="AF184" i="1" a="1"/>
  <c r="AH185" i="1" a="1"/>
  <c r="X185" i="1" a="1"/>
  <c r="AD169" i="1" a="1"/>
  <c r="AH169" i="1" a="1"/>
  <c r="AA169" i="1" a="1"/>
  <c r="AE169" i="1" a="1"/>
  <c r="AI169" i="1" a="1"/>
  <c r="AF169" i="1" a="1"/>
  <c r="AJ169" i="1" a="1"/>
  <c r="AC169" i="1" a="1"/>
  <c r="AG169" i="1" a="1"/>
  <c r="Z169" i="1" a="1"/>
  <c r="AB169" i="1" a="1"/>
  <c r="Y169" i="1" a="1"/>
  <c r="AK169" i="1" a="1"/>
  <c r="X169" i="1" a="1"/>
  <c r="H185" i="1" a="1"/>
  <c r="L185" i="1" a="1"/>
  <c r="P185" i="1" a="1"/>
  <c r="J185" i="1" a="1"/>
  <c r="R185" i="1" a="1"/>
  <c r="K185" i="1" a="1"/>
  <c r="O185" i="1" a="1"/>
  <c r="F185" i="1" a="1"/>
  <c r="I185" i="1" a="1"/>
  <c r="M185" i="1" a="1"/>
  <c r="Q185" i="1" a="1"/>
  <c r="N185" i="1" a="1"/>
  <c r="G185" i="1" a="1"/>
  <c r="S185" i="1" a="1"/>
  <c r="H170" i="1" a="1"/>
  <c r="I170" i="1" a="1"/>
  <c r="M170" i="1" a="1"/>
  <c r="Q170" i="1" a="1"/>
  <c r="G171" i="1" a="1"/>
  <c r="K171" i="1" a="1"/>
  <c r="O171" i="1" a="1"/>
  <c r="S171" i="1" a="1"/>
  <c r="I172" i="1" a="1"/>
  <c r="M172" i="1" a="1"/>
  <c r="Q172" i="1" a="1"/>
  <c r="G173" i="1" a="1"/>
  <c r="K173" i="1" a="1"/>
  <c r="O173" i="1" a="1"/>
  <c r="S173" i="1" a="1"/>
  <c r="I174" i="1" a="1"/>
  <c r="M174" i="1" a="1"/>
  <c r="Q174" i="1" a="1"/>
  <c r="G175" i="1" a="1"/>
  <c r="K175" i="1" a="1"/>
  <c r="O175" i="1" a="1"/>
  <c r="S175" i="1" a="1"/>
  <c r="I176" i="1" a="1"/>
  <c r="M176" i="1" a="1"/>
  <c r="Q176" i="1" a="1"/>
  <c r="G177" i="1" a="1"/>
  <c r="K177" i="1" a="1"/>
  <c r="O177" i="1" a="1"/>
  <c r="S177" i="1" a="1"/>
  <c r="I178" i="1" a="1"/>
  <c r="M178" i="1" a="1"/>
  <c r="Q178" i="1" a="1"/>
  <c r="G179" i="1" a="1"/>
  <c r="K179" i="1" a="1"/>
  <c r="O179" i="1" a="1"/>
  <c r="S179" i="1" a="1"/>
  <c r="I180" i="1" a="1"/>
  <c r="M180" i="1" a="1"/>
  <c r="Q180" i="1" a="1"/>
  <c r="G181" i="1" a="1"/>
  <c r="K181" i="1" a="1"/>
  <c r="O181" i="1" a="1"/>
  <c r="S181" i="1" a="1"/>
  <c r="I182" i="1" a="1"/>
  <c r="M182" i="1" a="1"/>
  <c r="Q182" i="1" a="1"/>
  <c r="G183" i="1" a="1"/>
  <c r="K183" i="1" a="1"/>
  <c r="O183" i="1" a="1"/>
  <c r="S183" i="1" a="1"/>
  <c r="F170" i="1" a="1"/>
  <c r="J170" i="1" a="1"/>
  <c r="N170" i="1" a="1"/>
  <c r="R170" i="1" a="1"/>
  <c r="H171" i="1" a="1"/>
  <c r="L171" i="1" a="1"/>
  <c r="P171" i="1" a="1"/>
  <c r="F172" i="1" a="1"/>
  <c r="J172" i="1" a="1"/>
  <c r="N172" i="1" a="1"/>
  <c r="R172" i="1" a="1"/>
  <c r="H173" i="1" a="1"/>
  <c r="L173" i="1" a="1"/>
  <c r="P173" i="1" a="1"/>
  <c r="F174" i="1" a="1"/>
  <c r="J174" i="1" a="1"/>
  <c r="N174" i="1" a="1"/>
  <c r="R174" i="1" a="1"/>
  <c r="H175" i="1" a="1"/>
  <c r="L175" i="1" a="1"/>
  <c r="P175" i="1" a="1"/>
  <c r="F176" i="1" a="1"/>
  <c r="J176" i="1" a="1"/>
  <c r="N176" i="1" a="1"/>
  <c r="R176" i="1" a="1"/>
  <c r="H177" i="1" a="1"/>
  <c r="L177" i="1" a="1"/>
  <c r="P177" i="1" a="1"/>
  <c r="F178" i="1" a="1"/>
  <c r="J178" i="1" a="1"/>
  <c r="N178" i="1" a="1"/>
  <c r="R178" i="1" a="1"/>
  <c r="H179" i="1" a="1"/>
  <c r="L179" i="1" a="1"/>
  <c r="P179" i="1" a="1"/>
  <c r="F180" i="1" a="1"/>
  <c r="J180" i="1" a="1"/>
  <c r="N180" i="1" a="1"/>
  <c r="R180" i="1" a="1"/>
  <c r="H181" i="1" a="1"/>
  <c r="L181" i="1" a="1"/>
  <c r="P181" i="1" a="1"/>
  <c r="F182" i="1" a="1"/>
  <c r="J182" i="1" a="1"/>
  <c r="N182" i="1" a="1"/>
  <c r="R182" i="1" a="1"/>
  <c r="H183" i="1" a="1"/>
  <c r="L183" i="1" a="1"/>
  <c r="P183" i="1" a="1"/>
  <c r="G170" i="1" a="1"/>
  <c r="S170" i="1" a="1"/>
  <c r="L172" i="1" a="1"/>
  <c r="I173" i="1" a="1"/>
  <c r="P174" i="1" a="1"/>
  <c r="M175" i="1" a="1"/>
  <c r="F177" i="1" a="1"/>
  <c r="Q177" i="1" a="1"/>
  <c r="J179" i="1" a="1"/>
  <c r="G180" i="1" a="1"/>
  <c r="N181" i="1" a="1"/>
  <c r="K182" i="1" a="1"/>
  <c r="R183" i="1" a="1"/>
  <c r="K184" i="1" a="1"/>
  <c r="R184" i="1" a="1"/>
  <c r="I171" i="1" a="1"/>
  <c r="Q175" i="1" a="1"/>
  <c r="K180" i="1" a="1"/>
  <c r="N184" i="1" a="1"/>
  <c r="K178" i="1" a="1"/>
  <c r="S182" i="1" a="1"/>
  <c r="I179" i="1" a="1"/>
  <c r="Q183" i="1" a="1"/>
  <c r="F171" i="1" a="1"/>
  <c r="Q171" i="1" a="1"/>
  <c r="J173" i="1" a="1"/>
  <c r="G174" i="1" a="1"/>
  <c r="N175" i="1" a="1"/>
  <c r="K176" i="1" a="1"/>
  <c r="R177" i="1" a="1"/>
  <c r="O178" i="1" a="1"/>
  <c r="H180" i="1" a="1"/>
  <c r="S180" i="1" a="1"/>
  <c r="L182" i="1" a="1"/>
  <c r="I183" i="1" a="1"/>
  <c r="F184" i="1" a="1"/>
  <c r="L184" i="1" a="1"/>
  <c r="L170" i="1" a="1"/>
  <c r="P172" i="1" a="1"/>
  <c r="F175" i="1" a="1"/>
  <c r="J177" i="1" a="1"/>
  <c r="N179" i="1" a="1"/>
  <c r="R181" i="1" a="1"/>
  <c r="G184" i="1" a="1"/>
  <c r="G176" i="1" a="1"/>
  <c r="J184" i="1" a="1"/>
  <c r="R173" i="1" a="1"/>
  <c r="S176" i="1" a="1"/>
  <c r="M181" i="1" a="1"/>
  <c r="Q184" i="1" a="1"/>
  <c r="K170" i="1" a="1"/>
  <c r="R171" i="1" a="1"/>
  <c r="O172" i="1" a="1"/>
  <c r="H174" i="1" a="1"/>
  <c r="S174" i="1" a="1"/>
  <c r="L176" i="1" a="1"/>
  <c r="I177" i="1" a="1"/>
  <c r="P178" i="1" a="1"/>
  <c r="M179" i="1" a="1"/>
  <c r="F181" i="1" a="1"/>
  <c r="Q181" i="1" a="1"/>
  <c r="J183" i="1" a="1"/>
  <c r="M184" i="1" a="1"/>
  <c r="S184" i="1" a="1"/>
  <c r="M173" i="1" a="1"/>
  <c r="G178" i="1" a="1"/>
  <c r="O182" i="1" a="1"/>
  <c r="N177" i="1" a="1"/>
  <c r="H182" i="1" a="1"/>
  <c r="K172" i="1" a="1"/>
  <c r="L178" i="1" a="1"/>
  <c r="J171" i="1" a="1"/>
  <c r="G172" i="1" a="1"/>
  <c r="N173" i="1" a="1"/>
  <c r="K174" i="1" a="1"/>
  <c r="R175" i="1" a="1"/>
  <c r="O176" i="1" a="1"/>
  <c r="H178" i="1" a="1"/>
  <c r="S178" i="1" a="1"/>
  <c r="L180" i="1" a="1"/>
  <c r="I181" i="1" a="1"/>
  <c r="P182" i="1" a="1"/>
  <c r="M183" i="1" a="1"/>
  <c r="H184" i="1" a="1"/>
  <c r="H172" i="1" a="1"/>
  <c r="S172" i="1" a="1"/>
  <c r="L174" i="1" a="1"/>
  <c r="I175" i="1" a="1"/>
  <c r="P176" i="1" a="1"/>
  <c r="F179" i="1" a="1"/>
  <c r="J181" i="1" a="1"/>
  <c r="N183" i="1" a="1"/>
  <c r="O184" i="1" a="1"/>
  <c r="M171" i="1" a="1"/>
  <c r="Q173" i="1" a="1"/>
  <c r="O180" i="1" a="1"/>
  <c r="N171" i="1" a="1"/>
  <c r="H176" i="1" a="1"/>
  <c r="P180" i="1" a="1"/>
  <c r="O170" i="1" a="1"/>
  <c r="M177" i="1" a="1"/>
  <c r="Q179" i="1" a="1"/>
  <c r="G182" i="1" a="1"/>
  <c r="I184" i="1" a="1"/>
  <c r="P170" i="1" a="1"/>
  <c r="F173" i="1" a="1"/>
  <c r="J175" i="1" a="1"/>
  <c r="R179" i="1" a="1"/>
  <c r="P184" i="1" a="1"/>
  <c r="O174" i="1" a="1"/>
  <c r="F183" i="1" a="1"/>
  <c r="H169" i="1" a="1"/>
  <c r="L169" i="1" a="1"/>
  <c r="P169" i="1" a="1"/>
  <c r="K169" i="1" a="1"/>
  <c r="M169" i="1" a="1"/>
  <c r="Q169" i="1" a="1"/>
  <c r="O169" i="1" a="1"/>
  <c r="I169" i="1" a="1"/>
  <c r="R169" i="1" a="1"/>
  <c r="S169" i="1" a="1"/>
  <c r="J169" i="1" a="1"/>
  <c r="N169" i="1" a="1"/>
  <c r="G169" i="1" a="1"/>
  <c r="F169" i="1" a="1"/>
  <c r="M5" i="4" l="1"/>
  <c r="N5" i="4" s="1"/>
  <c r="AU106" i="2"/>
  <c r="BA104" i="2"/>
  <c r="AQ104" i="2"/>
  <c r="AW102" i="2"/>
  <c r="BA101" i="2"/>
  <c r="BC99" i="2"/>
  <c r="BC97" i="2"/>
  <c r="AY95" i="2"/>
  <c r="AU93" i="2"/>
  <c r="AQ91" i="2"/>
  <c r="AS106" i="2"/>
  <c r="AW105" i="2"/>
  <c r="BC103" i="2"/>
  <c r="AS103" i="2"/>
  <c r="AY101" i="2"/>
  <c r="BC100" i="2"/>
  <c r="AY99" i="2"/>
  <c r="AY97" i="2"/>
  <c r="AU95" i="2"/>
  <c r="AQ93" i="2"/>
  <c r="BC104" i="2"/>
  <c r="AS100" i="2"/>
  <c r="AU91" i="2"/>
  <c r="BC106" i="2"/>
  <c r="AY104" i="2"/>
  <c r="AU102" i="2"/>
  <c r="AU97" i="2"/>
  <c r="BA92" i="2"/>
  <c r="BA106" i="2"/>
  <c r="AQ97" i="2"/>
  <c r="AU103" i="2"/>
  <c r="AS98" i="2"/>
  <c r="BC95" i="2"/>
  <c r="AQ103" i="2"/>
  <c r="BA100" i="2"/>
  <c r="AW104" i="2"/>
  <c r="BA103" i="2"/>
  <c r="AS102" i="2"/>
  <c r="AW101" i="2"/>
  <c r="AU99" i="2"/>
  <c r="BA94" i="2"/>
  <c r="AW92" i="2"/>
  <c r="BC105" i="2"/>
  <c r="AS105" i="2"/>
  <c r="AY103" i="2"/>
  <c r="BC102" i="2"/>
  <c r="AU101" i="2"/>
  <c r="AY100" i="2"/>
  <c r="AQ99" i="2"/>
  <c r="BA96" i="2"/>
  <c r="AW94" i="2"/>
  <c r="AS92" i="2"/>
  <c r="AY105" i="2"/>
  <c r="AY102" i="2"/>
  <c r="AQ101" i="2"/>
  <c r="AY93" i="2"/>
  <c r="AU105" i="2"/>
  <c r="AQ95" i="2"/>
  <c r="AQ106" i="2"/>
  <c r="AY106" i="2"/>
  <c r="AQ105" i="2"/>
  <c r="AU104" i="2"/>
  <c r="BA102" i="2"/>
  <c r="AQ102" i="2"/>
  <c r="AW100" i="2"/>
  <c r="BA98" i="2"/>
  <c r="AW96" i="2"/>
  <c r="AS94" i="2"/>
  <c r="BC91" i="2"/>
  <c r="AW106" i="2"/>
  <c r="BA105" i="2"/>
  <c r="AS104" i="2"/>
  <c r="AW103" i="2"/>
  <c r="BC101" i="2"/>
  <c r="AS101" i="2"/>
  <c r="AW98" i="2"/>
  <c r="AS96" i="2"/>
  <c r="BC93" i="2"/>
  <c r="AY91" i="2"/>
  <c r="AZ106" i="2"/>
  <c r="AR106" i="2"/>
  <c r="AX105" i="2"/>
  <c r="AT105" i="2"/>
  <c r="AZ104" i="2"/>
  <c r="AR104" i="2"/>
  <c r="AX103" i="2"/>
  <c r="AZ102" i="2"/>
  <c r="AZ98" i="2"/>
  <c r="AQ100" i="2"/>
  <c r="AS99" i="2"/>
  <c r="AY98" i="2"/>
  <c r="AQ98" i="2"/>
  <c r="AW97" i="2"/>
  <c r="BC96" i="2"/>
  <c r="AY96" i="2"/>
  <c r="AQ96" i="2"/>
  <c r="BA95" i="2"/>
  <c r="AW95" i="2"/>
  <c r="AS95" i="2"/>
  <c r="BC94" i="2"/>
  <c r="AY94" i="2"/>
  <c r="AU94" i="2"/>
  <c r="AQ94" i="2"/>
  <c r="BA93" i="2"/>
  <c r="AW93" i="2"/>
  <c r="AS93" i="2"/>
  <c r="BC92" i="2"/>
  <c r="AY92" i="2"/>
  <c r="AU92" i="2"/>
  <c r="AQ92" i="2"/>
  <c r="BA91" i="2"/>
  <c r="AW91" i="2"/>
  <c r="AS91" i="2"/>
  <c r="AU100" i="2"/>
  <c r="AW99" i="2"/>
  <c r="BC98" i="2"/>
  <c r="AU98" i="2"/>
  <c r="BA97" i="2"/>
  <c r="AU96" i="2"/>
  <c r="AX106" i="2"/>
  <c r="AP106" i="2"/>
  <c r="AZ105" i="2"/>
  <c r="AR105" i="2"/>
  <c r="BB104" i="2"/>
  <c r="AX104" i="2"/>
  <c r="AT104" i="2"/>
  <c r="AP104" i="2"/>
  <c r="AZ103" i="2"/>
  <c r="AV103" i="2"/>
  <c r="AR103" i="2"/>
  <c r="BB102" i="2"/>
  <c r="AX102" i="2"/>
  <c r="AP102" i="2"/>
  <c r="AZ101" i="2"/>
  <c r="AV101" i="2"/>
  <c r="AR101" i="2"/>
  <c r="BB100" i="2"/>
  <c r="AX100" i="2"/>
  <c r="AT100" i="2"/>
  <c r="AP100" i="2"/>
  <c r="AZ99" i="2"/>
  <c r="AV99" i="2"/>
  <c r="AR99" i="2"/>
  <c r="BB98" i="2"/>
  <c r="AX98" i="2"/>
  <c r="AT98" i="2"/>
  <c r="AP98" i="2"/>
  <c r="AZ97" i="2"/>
  <c r="AV97" i="2"/>
  <c r="AR97" i="2"/>
  <c r="BB96" i="2"/>
  <c r="AX96" i="2"/>
  <c r="AT96" i="2"/>
  <c r="AP96" i="2"/>
  <c r="AZ95" i="2"/>
  <c r="AV95" i="2"/>
  <c r="AR95" i="2"/>
  <c r="BB94" i="2"/>
  <c r="AX94" i="2"/>
  <c r="AT94" i="2"/>
  <c r="AP94" i="2"/>
  <c r="AZ93" i="2"/>
  <c r="AV93" i="2"/>
  <c r="AR93" i="2"/>
  <c r="BB92" i="2"/>
  <c r="AX92" i="2"/>
  <c r="AT92" i="2"/>
  <c r="AP92" i="2"/>
  <c r="AZ91" i="2"/>
  <c r="AV91" i="2"/>
  <c r="AR91" i="2"/>
  <c r="BA99" i="2"/>
  <c r="AS97" i="2"/>
  <c r="BB106" i="2"/>
  <c r="AT106" i="2"/>
  <c r="AV105" i="2"/>
  <c r="AT102" i="2"/>
  <c r="AV106" i="2"/>
  <c r="BB105" i="2"/>
  <c r="AP105" i="2"/>
  <c r="AV104" i="2"/>
  <c r="BB103" i="2"/>
  <c r="AT103" i="2"/>
  <c r="AP103" i="2"/>
  <c r="AV102" i="2"/>
  <c r="AR102" i="2"/>
  <c r="BB101" i="2"/>
  <c r="AX101" i="2"/>
  <c r="AT101" i="2"/>
  <c r="AP101" i="2"/>
  <c r="AZ100" i="2"/>
  <c r="AV100" i="2"/>
  <c r="AR100" i="2"/>
  <c r="BB99" i="2"/>
  <c r="AX99" i="2"/>
  <c r="AT99" i="2"/>
  <c r="AP99" i="2"/>
  <c r="AV98" i="2"/>
  <c r="AR98" i="2"/>
  <c r="BB97" i="2"/>
  <c r="AX97" i="2"/>
  <c r="AT97" i="2"/>
  <c r="AP97" i="2"/>
  <c r="AZ96" i="2"/>
  <c r="AV96" i="2"/>
  <c r="AR96" i="2"/>
  <c r="BB95" i="2"/>
  <c r="AX95" i="2"/>
  <c r="AT95" i="2"/>
  <c r="AP95" i="2"/>
  <c r="AZ94" i="2"/>
  <c r="AV94" i="2"/>
  <c r="AR94" i="2"/>
  <c r="BB93" i="2"/>
  <c r="AX93" i="2"/>
  <c r="AT93" i="2"/>
  <c r="AP93" i="2"/>
  <c r="AZ92" i="2"/>
  <c r="AV92" i="2"/>
  <c r="AR92" i="2"/>
  <c r="BB91" i="2"/>
  <c r="AX91" i="2"/>
  <c r="AT91" i="2"/>
  <c r="AP91" i="2"/>
  <c r="BA90" i="2"/>
  <c r="AW90" i="2"/>
  <c r="AS90" i="2"/>
  <c r="AX90" i="2"/>
  <c r="BB90" i="2"/>
  <c r="AZ90" i="2"/>
  <c r="AV90" i="2"/>
  <c r="AR90" i="2"/>
  <c r="AT90" i="2"/>
  <c r="BC90" i="2"/>
  <c r="AY90" i="2"/>
  <c r="AU90" i="2"/>
  <c r="AQ90" i="2"/>
  <c r="AP90" i="2"/>
  <c r="AK106" i="2"/>
  <c r="AI103" i="2"/>
  <c r="AA99" i="2"/>
  <c r="AG94" i="2"/>
  <c r="AI106" i="2"/>
  <c r="AA106" i="2"/>
  <c r="AG105" i="2"/>
  <c r="Y105" i="2"/>
  <c r="AE103" i="2"/>
  <c r="AC102" i="2"/>
  <c r="AA101" i="2"/>
  <c r="Y100" i="2"/>
  <c r="AK98" i="2"/>
  <c r="AI97" i="2"/>
  <c r="AG96" i="2"/>
  <c r="AE95" i="2"/>
  <c r="AC94" i="2"/>
  <c r="AA93" i="2"/>
  <c r="Y92" i="2"/>
  <c r="AC104" i="2"/>
  <c r="AG106" i="2"/>
  <c r="Y106" i="2"/>
  <c r="AE105" i="2"/>
  <c r="AK104" i="2"/>
  <c r="AA104" i="2"/>
  <c r="AA103" i="2"/>
  <c r="Y102" i="2"/>
  <c r="AK100" i="2"/>
  <c r="AI99" i="2"/>
  <c r="AG98" i="2"/>
  <c r="AE97" i="2"/>
  <c r="AC96" i="2"/>
  <c r="AA95" i="2"/>
  <c r="Y94" i="2"/>
  <c r="AK92" i="2"/>
  <c r="AI91" i="2"/>
  <c r="AC106" i="2"/>
  <c r="AG104" i="2"/>
  <c r="AG102" i="2"/>
  <c r="AK96" i="2"/>
  <c r="AC92" i="2"/>
  <c r="AE106" i="2"/>
  <c r="AK105" i="2"/>
  <c r="AC105" i="2"/>
  <c r="AI104" i="2"/>
  <c r="Y104" i="2"/>
  <c r="AK102" i="2"/>
  <c r="AI101" i="2"/>
  <c r="AG100" i="2"/>
  <c r="AE99" i="2"/>
  <c r="AC98" i="2"/>
  <c r="AA97" i="2"/>
  <c r="Y96" i="2"/>
  <c r="AK94" i="2"/>
  <c r="AI93" i="2"/>
  <c r="AG92" i="2"/>
  <c r="AE91" i="2"/>
  <c r="AI105" i="2"/>
  <c r="AC100" i="2"/>
  <c r="AA91" i="2"/>
  <c r="AA105" i="2"/>
  <c r="AE101" i="2"/>
  <c r="Y98" i="2"/>
  <c r="AI95" i="2"/>
  <c r="AE93" i="2"/>
  <c r="AE104" i="2"/>
  <c r="AD106" i="2"/>
  <c r="Z106" i="2"/>
  <c r="AF105" i="2"/>
  <c r="AB105" i="2"/>
  <c r="AH104" i="2"/>
  <c r="AD104" i="2"/>
  <c r="AJ103" i="2"/>
  <c r="AF103" i="2"/>
  <c r="X103" i="2"/>
  <c r="AH102" i="2"/>
  <c r="AD102" i="2"/>
  <c r="AJ101" i="2"/>
  <c r="AB101" i="2"/>
  <c r="X101" i="2"/>
  <c r="AD100" i="2"/>
  <c r="Z100" i="2"/>
  <c r="AF99" i="2"/>
  <c r="AB99" i="2"/>
  <c r="AH98" i="2"/>
  <c r="Z98" i="2"/>
  <c r="AF97" i="2"/>
  <c r="X97" i="2"/>
  <c r="AD96" i="2"/>
  <c r="Z94" i="2"/>
  <c r="AJ106" i="2"/>
  <c r="AF106" i="2"/>
  <c r="AB106" i="2"/>
  <c r="X106" i="2"/>
  <c r="AH105" i="2"/>
  <c r="AD105" i="2"/>
  <c r="Z105" i="2"/>
  <c r="AJ104" i="2"/>
  <c r="AF104" i="2"/>
  <c r="AB104" i="2"/>
  <c r="X104" i="2"/>
  <c r="AH103" i="2"/>
  <c r="AD103" i="2"/>
  <c r="Z103" i="2"/>
  <c r="AJ102" i="2"/>
  <c r="AF102" i="2"/>
  <c r="AB102" i="2"/>
  <c r="X102" i="2"/>
  <c r="AH101" i="2"/>
  <c r="AD101" i="2"/>
  <c r="Z101" i="2"/>
  <c r="AJ100" i="2"/>
  <c r="AF100" i="2"/>
  <c r="AB100" i="2"/>
  <c r="X100" i="2"/>
  <c r="AH99" i="2"/>
  <c r="AD99" i="2"/>
  <c r="Z99" i="2"/>
  <c r="AJ98" i="2"/>
  <c r="AF98" i="2"/>
  <c r="AB98" i="2"/>
  <c r="X98" i="2"/>
  <c r="AH97" i="2"/>
  <c r="AD97" i="2"/>
  <c r="Z97" i="2"/>
  <c r="AJ96" i="2"/>
  <c r="AF96" i="2"/>
  <c r="AB96" i="2"/>
  <c r="X96" i="2"/>
  <c r="AH95" i="2"/>
  <c r="AD95" i="2"/>
  <c r="Z95" i="2"/>
  <c r="AJ94" i="2"/>
  <c r="AF94" i="2"/>
  <c r="AB94" i="2"/>
  <c r="X94" i="2"/>
  <c r="AH93" i="2"/>
  <c r="AD93" i="2"/>
  <c r="Z93" i="2"/>
  <c r="AJ92" i="2"/>
  <c r="AF92" i="2"/>
  <c r="AB92" i="2"/>
  <c r="X92" i="2"/>
  <c r="AH91" i="2"/>
  <c r="AD91" i="2"/>
  <c r="Z91" i="2"/>
  <c r="AK103" i="2"/>
  <c r="AG103" i="2"/>
  <c r="AC103" i="2"/>
  <c r="Y103" i="2"/>
  <c r="AI102" i="2"/>
  <c r="AE102" i="2"/>
  <c r="AA102" i="2"/>
  <c r="AK101" i="2"/>
  <c r="AG101" i="2"/>
  <c r="AC101" i="2"/>
  <c r="Y101" i="2"/>
  <c r="AI100" i="2"/>
  <c r="AE100" i="2"/>
  <c r="AA100" i="2"/>
  <c r="AK99" i="2"/>
  <c r="AG99" i="2"/>
  <c r="AC99" i="2"/>
  <c r="Y99" i="2"/>
  <c r="AI98" i="2"/>
  <c r="AE98" i="2"/>
  <c r="AA98" i="2"/>
  <c r="AK97" i="2"/>
  <c r="AG97" i="2"/>
  <c r="AC97" i="2"/>
  <c r="Y97" i="2"/>
  <c r="AI96" i="2"/>
  <c r="AE96" i="2"/>
  <c r="AA96" i="2"/>
  <c r="AK95" i="2"/>
  <c r="AG95" i="2"/>
  <c r="AC95" i="2"/>
  <c r="Y95" i="2"/>
  <c r="AI94" i="2"/>
  <c r="AE94" i="2"/>
  <c r="AA94" i="2"/>
  <c r="AK93" i="2"/>
  <c r="AG93" i="2"/>
  <c r="AC93" i="2"/>
  <c r="Y93" i="2"/>
  <c r="AI92" i="2"/>
  <c r="AE92" i="2"/>
  <c r="AA92" i="2"/>
  <c r="AK91" i="2"/>
  <c r="AG91" i="2"/>
  <c r="AC91" i="2"/>
  <c r="Y91" i="2"/>
  <c r="AH106" i="2"/>
  <c r="AJ105" i="2"/>
  <c r="X105" i="2"/>
  <c r="Z104" i="2"/>
  <c r="AB103" i="2"/>
  <c r="Z102" i="2"/>
  <c r="AF101" i="2"/>
  <c r="AH100" i="2"/>
  <c r="AJ99" i="2"/>
  <c r="X99" i="2"/>
  <c r="AD98" i="2"/>
  <c r="AJ97" i="2"/>
  <c r="AB97" i="2"/>
  <c r="AH96" i="2"/>
  <c r="Z96" i="2"/>
  <c r="AJ95" i="2"/>
  <c r="AF95" i="2"/>
  <c r="AB95" i="2"/>
  <c r="X95" i="2"/>
  <c r="AH94" i="2"/>
  <c r="AD94" i="2"/>
  <c r="AJ93" i="2"/>
  <c r="AF93" i="2"/>
  <c r="AB93" i="2"/>
  <c r="X93" i="2"/>
  <c r="AH92" i="2"/>
  <c r="AD92" i="2"/>
  <c r="Z92" i="2"/>
  <c r="AJ91" i="2"/>
  <c r="AF91" i="2"/>
  <c r="AB91" i="2"/>
  <c r="X91" i="2"/>
  <c r="AH90" i="2"/>
  <c r="AD90" i="2"/>
  <c r="Z90" i="2"/>
  <c r="AK90" i="2"/>
  <c r="AG90" i="2"/>
  <c r="AC90" i="2"/>
  <c r="Y90" i="2"/>
  <c r="AJ90" i="2"/>
  <c r="AF90" i="2"/>
  <c r="AB90" i="2"/>
  <c r="AI90" i="2"/>
  <c r="AE90" i="2"/>
  <c r="AA90" i="2"/>
  <c r="X90" i="2"/>
  <c r="F90" i="2"/>
  <c r="R105" i="2"/>
  <c r="N103" i="2"/>
  <c r="N99" i="2"/>
  <c r="L98" i="2"/>
  <c r="I104" i="2"/>
  <c r="N91" i="2"/>
  <c r="H104" i="2"/>
  <c r="N101" i="2"/>
  <c r="J99" i="2"/>
  <c r="H98" i="2"/>
  <c r="R95" i="2"/>
  <c r="N93" i="2"/>
  <c r="N105" i="2"/>
  <c r="Q104" i="2"/>
  <c r="J103" i="2"/>
  <c r="M102" i="2"/>
  <c r="R97" i="2"/>
  <c r="N95" i="2"/>
  <c r="J93" i="2"/>
  <c r="I106" i="2"/>
  <c r="P104" i="2"/>
  <c r="S103" i="2"/>
  <c r="L102" i="2"/>
  <c r="J101" i="2"/>
  <c r="H100" i="2"/>
  <c r="F99" i="2"/>
  <c r="N97" i="2"/>
  <c r="J95" i="2"/>
  <c r="F93" i="2"/>
  <c r="P100" i="2"/>
  <c r="L96" i="2"/>
  <c r="M106" i="2"/>
  <c r="H96" i="2"/>
  <c r="O105" i="2"/>
  <c r="J97" i="2"/>
  <c r="F95" i="2"/>
  <c r="P92" i="2"/>
  <c r="R101" i="2"/>
  <c r="R91" i="2"/>
  <c r="R93" i="2"/>
  <c r="H106" i="2"/>
  <c r="F103" i="2"/>
  <c r="L92" i="2"/>
  <c r="G105" i="2"/>
  <c r="Q102" i="2"/>
  <c r="H94" i="2"/>
  <c r="F105" i="2"/>
  <c r="P102" i="2"/>
  <c r="L106" i="2"/>
  <c r="K103" i="2"/>
  <c r="L100" i="2"/>
  <c r="Q106" i="2"/>
  <c r="K105" i="2"/>
  <c r="R103" i="2"/>
  <c r="G103" i="2"/>
  <c r="P106" i="2"/>
  <c r="J105" i="2"/>
  <c r="M104" i="2"/>
  <c r="H102" i="2"/>
  <c r="F101" i="2"/>
  <c r="R99" i="2"/>
  <c r="P98" i="2"/>
  <c r="F97" i="2"/>
  <c r="P94" i="2"/>
  <c r="S105" i="2"/>
  <c r="L104" i="2"/>
  <c r="O103" i="2"/>
  <c r="P96" i="2"/>
  <c r="L94" i="2"/>
  <c r="H92" i="2"/>
  <c r="S106" i="2"/>
  <c r="O106" i="2"/>
  <c r="K106" i="2"/>
  <c r="G106" i="2"/>
  <c r="Q105" i="2"/>
  <c r="M105" i="2"/>
  <c r="I105" i="2"/>
  <c r="S104" i="2"/>
  <c r="O104" i="2"/>
  <c r="K104" i="2"/>
  <c r="G104" i="2"/>
  <c r="Q103" i="2"/>
  <c r="M103" i="2"/>
  <c r="I103" i="2"/>
  <c r="S102" i="2"/>
  <c r="O102" i="2"/>
  <c r="K102" i="2"/>
  <c r="G102" i="2"/>
  <c r="Q101" i="2"/>
  <c r="M101" i="2"/>
  <c r="I101" i="2"/>
  <c r="S100" i="2"/>
  <c r="O100" i="2"/>
  <c r="K100" i="2"/>
  <c r="G100" i="2"/>
  <c r="Q99" i="2"/>
  <c r="M99" i="2"/>
  <c r="I99" i="2"/>
  <c r="S98" i="2"/>
  <c r="O98" i="2"/>
  <c r="K98" i="2"/>
  <c r="G98" i="2"/>
  <c r="Q97" i="2"/>
  <c r="M97" i="2"/>
  <c r="I97" i="2"/>
  <c r="S96" i="2"/>
  <c r="O96" i="2"/>
  <c r="K96" i="2"/>
  <c r="G96" i="2"/>
  <c r="Q95" i="2"/>
  <c r="M95" i="2"/>
  <c r="I95" i="2"/>
  <c r="S94" i="2"/>
  <c r="O94" i="2"/>
  <c r="K94" i="2"/>
  <c r="G94" i="2"/>
  <c r="Q93" i="2"/>
  <c r="M93" i="2"/>
  <c r="I93" i="2"/>
  <c r="S92" i="2"/>
  <c r="O92" i="2"/>
  <c r="K92" i="2"/>
  <c r="G92" i="2"/>
  <c r="Q91" i="2"/>
  <c r="M91" i="2"/>
  <c r="I91" i="2"/>
  <c r="R106" i="2"/>
  <c r="N106" i="2"/>
  <c r="J106" i="2"/>
  <c r="F106" i="2"/>
  <c r="P105" i="2"/>
  <c r="L105" i="2"/>
  <c r="H105" i="2"/>
  <c r="R104" i="2"/>
  <c r="N104" i="2"/>
  <c r="J104" i="2"/>
  <c r="F104" i="2"/>
  <c r="P103" i="2"/>
  <c r="L103" i="2"/>
  <c r="H103" i="2"/>
  <c r="R102" i="2"/>
  <c r="N102" i="2"/>
  <c r="J102" i="2"/>
  <c r="F102" i="2"/>
  <c r="P101" i="2"/>
  <c r="L101" i="2"/>
  <c r="H101" i="2"/>
  <c r="R100" i="2"/>
  <c r="N100" i="2"/>
  <c r="J100" i="2"/>
  <c r="F100" i="2"/>
  <c r="P99" i="2"/>
  <c r="L99" i="2"/>
  <c r="H99" i="2"/>
  <c r="R98" i="2"/>
  <c r="N98" i="2"/>
  <c r="J98" i="2"/>
  <c r="F98" i="2"/>
  <c r="P97" i="2"/>
  <c r="L97" i="2"/>
  <c r="H97" i="2"/>
  <c r="R96" i="2"/>
  <c r="N96" i="2"/>
  <c r="J96" i="2"/>
  <c r="F96" i="2"/>
  <c r="P95" i="2"/>
  <c r="L95" i="2"/>
  <c r="H95" i="2"/>
  <c r="R94" i="2"/>
  <c r="N94" i="2"/>
  <c r="J94" i="2"/>
  <c r="F94" i="2"/>
  <c r="P93" i="2"/>
  <c r="L93" i="2"/>
  <c r="H93" i="2"/>
  <c r="R92" i="2"/>
  <c r="N92" i="2"/>
  <c r="J92" i="2"/>
  <c r="F92" i="2"/>
  <c r="P91" i="2"/>
  <c r="L91" i="2"/>
  <c r="H91" i="2"/>
  <c r="I102" i="2"/>
  <c r="S101" i="2"/>
  <c r="O101" i="2"/>
  <c r="K101" i="2"/>
  <c r="G101" i="2"/>
  <c r="Q100" i="2"/>
  <c r="M100" i="2"/>
  <c r="I100" i="2"/>
  <c r="S99" i="2"/>
  <c r="O99" i="2"/>
  <c r="K99" i="2"/>
  <c r="G99" i="2"/>
  <c r="Q98" i="2"/>
  <c r="M98" i="2"/>
  <c r="I98" i="2"/>
  <c r="S97" i="2"/>
  <c r="O97" i="2"/>
  <c r="K97" i="2"/>
  <c r="G97" i="2"/>
  <c r="Q96" i="2"/>
  <c r="M96" i="2"/>
  <c r="I96" i="2"/>
  <c r="S95" i="2"/>
  <c r="O95" i="2"/>
  <c r="K95" i="2"/>
  <c r="G95" i="2"/>
  <c r="Q94" i="2"/>
  <c r="M94" i="2"/>
  <c r="I94" i="2"/>
  <c r="S93" i="2"/>
  <c r="O93" i="2"/>
  <c r="K93" i="2"/>
  <c r="G93" i="2"/>
  <c r="Q92" i="2"/>
  <c r="M92" i="2"/>
  <c r="I92" i="2"/>
  <c r="S91" i="2"/>
  <c r="O91" i="2"/>
  <c r="K91" i="2"/>
  <c r="G91" i="2"/>
  <c r="J91" i="2"/>
  <c r="F91" i="2"/>
  <c r="S90" i="2"/>
  <c r="O90" i="2"/>
  <c r="K90" i="2"/>
  <c r="G90" i="2"/>
  <c r="R90" i="2"/>
  <c r="N90" i="2"/>
  <c r="J90" i="2"/>
  <c r="Q90" i="2"/>
  <c r="M90" i="2"/>
  <c r="I90" i="2"/>
  <c r="P90" i="2"/>
  <c r="L90" i="2"/>
  <c r="H90" i="2"/>
  <c r="AY67" i="2"/>
  <c r="AU67" i="2"/>
  <c r="BA66" i="2"/>
  <c r="AW66" i="2"/>
  <c r="BC65" i="2"/>
  <c r="AY65" i="2"/>
  <c r="AU65" i="2"/>
  <c r="AQ65" i="2"/>
  <c r="BA64" i="2"/>
  <c r="AW64" i="2"/>
  <c r="AS64" i="2"/>
  <c r="BC63" i="2"/>
  <c r="AY63" i="2"/>
  <c r="AQ63" i="2"/>
  <c r="BA62" i="2"/>
  <c r="AW62" i="2"/>
  <c r="AS62" i="2"/>
  <c r="BC61" i="2"/>
  <c r="AY61" i="2"/>
  <c r="AU61" i="2"/>
  <c r="AQ61" i="2"/>
  <c r="BA60" i="2"/>
  <c r="AW60" i="2"/>
  <c r="AS60" i="2"/>
  <c r="BC59" i="2"/>
  <c r="AY59" i="2"/>
  <c r="AU59" i="2"/>
  <c r="AQ59" i="2"/>
  <c r="BA58" i="2"/>
  <c r="AW58" i="2"/>
  <c r="AS58" i="2"/>
  <c r="BC57" i="2"/>
  <c r="AY57" i="2"/>
  <c r="AU57" i="2"/>
  <c r="AQ57" i="2"/>
  <c r="BA56" i="2"/>
  <c r="AW56" i="2"/>
  <c r="AS56" i="2"/>
  <c r="BC55" i="2"/>
  <c r="AY55" i="2"/>
  <c r="AU55" i="2"/>
  <c r="AQ55" i="2"/>
  <c r="BA54" i="2"/>
  <c r="AW54" i="2"/>
  <c r="AS54" i="2"/>
  <c r="BC53" i="2"/>
  <c r="AY53" i="2"/>
  <c r="AU53" i="2"/>
  <c r="AQ53" i="2"/>
  <c r="BA52" i="2"/>
  <c r="AW52" i="2"/>
  <c r="AS52" i="2"/>
  <c r="BC67" i="2"/>
  <c r="AQ67" i="2"/>
  <c r="AS66" i="2"/>
  <c r="AU63" i="2"/>
  <c r="AT67" i="2"/>
  <c r="AR66" i="2"/>
  <c r="AP65" i="2"/>
  <c r="BB63" i="2"/>
  <c r="AP63" i="2"/>
  <c r="BB61" i="2"/>
  <c r="AP61" i="2"/>
  <c r="BB59" i="2"/>
  <c r="AT59" i="2"/>
  <c r="AV58" i="2"/>
  <c r="BB57" i="2"/>
  <c r="AT57" i="2"/>
  <c r="AZ56" i="2"/>
  <c r="AV56" i="2"/>
  <c r="AR56" i="2"/>
  <c r="BB55" i="2"/>
  <c r="AT55" i="2"/>
  <c r="AP55" i="2"/>
  <c r="AZ54" i="2"/>
  <c r="AV54" i="2"/>
  <c r="AR54" i="2"/>
  <c r="BB53" i="2"/>
  <c r="AX53" i="2"/>
  <c r="AT53" i="2"/>
  <c r="AP53" i="2"/>
  <c r="AZ52" i="2"/>
  <c r="AV52" i="2"/>
  <c r="AR52" i="2"/>
  <c r="AX67" i="2"/>
  <c r="AV66" i="2"/>
  <c r="AT65" i="2"/>
  <c r="AV64" i="2"/>
  <c r="AT63" i="2"/>
  <c r="AR62" i="2"/>
  <c r="AZ60" i="2"/>
  <c r="AX57" i="2"/>
  <c r="BA67" i="2"/>
  <c r="AS67" i="2"/>
  <c r="AY66" i="2"/>
  <c r="AU66" i="2"/>
  <c r="BA65" i="2"/>
  <c r="AW65" i="2"/>
  <c r="BC64" i="2"/>
  <c r="AY64" i="2"/>
  <c r="AU64" i="2"/>
  <c r="AQ64" i="2"/>
  <c r="BA63" i="2"/>
  <c r="AW63" i="2"/>
  <c r="AS63" i="2"/>
  <c r="BC62" i="2"/>
  <c r="AU62" i="2"/>
  <c r="AQ62" i="2"/>
  <c r="BA61" i="2"/>
  <c r="AW61" i="2"/>
  <c r="AS61" i="2"/>
  <c r="BC60" i="2"/>
  <c r="AY60" i="2"/>
  <c r="AU60" i="2"/>
  <c r="AQ60" i="2"/>
  <c r="BA59" i="2"/>
  <c r="AW59" i="2"/>
  <c r="AS59" i="2"/>
  <c r="BC58" i="2"/>
  <c r="AY58" i="2"/>
  <c r="AU58" i="2"/>
  <c r="AQ58" i="2"/>
  <c r="BA57" i="2"/>
  <c r="AW57" i="2"/>
  <c r="AS57" i="2"/>
  <c r="BC56" i="2"/>
  <c r="AY56" i="2"/>
  <c r="AU56" i="2"/>
  <c r="AQ56" i="2"/>
  <c r="BA55" i="2"/>
  <c r="AW55" i="2"/>
  <c r="AS55" i="2"/>
  <c r="BC54" i="2"/>
  <c r="AY54" i="2"/>
  <c r="AU54" i="2"/>
  <c r="AQ54" i="2"/>
  <c r="BA53" i="2"/>
  <c r="AW53" i="2"/>
  <c r="AS53" i="2"/>
  <c r="BC52" i="2"/>
  <c r="AY52" i="2"/>
  <c r="AU52" i="2"/>
  <c r="AQ52" i="2"/>
  <c r="AZ66" i="2"/>
  <c r="AX65" i="2"/>
  <c r="AR64" i="2"/>
  <c r="AV62" i="2"/>
  <c r="AT61" i="2"/>
  <c r="AR60" i="2"/>
  <c r="AP59" i="2"/>
  <c r="AR58" i="2"/>
  <c r="AX55" i="2"/>
  <c r="AW67" i="2"/>
  <c r="BC66" i="2"/>
  <c r="AQ66" i="2"/>
  <c r="AS65" i="2"/>
  <c r="AY62" i="2"/>
  <c r="BB67" i="2"/>
  <c r="AP67" i="2"/>
  <c r="BB65" i="2"/>
  <c r="AZ64" i="2"/>
  <c r="AX63" i="2"/>
  <c r="AZ62" i="2"/>
  <c r="AX61" i="2"/>
  <c r="AV60" i="2"/>
  <c r="AX59" i="2"/>
  <c r="AZ58" i="2"/>
  <c r="AP57" i="2"/>
  <c r="AZ67" i="2"/>
  <c r="AV67" i="2"/>
  <c r="AR67" i="2"/>
  <c r="BB66" i="2"/>
  <c r="AX66" i="2"/>
  <c r="AT66" i="2"/>
  <c r="AP66" i="2"/>
  <c r="AZ65" i="2"/>
  <c r="AV65" i="2"/>
  <c r="AR65" i="2"/>
  <c r="BB64" i="2"/>
  <c r="AX64" i="2"/>
  <c r="AT64" i="2"/>
  <c r="AP64" i="2"/>
  <c r="AZ63" i="2"/>
  <c r="AV63" i="2"/>
  <c r="AR63" i="2"/>
  <c r="BB62" i="2"/>
  <c r="AX62" i="2"/>
  <c r="AT62" i="2"/>
  <c r="AP62" i="2"/>
  <c r="AZ61" i="2"/>
  <c r="AV61" i="2"/>
  <c r="AR61" i="2"/>
  <c r="BB60" i="2"/>
  <c r="AX60" i="2"/>
  <c r="AT60" i="2"/>
  <c r="AP60" i="2"/>
  <c r="AZ59" i="2"/>
  <c r="AV59" i="2"/>
  <c r="AR59" i="2"/>
  <c r="BB58" i="2"/>
  <c r="AX58" i="2"/>
  <c r="AT58" i="2"/>
  <c r="AP58" i="2"/>
  <c r="AZ57" i="2"/>
  <c r="AV57" i="2"/>
  <c r="AR57" i="2"/>
  <c r="BB56" i="2"/>
  <c r="AX56" i="2"/>
  <c r="AT56" i="2"/>
  <c r="AP56" i="2"/>
  <c r="AZ55" i="2"/>
  <c r="AV55" i="2"/>
  <c r="AR55" i="2"/>
  <c r="BB54" i="2"/>
  <c r="AX54" i="2"/>
  <c r="AT54" i="2"/>
  <c r="AP54" i="2"/>
  <c r="AZ53" i="2"/>
  <c r="AV53" i="2"/>
  <c r="AR53" i="2"/>
  <c r="BB52" i="2"/>
  <c r="AX52" i="2"/>
  <c r="AT52" i="2"/>
  <c r="AP52" i="2"/>
  <c r="BC51" i="2"/>
  <c r="BB51" i="2"/>
  <c r="AX51" i="2"/>
  <c r="AT51" i="2"/>
  <c r="AU51" i="2"/>
  <c r="BA51" i="2"/>
  <c r="AS51" i="2"/>
  <c r="AY51" i="2"/>
  <c r="AW51" i="2"/>
  <c r="AQ51" i="2"/>
  <c r="AZ51" i="2"/>
  <c r="AV51" i="2"/>
  <c r="AR51" i="2"/>
  <c r="AP51" i="2"/>
  <c r="AD66" i="2"/>
  <c r="AB64" i="2"/>
  <c r="X62" i="2"/>
  <c r="AJ60" i="2"/>
  <c r="Z59" i="2"/>
  <c r="AD57" i="2"/>
  <c r="X54" i="2"/>
  <c r="AF65" i="2"/>
  <c r="AD64" i="2"/>
  <c r="AB63" i="2"/>
  <c r="Z62" i="2"/>
  <c r="AF61" i="2"/>
  <c r="X61" i="2"/>
  <c r="AD60" i="2"/>
  <c r="AB59" i="2"/>
  <c r="AH58" i="2"/>
  <c r="Z58" i="2"/>
  <c r="AF57" i="2"/>
  <c r="X57" i="2"/>
  <c r="AD56" i="2"/>
  <c r="AJ55" i="2"/>
  <c r="AB55" i="2"/>
  <c r="AH54" i="2"/>
  <c r="Z54" i="2"/>
  <c r="AF53" i="2"/>
  <c r="X53" i="2"/>
  <c r="AD52" i="2"/>
  <c r="AF67" i="2"/>
  <c r="AD65" i="2"/>
  <c r="Z63" i="2"/>
  <c r="AB60" i="2"/>
  <c r="AD53" i="2"/>
  <c r="X65" i="2"/>
  <c r="AJ63" i="2"/>
  <c r="AH62" i="2"/>
  <c r="AJ59" i="2"/>
  <c r="AH67" i="2"/>
  <c r="Z67" i="2"/>
  <c r="AF66" i="2"/>
  <c r="X66" i="2"/>
  <c r="AJ65" i="2"/>
  <c r="AH63" i="2"/>
  <c r="AD61" i="2"/>
  <c r="AF58" i="2"/>
  <c r="AJ56" i="2"/>
  <c r="Z55" i="2"/>
  <c r="AB52" i="2"/>
  <c r="AB65" i="2"/>
  <c r="AH64" i="2"/>
  <c r="Z64" i="2"/>
  <c r="AF63" i="2"/>
  <c r="X63" i="2"/>
  <c r="AD62" i="2"/>
  <c r="AJ61" i="2"/>
  <c r="AB61" i="2"/>
  <c r="AH60" i="2"/>
  <c r="Z60" i="2"/>
  <c r="AF59" i="2"/>
  <c r="X59" i="2"/>
  <c r="AD58" i="2"/>
  <c r="AJ57" i="2"/>
  <c r="AB57" i="2"/>
  <c r="AH56" i="2"/>
  <c r="Z56" i="2"/>
  <c r="AF55" i="2"/>
  <c r="X55" i="2"/>
  <c r="AD54" i="2"/>
  <c r="AJ53" i="2"/>
  <c r="AB53" i="2"/>
  <c r="AH52" i="2"/>
  <c r="Z52" i="2"/>
  <c r="X67" i="2"/>
  <c r="AJ64" i="2"/>
  <c r="AF62" i="2"/>
  <c r="AH59" i="2"/>
  <c r="X58" i="2"/>
  <c r="AB56" i="2"/>
  <c r="AH55" i="2"/>
  <c r="AF54" i="2"/>
  <c r="AJ52" i="2"/>
  <c r="AD67" i="2"/>
  <c r="AJ66" i="2"/>
  <c r="AB66" i="2"/>
  <c r="AH65" i="2"/>
  <c r="AJ67" i="2"/>
  <c r="AB67" i="2"/>
  <c r="AH66" i="2"/>
  <c r="Z66" i="2"/>
  <c r="Z65" i="2"/>
  <c r="AF64" i="2"/>
  <c r="X64" i="2"/>
  <c r="AD63" i="2"/>
  <c r="AJ62" i="2"/>
  <c r="AB62" i="2"/>
  <c r="AH61" i="2"/>
  <c r="Z61" i="2"/>
  <c r="AF60" i="2"/>
  <c r="X60" i="2"/>
  <c r="AD59" i="2"/>
  <c r="AJ58" i="2"/>
  <c r="AB58" i="2"/>
  <c r="AH57" i="2"/>
  <c r="Z57" i="2"/>
  <c r="AF56" i="2"/>
  <c r="X56" i="2"/>
  <c r="AD55" i="2"/>
  <c r="AJ54" i="2"/>
  <c r="AB54" i="2"/>
  <c r="AH53" i="2"/>
  <c r="Z53" i="2"/>
  <c r="AF52" i="2"/>
  <c r="X52" i="2"/>
  <c r="AG67" i="2"/>
  <c r="Y67" i="2"/>
  <c r="AE66" i="2"/>
  <c r="AK65" i="2"/>
  <c r="AC65" i="2"/>
  <c r="AI64" i="2"/>
  <c r="AE64" i="2"/>
  <c r="AK63" i="2"/>
  <c r="AG63" i="2"/>
  <c r="AC63" i="2"/>
  <c r="Y63" i="2"/>
  <c r="AI62" i="2"/>
  <c r="AA62" i="2"/>
  <c r="AK61" i="2"/>
  <c r="AG61" i="2"/>
  <c r="AC61" i="2"/>
  <c r="Y61" i="2"/>
  <c r="AI60" i="2"/>
  <c r="AE60" i="2"/>
  <c r="AA60" i="2"/>
  <c r="AK59" i="2"/>
  <c r="AG59" i="2"/>
  <c r="AC59" i="2"/>
  <c r="Y59" i="2"/>
  <c r="AI58" i="2"/>
  <c r="AE58" i="2"/>
  <c r="AA58" i="2"/>
  <c r="AK57" i="2"/>
  <c r="AG57" i="2"/>
  <c r="AC57" i="2"/>
  <c r="Y57" i="2"/>
  <c r="AI56" i="2"/>
  <c r="AE56" i="2"/>
  <c r="AA56" i="2"/>
  <c r="AK55" i="2"/>
  <c r="AG55" i="2"/>
  <c r="AC55" i="2"/>
  <c r="Y55" i="2"/>
  <c r="AI54" i="2"/>
  <c r="AE54" i="2"/>
  <c r="AA54" i="2"/>
  <c r="AK53" i="2"/>
  <c r="AG53" i="2"/>
  <c r="AC53" i="2"/>
  <c r="Y53" i="2"/>
  <c r="AI52" i="2"/>
  <c r="AE52" i="2"/>
  <c r="AA52" i="2"/>
  <c r="AK67" i="2"/>
  <c r="AC67" i="2"/>
  <c r="AI66" i="2"/>
  <c r="AA66" i="2"/>
  <c r="AG65" i="2"/>
  <c r="Y65" i="2"/>
  <c r="AA64" i="2"/>
  <c r="AE62" i="2"/>
  <c r="AI67" i="2"/>
  <c r="AE67" i="2"/>
  <c r="AA67" i="2"/>
  <c r="AK66" i="2"/>
  <c r="AG66" i="2"/>
  <c r="AC66" i="2"/>
  <c r="Y66" i="2"/>
  <c r="AI65" i="2"/>
  <c r="AE65" i="2"/>
  <c r="AA65" i="2"/>
  <c r="AK64" i="2"/>
  <c r="AG64" i="2"/>
  <c r="AC64" i="2"/>
  <c r="Y64" i="2"/>
  <c r="AI63" i="2"/>
  <c r="AE63" i="2"/>
  <c r="AA63" i="2"/>
  <c r="AK62" i="2"/>
  <c r="AG62" i="2"/>
  <c r="AC62" i="2"/>
  <c r="Y62" i="2"/>
  <c r="AI61" i="2"/>
  <c r="AE61" i="2"/>
  <c r="AA61" i="2"/>
  <c r="AK60" i="2"/>
  <c r="AG60" i="2"/>
  <c r="AC60" i="2"/>
  <c r="Y60" i="2"/>
  <c r="AI59" i="2"/>
  <c r="AE59" i="2"/>
  <c r="AA59" i="2"/>
  <c r="AK58" i="2"/>
  <c r="AG58" i="2"/>
  <c r="AC58" i="2"/>
  <c r="Y58" i="2"/>
  <c r="AI57" i="2"/>
  <c r="AE57" i="2"/>
  <c r="AA57" i="2"/>
  <c r="AK56" i="2"/>
  <c r="AG56" i="2"/>
  <c r="AC56" i="2"/>
  <c r="Y56" i="2"/>
  <c r="AI55" i="2"/>
  <c r="AE55" i="2"/>
  <c r="AA55" i="2"/>
  <c r="AK54" i="2"/>
  <c r="AG54" i="2"/>
  <c r="AC54" i="2"/>
  <c r="Y54" i="2"/>
  <c r="AI53" i="2"/>
  <c r="AE53" i="2"/>
  <c r="AA53" i="2"/>
  <c r="AK52" i="2"/>
  <c r="AG52" i="2"/>
  <c r="AC52" i="2"/>
  <c r="Y52" i="2"/>
  <c r="AF51" i="2"/>
  <c r="AI51" i="2"/>
  <c r="AE51" i="2"/>
  <c r="AA51" i="2"/>
  <c r="AD51" i="2"/>
  <c r="AJ51" i="2"/>
  <c r="Z51" i="2"/>
  <c r="AB51" i="2"/>
  <c r="AH51" i="2"/>
  <c r="AK51" i="2"/>
  <c r="AG51" i="2"/>
  <c r="AC51" i="2"/>
  <c r="Y51" i="2"/>
  <c r="X51" i="2"/>
  <c r="I59" i="2"/>
  <c r="H55" i="2"/>
  <c r="N58" i="2"/>
  <c r="P67" i="2"/>
  <c r="L65" i="2"/>
  <c r="J64" i="2"/>
  <c r="H63" i="2"/>
  <c r="N62" i="2"/>
  <c r="F62" i="2"/>
  <c r="R60" i="2"/>
  <c r="J60" i="2"/>
  <c r="P59" i="2"/>
  <c r="H59" i="2"/>
  <c r="F58" i="2"/>
  <c r="N56" i="2"/>
  <c r="J54" i="2"/>
  <c r="H57" i="2"/>
  <c r="P55" i="2"/>
  <c r="L53" i="2"/>
  <c r="R54" i="2"/>
  <c r="N52" i="2"/>
  <c r="H67" i="2"/>
  <c r="L67" i="2"/>
  <c r="H65" i="2"/>
  <c r="P61" i="2"/>
  <c r="J52" i="2"/>
  <c r="R64" i="2"/>
  <c r="F54" i="2"/>
  <c r="R66" i="2"/>
  <c r="J66" i="2"/>
  <c r="P65" i="2"/>
  <c r="N64" i="2"/>
  <c r="F64" i="2"/>
  <c r="L63" i="2"/>
  <c r="R62" i="2"/>
  <c r="J62" i="2"/>
  <c r="H61" i="2"/>
  <c r="N60" i="2"/>
  <c r="F60" i="2"/>
  <c r="L59" i="2"/>
  <c r="R58" i="2"/>
  <c r="J58" i="2"/>
  <c r="L55" i="2"/>
  <c r="H53" i="2"/>
  <c r="R56" i="2"/>
  <c r="N54" i="2"/>
  <c r="N66" i="2"/>
  <c r="J56" i="2"/>
  <c r="L57" i="2"/>
  <c r="F56" i="2"/>
  <c r="P53" i="2"/>
  <c r="F66" i="2"/>
  <c r="P63" i="2"/>
  <c r="L61" i="2"/>
  <c r="P57" i="2"/>
  <c r="R52" i="2"/>
  <c r="F52" i="2"/>
  <c r="O67" i="2"/>
  <c r="G67" i="2"/>
  <c r="M66" i="2"/>
  <c r="S65" i="2"/>
  <c r="K65" i="2"/>
  <c r="Q64" i="2"/>
  <c r="I64" i="2"/>
  <c r="O63" i="2"/>
  <c r="G63" i="2"/>
  <c r="M62" i="2"/>
  <c r="S61" i="2"/>
  <c r="K61" i="2"/>
  <c r="Q60" i="2"/>
  <c r="I60" i="2"/>
  <c r="O59" i="2"/>
  <c r="G59" i="2"/>
  <c r="M58" i="2"/>
  <c r="S57" i="2"/>
  <c r="K57" i="2"/>
  <c r="Q56" i="2"/>
  <c r="I56" i="2"/>
  <c r="O55" i="2"/>
  <c r="K55" i="2"/>
  <c r="Q54" i="2"/>
  <c r="M54" i="2"/>
  <c r="I54" i="2"/>
  <c r="S53" i="2"/>
  <c r="K53" i="2"/>
  <c r="G53" i="2"/>
  <c r="Q52" i="2"/>
  <c r="M52" i="2"/>
  <c r="I52" i="2"/>
  <c r="S67" i="2"/>
  <c r="K67" i="2"/>
  <c r="Q66" i="2"/>
  <c r="I66" i="2"/>
  <c r="O65" i="2"/>
  <c r="G65" i="2"/>
  <c r="M64" i="2"/>
  <c r="S63" i="2"/>
  <c r="K63" i="2"/>
  <c r="Q62" i="2"/>
  <c r="I62" i="2"/>
  <c r="O61" i="2"/>
  <c r="G61" i="2"/>
  <c r="M60" i="2"/>
  <c r="S59" i="2"/>
  <c r="K59" i="2"/>
  <c r="Q58" i="2"/>
  <c r="I58" i="2"/>
  <c r="O57" i="2"/>
  <c r="G57" i="2"/>
  <c r="M56" i="2"/>
  <c r="S55" i="2"/>
  <c r="G55" i="2"/>
  <c r="O53" i="2"/>
  <c r="R67" i="2"/>
  <c r="N67" i="2"/>
  <c r="J67" i="2"/>
  <c r="F67" i="2"/>
  <c r="P66" i="2"/>
  <c r="L66" i="2"/>
  <c r="H66" i="2"/>
  <c r="R65" i="2"/>
  <c r="N65" i="2"/>
  <c r="J65" i="2"/>
  <c r="F65" i="2"/>
  <c r="P64" i="2"/>
  <c r="L64" i="2"/>
  <c r="H64" i="2"/>
  <c r="R63" i="2"/>
  <c r="N63" i="2"/>
  <c r="J63" i="2"/>
  <c r="F63" i="2"/>
  <c r="P62" i="2"/>
  <c r="L62" i="2"/>
  <c r="H62" i="2"/>
  <c r="R61" i="2"/>
  <c r="N61" i="2"/>
  <c r="J61" i="2"/>
  <c r="F61" i="2"/>
  <c r="P60" i="2"/>
  <c r="L60" i="2"/>
  <c r="H60" i="2"/>
  <c r="R59" i="2"/>
  <c r="N59" i="2"/>
  <c r="J59" i="2"/>
  <c r="F59" i="2"/>
  <c r="P58" i="2"/>
  <c r="L58" i="2"/>
  <c r="H58" i="2"/>
  <c r="R57" i="2"/>
  <c r="N57" i="2"/>
  <c r="J57" i="2"/>
  <c r="F57" i="2"/>
  <c r="P56" i="2"/>
  <c r="L56" i="2"/>
  <c r="H56" i="2"/>
  <c r="R55" i="2"/>
  <c r="N55" i="2"/>
  <c r="J55" i="2"/>
  <c r="F55" i="2"/>
  <c r="P54" i="2"/>
  <c r="L54" i="2"/>
  <c r="H54" i="2"/>
  <c r="R53" i="2"/>
  <c r="N53" i="2"/>
  <c r="J53" i="2"/>
  <c r="F53" i="2"/>
  <c r="P52" i="2"/>
  <c r="L52" i="2"/>
  <c r="H52" i="2"/>
  <c r="Q67" i="2"/>
  <c r="M67" i="2"/>
  <c r="I67" i="2"/>
  <c r="S66" i="2"/>
  <c r="O66" i="2"/>
  <c r="K66" i="2"/>
  <c r="G66" i="2"/>
  <c r="Q65" i="2"/>
  <c r="M65" i="2"/>
  <c r="I65" i="2"/>
  <c r="S64" i="2"/>
  <c r="O64" i="2"/>
  <c r="K64" i="2"/>
  <c r="G64" i="2"/>
  <c r="Q63" i="2"/>
  <c r="M63" i="2"/>
  <c r="I63" i="2"/>
  <c r="S62" i="2"/>
  <c r="O62" i="2"/>
  <c r="K62" i="2"/>
  <c r="G62" i="2"/>
  <c r="Q61" i="2"/>
  <c r="M61" i="2"/>
  <c r="I61" i="2"/>
  <c r="S60" i="2"/>
  <c r="O60" i="2"/>
  <c r="K60" i="2"/>
  <c r="G60" i="2"/>
  <c r="Q59" i="2"/>
  <c r="M59" i="2"/>
  <c r="S58" i="2"/>
  <c r="O58" i="2"/>
  <c r="K58" i="2"/>
  <c r="G58" i="2"/>
  <c r="Q57" i="2"/>
  <c r="M57" i="2"/>
  <c r="I57" i="2"/>
  <c r="S56" i="2"/>
  <c r="O56" i="2"/>
  <c r="K56" i="2"/>
  <c r="G56" i="2"/>
  <c r="Q55" i="2"/>
  <c r="M55" i="2"/>
  <c r="I55" i="2"/>
  <c r="S54" i="2"/>
  <c r="O54" i="2"/>
  <c r="K54" i="2"/>
  <c r="G54" i="2"/>
  <c r="Q53" i="2"/>
  <c r="M53" i="2"/>
  <c r="I53" i="2"/>
  <c r="S52" i="2"/>
  <c r="O52" i="2"/>
  <c r="K52" i="2"/>
  <c r="G52" i="2"/>
  <c r="O51" i="2"/>
  <c r="R51" i="2"/>
  <c r="J51" i="2"/>
  <c r="S51" i="2"/>
  <c r="K51" i="2"/>
  <c r="N51" i="2"/>
  <c r="Q51" i="2"/>
  <c r="M51" i="2"/>
  <c r="I51" i="2"/>
  <c r="P51" i="2"/>
  <c r="L51" i="2"/>
  <c r="H51" i="2"/>
  <c r="G51" i="2"/>
  <c r="F51" i="2"/>
  <c r="AZ23" i="2"/>
  <c r="AV21" i="2"/>
  <c r="AX18" i="2"/>
  <c r="AV17" i="2"/>
  <c r="AT16" i="2"/>
  <c r="AX14" i="2"/>
  <c r="AT12" i="2"/>
  <c r="AZ27" i="2"/>
  <c r="AZ24" i="2"/>
  <c r="AP23" i="2"/>
  <c r="AR20" i="2"/>
  <c r="AX27" i="2"/>
  <c r="AV26" i="2"/>
  <c r="AR27" i="2"/>
  <c r="AP26" i="2"/>
  <c r="AX25" i="2"/>
  <c r="AP25" i="2"/>
  <c r="AV24" i="2"/>
  <c r="BB23" i="2"/>
  <c r="AT23" i="2"/>
  <c r="AZ22" i="2"/>
  <c r="AR22" i="2"/>
  <c r="AX21" i="2"/>
  <c r="AP21" i="2"/>
  <c r="AV20" i="2"/>
  <c r="BB19" i="2"/>
  <c r="AT19" i="2"/>
  <c r="AZ18" i="2"/>
  <c r="AR18" i="2"/>
  <c r="AX17" i="2"/>
  <c r="AP17" i="2"/>
  <c r="AV16" i="2"/>
  <c r="BB15" i="2"/>
  <c r="AT15" i="2"/>
  <c r="AZ14" i="2"/>
  <c r="AR14" i="2"/>
  <c r="AX13" i="2"/>
  <c r="AP13" i="2"/>
  <c r="AV12" i="2"/>
  <c r="AV27" i="2"/>
  <c r="AT24" i="2"/>
  <c r="AT20" i="2"/>
  <c r="BB16" i="2"/>
  <c r="BB12" i="2"/>
  <c r="BB27" i="2"/>
  <c r="AZ26" i="2"/>
  <c r="AV25" i="2"/>
  <c r="BB20" i="2"/>
  <c r="AV13" i="2"/>
  <c r="AP27" i="2"/>
  <c r="BB25" i="2"/>
  <c r="AT26" i="2"/>
  <c r="AX22" i="2"/>
  <c r="AR15" i="2"/>
  <c r="AR24" i="2"/>
  <c r="BB21" i="2"/>
  <c r="AZ20" i="2"/>
  <c r="AX19" i="2"/>
  <c r="AP19" i="2"/>
  <c r="AV18" i="2"/>
  <c r="BB17" i="2"/>
  <c r="AT17" i="2"/>
  <c r="AZ16" i="2"/>
  <c r="AR16" i="2"/>
  <c r="AX15" i="2"/>
  <c r="AP15" i="2"/>
  <c r="AV14" i="2"/>
  <c r="BB13" i="2"/>
  <c r="AT13" i="2"/>
  <c r="AZ12" i="2"/>
  <c r="AR12" i="2"/>
  <c r="AZ19" i="2"/>
  <c r="BB24" i="2"/>
  <c r="AR23" i="2"/>
  <c r="AP22" i="2"/>
  <c r="AR19" i="2"/>
  <c r="AP18" i="2"/>
  <c r="AZ15" i="2"/>
  <c r="AP14" i="2"/>
  <c r="AX26" i="2"/>
  <c r="AT25" i="2"/>
  <c r="AX23" i="2"/>
  <c r="AV22" i="2"/>
  <c r="AT21" i="2"/>
  <c r="AT27" i="2"/>
  <c r="AR26" i="2"/>
  <c r="BB26" i="2"/>
  <c r="AZ25" i="2"/>
  <c r="AR25" i="2"/>
  <c r="AX24" i="2"/>
  <c r="AP24" i="2"/>
  <c r="AV23" i="2"/>
  <c r="BB22" i="2"/>
  <c r="AT22" i="2"/>
  <c r="AZ21" i="2"/>
  <c r="AR21" i="2"/>
  <c r="AX20" i="2"/>
  <c r="AP20" i="2"/>
  <c r="AV19" i="2"/>
  <c r="BB18" i="2"/>
  <c r="AT18" i="2"/>
  <c r="AZ17" i="2"/>
  <c r="AR17" i="2"/>
  <c r="AX16" i="2"/>
  <c r="AP16" i="2"/>
  <c r="AV15" i="2"/>
  <c r="BB14" i="2"/>
  <c r="AT14" i="2"/>
  <c r="AZ13" i="2"/>
  <c r="AR13" i="2"/>
  <c r="AX12" i="2"/>
  <c r="AP12" i="2"/>
  <c r="BC27" i="2"/>
  <c r="AY27" i="2"/>
  <c r="AU27" i="2"/>
  <c r="AQ27" i="2"/>
  <c r="BA26" i="2"/>
  <c r="AW26" i="2"/>
  <c r="AS26" i="2"/>
  <c r="BC25" i="2"/>
  <c r="AY25" i="2"/>
  <c r="AU25" i="2"/>
  <c r="AQ25" i="2"/>
  <c r="BA24" i="2"/>
  <c r="AW24" i="2"/>
  <c r="AS24" i="2"/>
  <c r="BC23" i="2"/>
  <c r="AY23" i="2"/>
  <c r="AU23" i="2"/>
  <c r="AQ23" i="2"/>
  <c r="BA22" i="2"/>
  <c r="AW22" i="2"/>
  <c r="AS22" i="2"/>
  <c r="BC21" i="2"/>
  <c r="AY21" i="2"/>
  <c r="AU21" i="2"/>
  <c r="AQ21" i="2"/>
  <c r="BA20" i="2"/>
  <c r="AW20" i="2"/>
  <c r="AS20" i="2"/>
  <c r="BC19" i="2"/>
  <c r="AY19" i="2"/>
  <c r="AU19" i="2"/>
  <c r="AQ19" i="2"/>
  <c r="BA18" i="2"/>
  <c r="AW18" i="2"/>
  <c r="AS18" i="2"/>
  <c r="BC17" i="2"/>
  <c r="AY17" i="2"/>
  <c r="AU17" i="2"/>
  <c r="AQ17" i="2"/>
  <c r="BA16" i="2"/>
  <c r="AW16" i="2"/>
  <c r="AS16" i="2"/>
  <c r="BC15" i="2"/>
  <c r="AY15" i="2"/>
  <c r="AU15" i="2"/>
  <c r="AQ15" i="2"/>
  <c r="BA14" i="2"/>
  <c r="AW14" i="2"/>
  <c r="AS14" i="2"/>
  <c r="BC13" i="2"/>
  <c r="AY13" i="2"/>
  <c r="AU13" i="2"/>
  <c r="AQ13" i="2"/>
  <c r="BA12" i="2"/>
  <c r="AW12" i="2"/>
  <c r="AS12" i="2"/>
  <c r="BA27" i="2"/>
  <c r="AW27" i="2"/>
  <c r="AS27" i="2"/>
  <c r="BC26" i="2"/>
  <c r="AY26" i="2"/>
  <c r="AU26" i="2"/>
  <c r="AQ26" i="2"/>
  <c r="BA25" i="2"/>
  <c r="AW25" i="2"/>
  <c r="AS25" i="2"/>
  <c r="BC24" i="2"/>
  <c r="AY24" i="2"/>
  <c r="AU24" i="2"/>
  <c r="AQ24" i="2"/>
  <c r="BA23" i="2"/>
  <c r="AW23" i="2"/>
  <c r="AS23" i="2"/>
  <c r="BC22" i="2"/>
  <c r="AY22" i="2"/>
  <c r="AU22" i="2"/>
  <c r="AQ22" i="2"/>
  <c r="BA21" i="2"/>
  <c r="AW21" i="2"/>
  <c r="AS21" i="2"/>
  <c r="BC20" i="2"/>
  <c r="AY20" i="2"/>
  <c r="AU20" i="2"/>
  <c r="AQ20" i="2"/>
  <c r="BA19" i="2"/>
  <c r="AW19" i="2"/>
  <c r="AS19" i="2"/>
  <c r="BC18" i="2"/>
  <c r="AY18" i="2"/>
  <c r="AU18" i="2"/>
  <c r="AQ18" i="2"/>
  <c r="BA17" i="2"/>
  <c r="AW17" i="2"/>
  <c r="AS17" i="2"/>
  <c r="BC16" i="2"/>
  <c r="AY16" i="2"/>
  <c r="AU16" i="2"/>
  <c r="AQ16" i="2"/>
  <c r="BA15" i="2"/>
  <c r="AW15" i="2"/>
  <c r="AS15" i="2"/>
  <c r="BC14" i="2"/>
  <c r="AY14" i="2"/>
  <c r="AU14" i="2"/>
  <c r="AQ14" i="2"/>
  <c r="BA13" i="2"/>
  <c r="AW13" i="2"/>
  <c r="AS13" i="2"/>
  <c r="BC12" i="2"/>
  <c r="AY12" i="2"/>
  <c r="AU12" i="2"/>
  <c r="AQ12" i="2"/>
  <c r="BC11" i="2"/>
  <c r="AQ11" i="2"/>
  <c r="BB11" i="2"/>
  <c r="AX11" i="2"/>
  <c r="AT11" i="2"/>
  <c r="BA11" i="2"/>
  <c r="AW11" i="2"/>
  <c r="AS11" i="2"/>
  <c r="AY11" i="2"/>
  <c r="AV11" i="2"/>
  <c r="AR11" i="2"/>
  <c r="AU11" i="2"/>
  <c r="AZ11" i="2"/>
  <c r="AP11" i="2"/>
  <c r="AC27" i="2"/>
  <c r="AG25" i="2"/>
  <c r="AG23" i="2"/>
  <c r="AG21" i="2"/>
  <c r="AK19" i="2"/>
  <c r="AC17" i="2"/>
  <c r="AG13" i="2"/>
  <c r="AH27" i="2"/>
  <c r="AB26" i="2"/>
  <c r="AA26" i="2"/>
  <c r="AA24" i="2"/>
  <c r="AA22" i="2"/>
  <c r="AA20" i="2"/>
  <c r="AE18" i="2"/>
  <c r="AK13" i="2"/>
  <c r="X27" i="2"/>
  <c r="AF25" i="2"/>
  <c r="X25" i="2"/>
  <c r="Z24" i="2"/>
  <c r="AF23" i="2"/>
  <c r="AB23" i="2"/>
  <c r="X23" i="2"/>
  <c r="AH22" i="2"/>
  <c r="AD22" i="2"/>
  <c r="Z22" i="2"/>
  <c r="AJ21" i="2"/>
  <c r="AF21" i="2"/>
  <c r="AB21" i="2"/>
  <c r="AH20" i="2"/>
  <c r="AD20" i="2"/>
  <c r="Z20" i="2"/>
  <c r="AJ19" i="2"/>
  <c r="AF19" i="2"/>
  <c r="AB19" i="2"/>
  <c r="X19" i="2"/>
  <c r="AH18" i="2"/>
  <c r="AD18" i="2"/>
  <c r="Z18" i="2"/>
  <c r="AJ17" i="2"/>
  <c r="AF17" i="2"/>
  <c r="AB17" i="2"/>
  <c r="X17" i="2"/>
  <c r="AH16" i="2"/>
  <c r="AD16" i="2"/>
  <c r="Z16" i="2"/>
  <c r="AJ15" i="2"/>
  <c r="AF15" i="2"/>
  <c r="AB15" i="2"/>
  <c r="X15" i="2"/>
  <c r="AH14" i="2"/>
  <c r="AD14" i="2"/>
  <c r="Z14" i="2"/>
  <c r="AJ13" i="2"/>
  <c r="AF13" i="2"/>
  <c r="AB13" i="2"/>
  <c r="X13" i="2"/>
  <c r="AH12" i="2"/>
  <c r="AD12" i="2"/>
  <c r="Z12" i="2"/>
  <c r="AI26" i="2"/>
  <c r="AI24" i="2"/>
  <c r="AI22" i="2"/>
  <c r="Y21" i="2"/>
  <c r="AI18" i="2"/>
  <c r="Y17" i="2"/>
  <c r="AG15" i="2"/>
  <c r="AA14" i="2"/>
  <c r="AE12" i="2"/>
  <c r="AB27" i="2"/>
  <c r="AD26" i="2"/>
  <c r="AB25" i="2"/>
  <c r="AJ23" i="2"/>
  <c r="X21" i="2"/>
  <c r="AK27" i="2"/>
  <c r="AE26" i="2"/>
  <c r="AC25" i="2"/>
  <c r="AK23" i="2"/>
  <c r="Y23" i="2"/>
  <c r="AK21" i="2"/>
  <c r="AE20" i="2"/>
  <c r="AC19" i="2"/>
  <c r="AA18" i="2"/>
  <c r="AI16" i="2"/>
  <c r="AA16" i="2"/>
  <c r="AC15" i="2"/>
  <c r="AE14" i="2"/>
  <c r="AC13" i="2"/>
  <c r="AI12" i="2"/>
  <c r="AJ27" i="2"/>
  <c r="AH26" i="2"/>
  <c r="AJ25" i="2"/>
  <c r="AH24" i="2"/>
  <c r="AE27" i="2"/>
  <c r="AA27" i="2"/>
  <c r="AK26" i="2"/>
  <c r="AG26" i="2"/>
  <c r="AC26" i="2"/>
  <c r="Y26" i="2"/>
  <c r="AI25" i="2"/>
  <c r="AE25" i="2"/>
  <c r="AA25" i="2"/>
  <c r="AK24" i="2"/>
  <c r="AG24" i="2"/>
  <c r="AC24" i="2"/>
  <c r="Y24" i="2"/>
  <c r="AI23" i="2"/>
  <c r="AE23" i="2"/>
  <c r="AA23" i="2"/>
  <c r="AK22" i="2"/>
  <c r="AG22" i="2"/>
  <c r="AC22" i="2"/>
  <c r="Y22" i="2"/>
  <c r="AI21" i="2"/>
  <c r="AE21" i="2"/>
  <c r="AA21" i="2"/>
  <c r="AK20" i="2"/>
  <c r="AG20" i="2"/>
  <c r="AC20" i="2"/>
  <c r="Y20" i="2"/>
  <c r="AI19" i="2"/>
  <c r="AE19" i="2"/>
  <c r="AA19" i="2"/>
  <c r="AK18" i="2"/>
  <c r="AG18" i="2"/>
  <c r="AC18" i="2"/>
  <c r="Y18" i="2"/>
  <c r="AI17" i="2"/>
  <c r="AE17" i="2"/>
  <c r="AA17" i="2"/>
  <c r="AK16" i="2"/>
  <c r="AG16" i="2"/>
  <c r="AC16" i="2"/>
  <c r="Y16" i="2"/>
  <c r="AI15" i="2"/>
  <c r="AE15" i="2"/>
  <c r="AA15" i="2"/>
  <c r="AK14" i="2"/>
  <c r="AG14" i="2"/>
  <c r="AC14" i="2"/>
  <c r="Y14" i="2"/>
  <c r="AI13" i="2"/>
  <c r="AE13" i="2"/>
  <c r="AA13" i="2"/>
  <c r="AK12" i="2"/>
  <c r="AG12" i="2"/>
  <c r="AC12" i="2"/>
  <c r="Y12" i="2"/>
  <c r="Y27" i="2"/>
  <c r="Y25" i="2"/>
  <c r="AC23" i="2"/>
  <c r="AC21" i="2"/>
  <c r="AG19" i="2"/>
  <c r="AK17" i="2"/>
  <c r="AE16" i="2"/>
  <c r="Y15" i="2"/>
  <c r="AA12" i="2"/>
  <c r="AF27" i="2"/>
  <c r="Z26" i="2"/>
  <c r="AD24" i="2"/>
  <c r="AI27" i="2"/>
  <c r="AG27" i="2"/>
  <c r="AK25" i="2"/>
  <c r="AE24" i="2"/>
  <c r="AE22" i="2"/>
  <c r="AI20" i="2"/>
  <c r="Y19" i="2"/>
  <c r="AG17" i="2"/>
  <c r="AK15" i="2"/>
  <c r="AI14" i="2"/>
  <c r="Y13" i="2"/>
  <c r="AD27" i="2"/>
  <c r="Z27" i="2"/>
  <c r="AJ26" i="2"/>
  <c r="AF26" i="2"/>
  <c r="X26" i="2"/>
  <c r="AH25" i="2"/>
  <c r="AD25" i="2"/>
  <c r="Z25" i="2"/>
  <c r="AJ24" i="2"/>
  <c r="AF24" i="2"/>
  <c r="AB24" i="2"/>
  <c r="X24" i="2"/>
  <c r="AH23" i="2"/>
  <c r="AD23" i="2"/>
  <c r="Z23" i="2"/>
  <c r="AJ22" i="2"/>
  <c r="AF22" i="2"/>
  <c r="AB22" i="2"/>
  <c r="X22" i="2"/>
  <c r="AH21" i="2"/>
  <c r="AD21" i="2"/>
  <c r="Z21" i="2"/>
  <c r="AJ20" i="2"/>
  <c r="AF20" i="2"/>
  <c r="AB20" i="2"/>
  <c r="X20" i="2"/>
  <c r="AH19" i="2"/>
  <c r="AD19" i="2"/>
  <c r="Z19" i="2"/>
  <c r="AJ18" i="2"/>
  <c r="AF18" i="2"/>
  <c r="AB18" i="2"/>
  <c r="X18" i="2"/>
  <c r="AH17" i="2"/>
  <c r="AD17" i="2"/>
  <c r="Z17" i="2"/>
  <c r="AJ16" i="2"/>
  <c r="AF16" i="2"/>
  <c r="AB16" i="2"/>
  <c r="X16" i="2"/>
  <c r="AH15" i="2"/>
  <c r="AD15" i="2"/>
  <c r="Z15" i="2"/>
  <c r="AJ14" i="2"/>
  <c r="AF14" i="2"/>
  <c r="AB14" i="2"/>
  <c r="X14" i="2"/>
  <c r="AH13" i="2"/>
  <c r="AD13" i="2"/>
  <c r="Z13" i="2"/>
  <c r="AJ12" i="2"/>
  <c r="AF12" i="2"/>
  <c r="AB12" i="2"/>
  <c r="X12" i="2"/>
  <c r="AJ11" i="2"/>
  <c r="AF11" i="2"/>
  <c r="AB11" i="2"/>
  <c r="AC11" i="2"/>
  <c r="AE11" i="2"/>
  <c r="AA11" i="2"/>
  <c r="AG11" i="2"/>
  <c r="AK11" i="2"/>
  <c r="Z11" i="2"/>
  <c r="AI11" i="2"/>
  <c r="AH11" i="2"/>
  <c r="AD11" i="2"/>
  <c r="Y11" i="2"/>
  <c r="X11" i="2"/>
  <c r="H26" i="2"/>
  <c r="Q24" i="2"/>
  <c r="S27" i="2"/>
  <c r="F27" i="2"/>
  <c r="R25" i="2"/>
  <c r="P24" i="2"/>
  <c r="N23" i="2"/>
  <c r="L22" i="2"/>
  <c r="J21" i="2"/>
  <c r="N19" i="2"/>
  <c r="N21" i="2"/>
  <c r="K21" i="2"/>
  <c r="R27" i="2"/>
  <c r="Q26" i="2"/>
  <c r="O25" i="2"/>
  <c r="M24" i="2"/>
  <c r="K23" i="2"/>
  <c r="I22" i="2"/>
  <c r="G21" i="2"/>
  <c r="J19" i="2"/>
  <c r="F25" i="2"/>
  <c r="M22" i="2"/>
  <c r="O27" i="2"/>
  <c r="P26" i="2"/>
  <c r="N25" i="2"/>
  <c r="L24" i="2"/>
  <c r="J23" i="2"/>
  <c r="H22" i="2"/>
  <c r="F21" i="2"/>
  <c r="F19" i="2"/>
  <c r="R23" i="2"/>
  <c r="O23" i="2"/>
  <c r="N27" i="2"/>
  <c r="M26" i="2"/>
  <c r="K25" i="2"/>
  <c r="I24" i="2"/>
  <c r="G23" i="2"/>
  <c r="S21" i="2"/>
  <c r="Q20" i="2"/>
  <c r="P18" i="2"/>
  <c r="H20" i="2"/>
  <c r="S25" i="2"/>
  <c r="L26" i="2"/>
  <c r="L18" i="2"/>
  <c r="P22" i="2"/>
  <c r="G27" i="2"/>
  <c r="R19" i="2"/>
  <c r="K27" i="2"/>
  <c r="J25" i="2"/>
  <c r="H24" i="2"/>
  <c r="F23" i="2"/>
  <c r="R21" i="2"/>
  <c r="P20" i="2"/>
  <c r="J27" i="2"/>
  <c r="I26" i="2"/>
  <c r="G25" i="2"/>
  <c r="S23" i="2"/>
  <c r="Q22" i="2"/>
  <c r="O21" i="2"/>
  <c r="L20" i="2"/>
  <c r="H18" i="2"/>
  <c r="M20" i="2"/>
  <c r="I20" i="2"/>
  <c r="S19" i="2"/>
  <c r="O19" i="2"/>
  <c r="K19" i="2"/>
  <c r="G19" i="2"/>
  <c r="Q18" i="2"/>
  <c r="M18" i="2"/>
  <c r="I18" i="2"/>
  <c r="S17" i="2"/>
  <c r="O17" i="2"/>
  <c r="K17" i="2"/>
  <c r="G17" i="2"/>
  <c r="Q16" i="2"/>
  <c r="M16" i="2"/>
  <c r="I16" i="2"/>
  <c r="S15" i="2"/>
  <c r="O15" i="2"/>
  <c r="K15" i="2"/>
  <c r="G15" i="2"/>
  <c r="Q14" i="2"/>
  <c r="M14" i="2"/>
  <c r="I14" i="2"/>
  <c r="S13" i="2"/>
  <c r="O13" i="2"/>
  <c r="K13" i="2"/>
  <c r="G13" i="2"/>
  <c r="Q12" i="2"/>
  <c r="M12" i="2"/>
  <c r="I12" i="2"/>
  <c r="R17" i="2"/>
  <c r="N17" i="2"/>
  <c r="J17" i="2"/>
  <c r="F17" i="2"/>
  <c r="P16" i="2"/>
  <c r="L16" i="2"/>
  <c r="H16" i="2"/>
  <c r="R15" i="2"/>
  <c r="N15" i="2"/>
  <c r="J15" i="2"/>
  <c r="F15" i="2"/>
  <c r="P14" i="2"/>
  <c r="L14" i="2"/>
  <c r="H14" i="2"/>
  <c r="R13" i="2"/>
  <c r="N13" i="2"/>
  <c r="J13" i="2"/>
  <c r="F13" i="2"/>
  <c r="P12" i="2"/>
  <c r="L12" i="2"/>
  <c r="H12" i="2"/>
  <c r="M27" i="2"/>
  <c r="S26" i="2"/>
  <c r="K26" i="2"/>
  <c r="M25" i="2"/>
  <c r="S24" i="2"/>
  <c r="K24" i="2"/>
  <c r="Q23" i="2"/>
  <c r="I23" i="2"/>
  <c r="O22" i="2"/>
  <c r="K22" i="2"/>
  <c r="G22" i="2"/>
  <c r="Q21" i="2"/>
  <c r="M21" i="2"/>
  <c r="I21" i="2"/>
  <c r="O20" i="2"/>
  <c r="K20" i="2"/>
  <c r="G20" i="2"/>
  <c r="Q19" i="2"/>
  <c r="M19" i="2"/>
  <c r="I19" i="2"/>
  <c r="S18" i="2"/>
  <c r="O18" i="2"/>
  <c r="K18" i="2"/>
  <c r="G18" i="2"/>
  <c r="Q17" i="2"/>
  <c r="M17" i="2"/>
  <c r="I17" i="2"/>
  <c r="S16" i="2"/>
  <c r="O16" i="2"/>
  <c r="K16" i="2"/>
  <c r="G16" i="2"/>
  <c r="Q15" i="2"/>
  <c r="M15" i="2"/>
  <c r="I15" i="2"/>
  <c r="S14" i="2"/>
  <c r="O14" i="2"/>
  <c r="K14" i="2"/>
  <c r="G14" i="2"/>
  <c r="Q13" i="2"/>
  <c r="M13" i="2"/>
  <c r="I13" i="2"/>
  <c r="S12" i="2"/>
  <c r="O12" i="2"/>
  <c r="K12" i="2"/>
  <c r="G12" i="2"/>
  <c r="Q27" i="2"/>
  <c r="I27" i="2"/>
  <c r="O26" i="2"/>
  <c r="G26" i="2"/>
  <c r="Q25" i="2"/>
  <c r="I25" i="2"/>
  <c r="O24" i="2"/>
  <c r="G24" i="2"/>
  <c r="M23" i="2"/>
  <c r="S22" i="2"/>
  <c r="S20" i="2"/>
  <c r="P27" i="2"/>
  <c r="L27" i="2"/>
  <c r="H27" i="2"/>
  <c r="R26" i="2"/>
  <c r="N26" i="2"/>
  <c r="J26" i="2"/>
  <c r="F26" i="2"/>
  <c r="P25" i="2"/>
  <c r="L25" i="2"/>
  <c r="H25" i="2"/>
  <c r="R24" i="2"/>
  <c r="N24" i="2"/>
  <c r="J24" i="2"/>
  <c r="F24" i="2"/>
  <c r="P23" i="2"/>
  <c r="L23" i="2"/>
  <c r="H23" i="2"/>
  <c r="R22" i="2"/>
  <c r="N22" i="2"/>
  <c r="J22" i="2"/>
  <c r="F22" i="2"/>
  <c r="P21" i="2"/>
  <c r="L21" i="2"/>
  <c r="H21" i="2"/>
  <c r="R20" i="2"/>
  <c r="N20" i="2"/>
  <c r="J20" i="2"/>
  <c r="F20" i="2"/>
  <c r="P19" i="2"/>
  <c r="L19" i="2"/>
  <c r="H19" i="2"/>
  <c r="R18" i="2"/>
  <c r="N18" i="2"/>
  <c r="J18" i="2"/>
  <c r="F18" i="2"/>
  <c r="P17" i="2"/>
  <c r="L17" i="2"/>
  <c r="H17" i="2"/>
  <c r="R16" i="2"/>
  <c r="N16" i="2"/>
  <c r="J16" i="2"/>
  <c r="F16" i="2"/>
  <c r="P15" i="2"/>
  <c r="L15" i="2"/>
  <c r="H15" i="2"/>
  <c r="R14" i="2"/>
  <c r="N14" i="2"/>
  <c r="J14" i="2"/>
  <c r="F14" i="2"/>
  <c r="P13" i="2"/>
  <c r="L13" i="2"/>
  <c r="H13" i="2"/>
  <c r="R12" i="2"/>
  <c r="N12" i="2"/>
  <c r="J12" i="2"/>
  <c r="F12" i="2"/>
  <c r="H11" i="2"/>
  <c r="S11" i="2"/>
  <c r="K11" i="2"/>
  <c r="R11" i="2"/>
  <c r="N11" i="2"/>
  <c r="J11" i="2"/>
  <c r="P11" i="2"/>
  <c r="L11" i="2"/>
  <c r="O11" i="2"/>
  <c r="G11" i="2"/>
  <c r="Q11" i="2"/>
  <c r="M11" i="2"/>
  <c r="I11" i="2"/>
  <c r="F11" i="2"/>
  <c r="BA177" i="1"/>
  <c r="AY174" i="1"/>
  <c r="AW173" i="1"/>
  <c r="AW185" i="1"/>
  <c r="BA183" i="1"/>
  <c r="AQ182" i="1"/>
  <c r="AU180" i="1"/>
  <c r="AY177" i="1"/>
  <c r="AY175" i="1"/>
  <c r="AU173" i="1"/>
  <c r="AS172" i="1"/>
  <c r="AV185" i="1"/>
  <c r="AT184" i="1"/>
  <c r="AR183" i="1"/>
  <c r="AP182" i="1"/>
  <c r="BB180" i="1"/>
  <c r="AZ179" i="1"/>
  <c r="AU178" i="1"/>
  <c r="AW175" i="1"/>
  <c r="AQ172" i="1"/>
  <c r="BC185" i="1"/>
  <c r="BA184" i="1"/>
  <c r="AS184" i="1"/>
  <c r="AQ183" i="1"/>
  <c r="BC181" i="1"/>
  <c r="AU181" i="1"/>
  <c r="AS180" i="1"/>
  <c r="AS178" i="1"/>
  <c r="AU175" i="1"/>
  <c r="AQ173" i="1"/>
  <c r="BA170" i="1"/>
  <c r="BA176" i="1"/>
  <c r="AQ170" i="1"/>
  <c r="AU184" i="1"/>
  <c r="AW181" i="1"/>
  <c r="BA179" i="1"/>
  <c r="AY176" i="1"/>
  <c r="AW174" i="1"/>
  <c r="AQ171" i="1"/>
  <c r="BB184" i="1"/>
  <c r="AZ183" i="1"/>
  <c r="AX182" i="1"/>
  <c r="AV181" i="1"/>
  <c r="AT180" i="1"/>
  <c r="AQ179" i="1"/>
  <c r="AW176" i="1"/>
  <c r="AU174" i="1"/>
  <c r="AS173" i="1"/>
  <c r="BC170" i="1"/>
  <c r="AU185" i="1"/>
  <c r="AY183" i="1"/>
  <c r="AW182" i="1"/>
  <c r="BA180" i="1"/>
  <c r="AY179" i="1"/>
  <c r="AW177" i="1"/>
  <c r="AS174" i="1"/>
  <c r="BC171" i="1"/>
  <c r="BC178" i="1"/>
  <c r="AU177" i="1"/>
  <c r="AU176" i="1"/>
  <c r="AS175" i="1"/>
  <c r="AQ174" i="1"/>
  <c r="BC172" i="1"/>
  <c r="BA171" i="1"/>
  <c r="AY170" i="1"/>
  <c r="AW178" i="1"/>
  <c r="BA175" i="1"/>
  <c r="AS171" i="1"/>
  <c r="BC184" i="1"/>
  <c r="AY182" i="1"/>
  <c r="AS179" i="1"/>
  <c r="BA185" i="1"/>
  <c r="AY184" i="1"/>
  <c r="AW183" i="1"/>
  <c r="BC182" i="1"/>
  <c r="BA181" i="1"/>
  <c r="AY180" i="1"/>
  <c r="AW179" i="1"/>
  <c r="AQ178" i="1"/>
  <c r="AS177" i="1"/>
  <c r="AS176" i="1"/>
  <c r="BC173" i="1"/>
  <c r="BA172" i="1"/>
  <c r="AY171" i="1"/>
  <c r="AW170" i="1"/>
  <c r="AZ185" i="1"/>
  <c r="AR185" i="1"/>
  <c r="AX184" i="1"/>
  <c r="AP184" i="1"/>
  <c r="AV183" i="1"/>
  <c r="BB182" i="1"/>
  <c r="AT182" i="1"/>
  <c r="AZ181" i="1"/>
  <c r="AR181" i="1"/>
  <c r="AX180" i="1"/>
  <c r="AP180" i="1"/>
  <c r="AV179" i="1"/>
  <c r="BC177" i="1"/>
  <c r="AQ177" i="1"/>
  <c r="AQ176" i="1"/>
  <c r="BC174" i="1"/>
  <c r="BA173" i="1"/>
  <c r="AY172" i="1"/>
  <c r="AW171" i="1"/>
  <c r="AU170" i="1"/>
  <c r="AU172" i="1"/>
  <c r="AS183" i="1"/>
  <c r="BC180" i="1"/>
  <c r="AS185" i="1"/>
  <c r="AQ184" i="1"/>
  <c r="AU182" i="1"/>
  <c r="AS181" i="1"/>
  <c r="AQ180" i="1"/>
  <c r="BA178" i="1"/>
  <c r="AQ175" i="1"/>
  <c r="AY185" i="1"/>
  <c r="AQ185" i="1"/>
  <c r="AW184" i="1"/>
  <c r="BC183" i="1"/>
  <c r="AU183" i="1"/>
  <c r="BA182" i="1"/>
  <c r="AS182" i="1"/>
  <c r="AY181" i="1"/>
  <c r="AQ181" i="1"/>
  <c r="AW180" i="1"/>
  <c r="BC179" i="1"/>
  <c r="AU179" i="1"/>
  <c r="AY178" i="1"/>
  <c r="BC176" i="1"/>
  <c r="BC175" i="1"/>
  <c r="BA174" i="1"/>
  <c r="AY173" i="1"/>
  <c r="AW172" i="1"/>
  <c r="AU171" i="1"/>
  <c r="AS170" i="1"/>
  <c r="AR179" i="1"/>
  <c r="BB178" i="1"/>
  <c r="AX178" i="1"/>
  <c r="AT178" i="1"/>
  <c r="AP178" i="1"/>
  <c r="AZ177" i="1"/>
  <c r="AV177" i="1"/>
  <c r="AR177" i="1"/>
  <c r="BB176" i="1"/>
  <c r="AX176" i="1"/>
  <c r="AT176" i="1"/>
  <c r="AP176" i="1"/>
  <c r="AZ175" i="1"/>
  <c r="AV175" i="1"/>
  <c r="AR175" i="1"/>
  <c r="BB174" i="1"/>
  <c r="AX174" i="1"/>
  <c r="AT174" i="1"/>
  <c r="AP174" i="1"/>
  <c r="AZ173" i="1"/>
  <c r="AV173" i="1"/>
  <c r="AR173" i="1"/>
  <c r="BB172" i="1"/>
  <c r="AX172" i="1"/>
  <c r="AT172" i="1"/>
  <c r="AP172" i="1"/>
  <c r="AZ171" i="1"/>
  <c r="AV171" i="1"/>
  <c r="AR171" i="1"/>
  <c r="BB170" i="1"/>
  <c r="AX170" i="1"/>
  <c r="AT170" i="1"/>
  <c r="AP170" i="1"/>
  <c r="AX185" i="1"/>
  <c r="AP185" i="1"/>
  <c r="AR184" i="1"/>
  <c r="AT183" i="1"/>
  <c r="AV182" i="1"/>
  <c r="BB181" i="1"/>
  <c r="AP181" i="1"/>
  <c r="AV180" i="1"/>
  <c r="AX179" i="1"/>
  <c r="AZ178" i="1"/>
  <c r="AR178" i="1"/>
  <c r="AX177" i="1"/>
  <c r="AT177" i="1"/>
  <c r="AZ176" i="1"/>
  <c r="AV176" i="1"/>
  <c r="AR176" i="1"/>
  <c r="BB175" i="1"/>
  <c r="AX175" i="1"/>
  <c r="AT175" i="1"/>
  <c r="AP175" i="1"/>
  <c r="AZ174" i="1"/>
  <c r="AV174" i="1"/>
  <c r="AR174" i="1"/>
  <c r="BB173" i="1"/>
  <c r="AX173" i="1"/>
  <c r="AT173" i="1"/>
  <c r="AZ172" i="1"/>
  <c r="AV172" i="1"/>
  <c r="AR172" i="1"/>
  <c r="BB171" i="1"/>
  <c r="AX171" i="1"/>
  <c r="AT171" i="1"/>
  <c r="AP171" i="1"/>
  <c r="AZ170" i="1"/>
  <c r="AV170" i="1"/>
  <c r="AR170" i="1"/>
  <c r="BB185" i="1"/>
  <c r="AT185" i="1"/>
  <c r="AZ184" i="1"/>
  <c r="AV184" i="1"/>
  <c r="BB183" i="1"/>
  <c r="AX183" i="1"/>
  <c r="AP183" i="1"/>
  <c r="AZ182" i="1"/>
  <c r="AR182" i="1"/>
  <c r="AX181" i="1"/>
  <c r="AT181" i="1"/>
  <c r="AZ180" i="1"/>
  <c r="AR180" i="1"/>
  <c r="BB179" i="1"/>
  <c r="AT179" i="1"/>
  <c r="AP179" i="1"/>
  <c r="AV178" i="1"/>
  <c r="BB177" i="1"/>
  <c r="AP177" i="1"/>
  <c r="AP173" i="1"/>
  <c r="AX169" i="1"/>
  <c r="BA169" i="1"/>
  <c r="AW169" i="1"/>
  <c r="AS169" i="1"/>
  <c r="BB169" i="1"/>
  <c r="AT169" i="1"/>
  <c r="AZ169" i="1"/>
  <c r="AR169" i="1"/>
  <c r="AV169" i="1"/>
  <c r="BC169" i="1"/>
  <c r="AY169" i="1"/>
  <c r="AU169" i="1"/>
  <c r="AQ169" i="1"/>
  <c r="AP169" i="1"/>
  <c r="X185" i="1"/>
  <c r="AH185" i="1"/>
  <c r="AF184" i="1"/>
  <c r="AH183" i="1"/>
  <c r="AJ182" i="1"/>
  <c r="X182" i="1"/>
  <c r="AJ180" i="1"/>
  <c r="X180" i="1"/>
  <c r="Z179" i="1"/>
  <c r="AF178" i="1"/>
  <c r="AH177" i="1"/>
  <c r="AD177" i="1"/>
  <c r="AF176" i="1"/>
  <c r="AB176" i="1"/>
  <c r="X176" i="1"/>
  <c r="AH175" i="1"/>
  <c r="AD175" i="1"/>
  <c r="Z175" i="1"/>
  <c r="AJ174" i="1"/>
  <c r="AF174" i="1"/>
  <c r="AB174" i="1"/>
  <c r="X174" i="1"/>
  <c r="AH173" i="1"/>
  <c r="AD173" i="1"/>
  <c r="Z173" i="1"/>
  <c r="AJ172" i="1"/>
  <c r="AF172" i="1"/>
  <c r="AB172" i="1"/>
  <c r="X172" i="1"/>
  <c r="AH171" i="1"/>
  <c r="AD171" i="1"/>
  <c r="Z171" i="1"/>
  <c r="AJ170" i="1"/>
  <c r="AF170" i="1"/>
  <c r="AB170" i="1"/>
  <c r="X170" i="1"/>
  <c r="AJ185" i="1"/>
  <c r="AD184" i="1"/>
  <c r="AD185" i="1"/>
  <c r="AJ184" i="1"/>
  <c r="AB184" i="1"/>
  <c r="AD183" i="1"/>
  <c r="AF182" i="1"/>
  <c r="AH181" i="1"/>
  <c r="Z181" i="1"/>
  <c r="AB180" i="1"/>
  <c r="AD179" i="1"/>
  <c r="AB178" i="1"/>
  <c r="AJ176" i="1"/>
  <c r="AC185" i="1"/>
  <c r="AI184" i="1"/>
  <c r="AK183" i="1"/>
  <c r="AC183" i="1"/>
  <c r="AE182" i="1"/>
  <c r="AK181" i="1"/>
  <c r="AC181" i="1"/>
  <c r="AI180" i="1"/>
  <c r="AA180" i="1"/>
  <c r="AG179" i="1"/>
  <c r="Y179" i="1"/>
  <c r="AI178" i="1"/>
  <c r="AA178" i="1"/>
  <c r="AK177" i="1"/>
  <c r="AG177" i="1"/>
  <c r="AC177" i="1"/>
  <c r="Y177" i="1"/>
  <c r="AI176" i="1"/>
  <c r="AE176" i="1"/>
  <c r="AA176" i="1"/>
  <c r="AK175" i="1"/>
  <c r="AC175" i="1"/>
  <c r="Y175" i="1"/>
  <c r="AI174" i="1"/>
  <c r="AE174" i="1"/>
  <c r="AA174" i="1"/>
  <c r="AK173" i="1"/>
  <c r="AG173" i="1"/>
  <c r="AC173" i="1"/>
  <c r="Y173" i="1"/>
  <c r="AI172" i="1"/>
  <c r="AE172" i="1"/>
  <c r="AA172" i="1"/>
  <c r="AK171" i="1"/>
  <c r="AG171" i="1"/>
  <c r="AC171" i="1"/>
  <c r="Y171" i="1"/>
  <c r="AI170" i="1"/>
  <c r="AE170" i="1"/>
  <c r="AA170" i="1"/>
  <c r="AB185" i="1"/>
  <c r="AF183" i="1"/>
  <c r="Z185" i="1"/>
  <c r="X184" i="1"/>
  <c r="Z183" i="1"/>
  <c r="AB182" i="1"/>
  <c r="AD181" i="1"/>
  <c r="AF180" i="1"/>
  <c r="AH179" i="1"/>
  <c r="AJ178" i="1"/>
  <c r="X178" i="1"/>
  <c r="Z177" i="1"/>
  <c r="AK185" i="1"/>
  <c r="AG185" i="1"/>
  <c r="Y185" i="1"/>
  <c r="AE184" i="1"/>
  <c r="AA184" i="1"/>
  <c r="AG183" i="1"/>
  <c r="Y183" i="1"/>
  <c r="AI182" i="1"/>
  <c r="AA182" i="1"/>
  <c r="AG181" i="1"/>
  <c r="Y181" i="1"/>
  <c r="AE180" i="1"/>
  <c r="AK179" i="1"/>
  <c r="AC179" i="1"/>
  <c r="AE178" i="1"/>
  <c r="AG175" i="1"/>
  <c r="Z184" i="1"/>
  <c r="X183" i="1"/>
  <c r="Z182" i="1"/>
  <c r="AB181" i="1"/>
  <c r="AH180" i="1"/>
  <c r="AJ179" i="1"/>
  <c r="X179" i="1"/>
  <c r="AD178" i="1"/>
  <c r="AJ177" i="1"/>
  <c r="AF177" i="1"/>
  <c r="AB177" i="1"/>
  <c r="X177" i="1"/>
  <c r="AH176" i="1"/>
  <c r="AD176" i="1"/>
  <c r="Z176" i="1"/>
  <c r="AJ175" i="1"/>
  <c r="AF175" i="1"/>
  <c r="AB175" i="1"/>
  <c r="X175" i="1"/>
  <c r="AH174" i="1"/>
  <c r="AD174" i="1"/>
  <c r="Z174" i="1"/>
  <c r="AJ173" i="1"/>
  <c r="AF173" i="1"/>
  <c r="AB173" i="1"/>
  <c r="X173" i="1"/>
  <c r="AH172" i="1"/>
  <c r="AD172" i="1"/>
  <c r="Z172" i="1"/>
  <c r="AJ171" i="1"/>
  <c r="AF171" i="1"/>
  <c r="AB171" i="1"/>
  <c r="X171" i="1"/>
  <c r="AH170" i="1"/>
  <c r="AD170" i="1"/>
  <c r="Z170" i="1"/>
  <c r="AH184" i="1"/>
  <c r="AB183" i="1"/>
  <c r="AD182" i="1"/>
  <c r="AF181" i="1"/>
  <c r="AD180" i="1"/>
  <c r="AF179" i="1"/>
  <c r="AH178" i="1"/>
  <c r="AI185" i="1"/>
  <c r="AA185" i="1"/>
  <c r="AG184" i="1"/>
  <c r="AC184" i="1"/>
  <c r="AI183" i="1"/>
  <c r="AE183" i="1"/>
  <c r="AA183" i="1"/>
  <c r="AK182" i="1"/>
  <c r="AG182" i="1"/>
  <c r="Y182" i="1"/>
  <c r="AI181" i="1"/>
  <c r="AE181" i="1"/>
  <c r="AA181" i="1"/>
  <c r="AK180" i="1"/>
  <c r="AG180" i="1"/>
  <c r="AC180" i="1"/>
  <c r="Y180" i="1"/>
  <c r="AI179" i="1"/>
  <c r="AE179" i="1"/>
  <c r="AA179" i="1"/>
  <c r="AK178" i="1"/>
  <c r="AG178" i="1"/>
  <c r="AC178" i="1"/>
  <c r="Y178" i="1"/>
  <c r="AI177" i="1"/>
  <c r="AE177" i="1"/>
  <c r="AA177" i="1"/>
  <c r="AK176" i="1"/>
  <c r="AG176" i="1"/>
  <c r="AC176" i="1"/>
  <c r="Y176" i="1"/>
  <c r="AI175" i="1"/>
  <c r="AE175" i="1"/>
  <c r="AA175" i="1"/>
  <c r="AK174" i="1"/>
  <c r="AG174" i="1"/>
  <c r="AC174" i="1"/>
  <c r="Y174" i="1"/>
  <c r="AI173" i="1"/>
  <c r="AE173" i="1"/>
  <c r="AA173" i="1"/>
  <c r="AK172" i="1"/>
  <c r="AG172" i="1"/>
  <c r="AC172" i="1"/>
  <c r="Y172" i="1"/>
  <c r="AI171" i="1"/>
  <c r="AE171" i="1"/>
  <c r="AA171" i="1"/>
  <c r="AK170" i="1"/>
  <c r="AG170" i="1"/>
  <c r="AC170" i="1"/>
  <c r="Y170" i="1"/>
  <c r="AF185" i="1"/>
  <c r="AJ183" i="1"/>
  <c r="AH182" i="1"/>
  <c r="AJ181" i="1"/>
  <c r="X181" i="1"/>
  <c r="Z180" i="1"/>
  <c r="AB179" i="1"/>
  <c r="Z178" i="1"/>
  <c r="AE185" i="1"/>
  <c r="AK184" i="1"/>
  <c r="Y184" i="1"/>
  <c r="AC182" i="1"/>
  <c r="AK169" i="1"/>
  <c r="Y169" i="1"/>
  <c r="AB169" i="1"/>
  <c r="Z169" i="1"/>
  <c r="AG169" i="1"/>
  <c r="AC169" i="1"/>
  <c r="AJ169" i="1"/>
  <c r="AF169" i="1"/>
  <c r="AI169" i="1"/>
  <c r="AE169" i="1"/>
  <c r="AA169" i="1"/>
  <c r="AH169" i="1"/>
  <c r="AD169" i="1"/>
  <c r="X169" i="1"/>
  <c r="S185" i="1"/>
  <c r="G185" i="1"/>
  <c r="N185" i="1"/>
  <c r="Q185" i="1"/>
  <c r="M185" i="1"/>
  <c r="I185" i="1"/>
  <c r="F185" i="1"/>
  <c r="O185" i="1"/>
  <c r="K185" i="1"/>
  <c r="R185" i="1"/>
  <c r="J185" i="1"/>
  <c r="P185" i="1"/>
  <c r="L185" i="1"/>
  <c r="H185" i="1"/>
  <c r="F183" i="1"/>
  <c r="O174" i="1"/>
  <c r="P184" i="1"/>
  <c r="R179" i="1"/>
  <c r="J175" i="1"/>
  <c r="F173" i="1"/>
  <c r="P170" i="1"/>
  <c r="I184" i="1"/>
  <c r="G182" i="1"/>
  <c r="Q179" i="1"/>
  <c r="M177" i="1"/>
  <c r="O170" i="1"/>
  <c r="P180" i="1"/>
  <c r="H176" i="1"/>
  <c r="N171" i="1"/>
  <c r="O180" i="1"/>
  <c r="Q173" i="1"/>
  <c r="M171" i="1"/>
  <c r="O184" i="1"/>
  <c r="N183" i="1"/>
  <c r="J181" i="1"/>
  <c r="F179" i="1"/>
  <c r="P176" i="1"/>
  <c r="I175" i="1"/>
  <c r="L174" i="1"/>
  <c r="S172" i="1"/>
  <c r="H172" i="1"/>
  <c r="H184" i="1"/>
  <c r="M183" i="1"/>
  <c r="P182" i="1"/>
  <c r="I181" i="1"/>
  <c r="L180" i="1"/>
  <c r="S178" i="1"/>
  <c r="H178" i="1"/>
  <c r="O176" i="1"/>
  <c r="R175" i="1"/>
  <c r="K174" i="1"/>
  <c r="N173" i="1"/>
  <c r="G172" i="1"/>
  <c r="J171" i="1"/>
  <c r="L178" i="1"/>
  <c r="K172" i="1"/>
  <c r="H182" i="1"/>
  <c r="N177" i="1"/>
  <c r="O182" i="1"/>
  <c r="G178" i="1"/>
  <c r="M173" i="1"/>
  <c r="S184" i="1"/>
  <c r="M184" i="1"/>
  <c r="J183" i="1"/>
  <c r="Q181" i="1"/>
  <c r="F181" i="1"/>
  <c r="M179" i="1"/>
  <c r="P178" i="1"/>
  <c r="I177" i="1"/>
  <c r="L176" i="1"/>
  <c r="S174" i="1"/>
  <c r="H174" i="1"/>
  <c r="O172" i="1"/>
  <c r="R171" i="1"/>
  <c r="K170" i="1"/>
  <c r="Q184" i="1"/>
  <c r="M181" i="1"/>
  <c r="S176" i="1"/>
  <c r="R173" i="1"/>
  <c r="J184" i="1"/>
  <c r="G176" i="1"/>
  <c r="G184" i="1"/>
  <c r="R181" i="1"/>
  <c r="N179" i="1"/>
  <c r="J177" i="1"/>
  <c r="F175" i="1"/>
  <c r="P172" i="1"/>
  <c r="L170" i="1"/>
  <c r="L184" i="1"/>
  <c r="F184" i="1"/>
  <c r="I183" i="1"/>
  <c r="L182" i="1"/>
  <c r="S180" i="1"/>
  <c r="H180" i="1"/>
  <c r="O178" i="1"/>
  <c r="R177" i="1"/>
  <c r="K176" i="1"/>
  <c r="N175" i="1"/>
  <c r="G174" i="1"/>
  <c r="J173" i="1"/>
  <c r="Q171" i="1"/>
  <c r="F171" i="1"/>
  <c r="Q183" i="1"/>
  <c r="I179" i="1"/>
  <c r="S182" i="1"/>
  <c r="K178" i="1"/>
  <c r="N184" i="1"/>
  <c r="K180" i="1"/>
  <c r="Q175" i="1"/>
  <c r="I171" i="1"/>
  <c r="R184" i="1"/>
  <c r="K184" i="1"/>
  <c r="R183" i="1"/>
  <c r="K182" i="1"/>
  <c r="N181" i="1"/>
  <c r="G180" i="1"/>
  <c r="J179" i="1"/>
  <c r="Q177" i="1"/>
  <c r="F177" i="1"/>
  <c r="M175" i="1"/>
  <c r="P174" i="1"/>
  <c r="I173" i="1"/>
  <c r="L172" i="1"/>
  <c r="S170" i="1"/>
  <c r="G170" i="1"/>
  <c r="P183" i="1"/>
  <c r="L183" i="1"/>
  <c r="H183" i="1"/>
  <c r="R182" i="1"/>
  <c r="N182" i="1"/>
  <c r="J182" i="1"/>
  <c r="F182" i="1"/>
  <c r="P181" i="1"/>
  <c r="L181" i="1"/>
  <c r="H181" i="1"/>
  <c r="R180" i="1"/>
  <c r="N180" i="1"/>
  <c r="J180" i="1"/>
  <c r="F180" i="1"/>
  <c r="P179" i="1"/>
  <c r="L179" i="1"/>
  <c r="H179" i="1"/>
  <c r="R178" i="1"/>
  <c r="N178" i="1"/>
  <c r="J178" i="1"/>
  <c r="F178" i="1"/>
  <c r="P177" i="1"/>
  <c r="L177" i="1"/>
  <c r="H177" i="1"/>
  <c r="R176" i="1"/>
  <c r="N176" i="1"/>
  <c r="J176" i="1"/>
  <c r="F176" i="1"/>
  <c r="P175" i="1"/>
  <c r="L175" i="1"/>
  <c r="H175" i="1"/>
  <c r="R174" i="1"/>
  <c r="N174" i="1"/>
  <c r="J174" i="1"/>
  <c r="F174" i="1"/>
  <c r="P173" i="1"/>
  <c r="L173" i="1"/>
  <c r="H173" i="1"/>
  <c r="R172" i="1"/>
  <c r="N172" i="1"/>
  <c r="J172" i="1"/>
  <c r="F172" i="1"/>
  <c r="P171" i="1"/>
  <c r="L171" i="1"/>
  <c r="H171" i="1"/>
  <c r="R170" i="1"/>
  <c r="N170" i="1"/>
  <c r="J170" i="1"/>
  <c r="F170" i="1"/>
  <c r="S183" i="1"/>
  <c r="O183" i="1"/>
  <c r="K183" i="1"/>
  <c r="G183" i="1"/>
  <c r="Q182" i="1"/>
  <c r="M182" i="1"/>
  <c r="I182" i="1"/>
  <c r="S181" i="1"/>
  <c r="O181" i="1"/>
  <c r="K181" i="1"/>
  <c r="G181" i="1"/>
  <c r="Q180" i="1"/>
  <c r="M180" i="1"/>
  <c r="I180" i="1"/>
  <c r="S179" i="1"/>
  <c r="O179" i="1"/>
  <c r="K179" i="1"/>
  <c r="G179" i="1"/>
  <c r="Q178" i="1"/>
  <c r="M178" i="1"/>
  <c r="I178" i="1"/>
  <c r="S177" i="1"/>
  <c r="O177" i="1"/>
  <c r="K177" i="1"/>
  <c r="G177" i="1"/>
  <c r="Q176" i="1"/>
  <c r="M176" i="1"/>
  <c r="I176" i="1"/>
  <c r="S175" i="1"/>
  <c r="O175" i="1"/>
  <c r="K175" i="1"/>
  <c r="G175" i="1"/>
  <c r="Q174" i="1"/>
  <c r="M174" i="1"/>
  <c r="I174" i="1"/>
  <c r="S173" i="1"/>
  <c r="O173" i="1"/>
  <c r="K173" i="1"/>
  <c r="G173" i="1"/>
  <c r="Q172" i="1"/>
  <c r="M172" i="1"/>
  <c r="I172" i="1"/>
  <c r="S171" i="1"/>
  <c r="O171" i="1"/>
  <c r="K171" i="1"/>
  <c r="G171" i="1"/>
  <c r="Q170" i="1"/>
  <c r="M170" i="1"/>
  <c r="I170" i="1"/>
  <c r="H170" i="1"/>
  <c r="G169" i="1"/>
  <c r="N169" i="1"/>
  <c r="J169" i="1"/>
  <c r="S169" i="1"/>
  <c r="R169" i="1"/>
  <c r="I169" i="1"/>
  <c r="O169" i="1"/>
  <c r="Q169" i="1"/>
  <c r="M169" i="1"/>
  <c r="K169" i="1"/>
  <c r="P169" i="1"/>
  <c r="L169" i="1"/>
  <c r="H169" i="1"/>
  <c r="F169" i="1"/>
  <c r="AO170" i="1"/>
  <c r="AO171" i="1" s="1"/>
  <c r="AO172" i="1" s="1"/>
  <c r="AO173" i="1" s="1"/>
  <c r="AO174" i="1" s="1"/>
  <c r="AO175" i="1" s="1"/>
  <c r="AO176" i="1" s="1"/>
  <c r="AO177" i="1" s="1"/>
  <c r="AO178" i="1" s="1"/>
  <c r="AO179" i="1" s="1"/>
  <c r="AO180" i="1" s="1"/>
  <c r="AO181" i="1" s="1"/>
  <c r="AO182" i="1" s="1"/>
  <c r="AO183" i="1" s="1"/>
  <c r="AO184" i="1" s="1"/>
  <c r="AO185" i="1" s="1"/>
  <c r="W170" i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E170" i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AQ168" i="1"/>
  <c r="AR168" i="1" s="1"/>
  <c r="AS168" i="1" s="1"/>
  <c r="AT168" i="1" s="1"/>
  <c r="AU168" i="1" s="1"/>
  <c r="AV168" i="1" s="1"/>
  <c r="AW168" i="1" s="1"/>
  <c r="AX168" i="1" s="1"/>
  <c r="AY168" i="1" s="1"/>
  <c r="AZ168" i="1" s="1"/>
  <c r="BA168" i="1" s="1"/>
  <c r="BB168" i="1" s="1"/>
  <c r="BC168" i="1" s="1"/>
  <c r="Y168" i="1"/>
  <c r="Z168" i="1" s="1"/>
  <c r="AA168" i="1" s="1"/>
  <c r="AB168" i="1" s="1"/>
  <c r="AC168" i="1" s="1"/>
  <c r="AD168" i="1" s="1"/>
  <c r="AE168" i="1" s="1"/>
  <c r="AF168" i="1" s="1"/>
  <c r="AG168" i="1" s="1"/>
  <c r="AH168" i="1" s="1"/>
  <c r="AI168" i="1" s="1"/>
  <c r="AJ168" i="1" s="1"/>
  <c r="AK168" i="1" s="1"/>
  <c r="H168" i="1"/>
  <c r="I168" i="1" s="1"/>
  <c r="G168" i="1"/>
  <c r="AO130" i="1"/>
  <c r="AO131" i="1" s="1"/>
  <c r="AO132" i="1" s="1"/>
  <c r="AO133" i="1" s="1"/>
  <c r="AO134" i="1" s="1"/>
  <c r="AO135" i="1" s="1"/>
  <c r="AO136" i="1" s="1"/>
  <c r="AO137" i="1" s="1"/>
  <c r="AO138" i="1" s="1"/>
  <c r="AO139" i="1" s="1"/>
  <c r="AO140" i="1" s="1"/>
  <c r="AO141" i="1" s="1"/>
  <c r="AO142" i="1" s="1"/>
  <c r="AO143" i="1" s="1"/>
  <c r="AO144" i="1" s="1"/>
  <c r="AO145" i="1" s="1"/>
  <c r="AQ128" i="1"/>
  <c r="AR128" i="1" s="1"/>
  <c r="AS128" i="1" s="1"/>
  <c r="AT128" i="1" s="1"/>
  <c r="AU128" i="1" s="1"/>
  <c r="AV128" i="1" s="1"/>
  <c r="AW128" i="1" s="1"/>
  <c r="AX128" i="1" s="1"/>
  <c r="AY128" i="1" s="1"/>
  <c r="AZ128" i="1" s="1"/>
  <c r="BA128" i="1" s="1"/>
  <c r="BB128" i="1" s="1"/>
  <c r="BC128" i="1" s="1"/>
  <c r="W130" i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Y128" i="1"/>
  <c r="Z128" i="1" s="1"/>
  <c r="AA128" i="1" s="1"/>
  <c r="AB128" i="1" s="1"/>
  <c r="AC128" i="1" s="1"/>
  <c r="AD128" i="1" s="1"/>
  <c r="AE128" i="1" s="1"/>
  <c r="AF128" i="1" s="1"/>
  <c r="AG128" i="1" s="1"/>
  <c r="AH128" i="1" s="1"/>
  <c r="AI128" i="1" s="1"/>
  <c r="AJ128" i="1" s="1"/>
  <c r="AK128" i="1" s="1"/>
  <c r="E130" i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G128" i="1"/>
  <c r="AO91" i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AO106" i="1" s="1"/>
  <c r="AS89" i="1"/>
  <c r="AT89" i="1" s="1"/>
  <c r="AU89" i="1" s="1"/>
  <c r="AV89" i="1" s="1"/>
  <c r="AW89" i="1" s="1"/>
  <c r="AX89" i="1" s="1"/>
  <c r="AY89" i="1" s="1"/>
  <c r="AZ89" i="1" s="1"/>
  <c r="BA89" i="1" s="1"/>
  <c r="BB89" i="1" s="1"/>
  <c r="BC89" i="1" s="1"/>
  <c r="AQ89" i="1"/>
  <c r="AR89" i="1" s="1"/>
  <c r="W91" i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Y89" i="1"/>
  <c r="Z89" i="1" s="1"/>
  <c r="AA89" i="1" s="1"/>
  <c r="AB89" i="1" s="1"/>
  <c r="AC89" i="1" s="1"/>
  <c r="AD89" i="1" s="1"/>
  <c r="AE89" i="1" s="1"/>
  <c r="AF89" i="1" s="1"/>
  <c r="AG89" i="1" s="1"/>
  <c r="AH89" i="1" s="1"/>
  <c r="AI89" i="1" s="1"/>
  <c r="AJ89" i="1" s="1"/>
  <c r="AK89" i="1" s="1"/>
  <c r="E91" i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G89" i="1"/>
  <c r="H89" i="1" s="1"/>
  <c r="I89" i="1" s="1"/>
  <c r="J89" i="1" s="1"/>
  <c r="K89" i="1" s="1"/>
  <c r="L89" i="1" s="1"/>
  <c r="M89" i="1" s="1"/>
  <c r="N89" i="1" s="1"/>
  <c r="O89" i="1" s="1"/>
  <c r="P89" i="1" s="1"/>
  <c r="Q89" i="1" s="1"/>
  <c r="R89" i="1" s="1"/>
  <c r="S89" i="1" s="1"/>
  <c r="AO52" i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Q50" i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W52" i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Z50" i="1"/>
  <c r="AA50" i="1" s="1"/>
  <c r="AB50" i="1" s="1"/>
  <c r="AC50" i="1" s="1"/>
  <c r="AD50" i="1" s="1"/>
  <c r="AE50" i="1" s="1"/>
  <c r="AF50" i="1" s="1"/>
  <c r="AG50" i="1" s="1"/>
  <c r="AH50" i="1" s="1"/>
  <c r="AI50" i="1" s="1"/>
  <c r="AJ50" i="1" s="1"/>
  <c r="AK50" i="1" s="1"/>
  <c r="Y50" i="1"/>
  <c r="E52" i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G50" i="1"/>
  <c r="H50" i="1" s="1"/>
  <c r="I50" i="1" s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AT91" i="1" a="1"/>
  <c r="AX93" i="1" a="1"/>
  <c r="BB95" i="1" a="1"/>
  <c r="AR98" i="1" a="1"/>
  <c r="AV100" i="1" a="1"/>
  <c r="AZ102" i="1" a="1"/>
  <c r="AP105" i="1" a="1"/>
  <c r="AY105" i="1" a="1"/>
  <c r="AR95" i="1" a="1"/>
  <c r="AT102" i="1" a="1"/>
  <c r="BC105" i="1" a="1"/>
  <c r="AV97" i="1" a="1"/>
  <c r="AQ91" i="1" a="1"/>
  <c r="AU93" i="1" a="1"/>
  <c r="AY95" i="1" a="1"/>
  <c r="BC97" i="1" a="1"/>
  <c r="AW100" i="1" a="1"/>
  <c r="BA102" i="1" a="1"/>
  <c r="AS106" i="1" a="1"/>
  <c r="AP98" i="1" a="1"/>
  <c r="BB104" i="1" a="1"/>
  <c r="AQ104" i="1" a="1"/>
  <c r="BA95" i="1" a="1"/>
  <c r="AY100" i="1" a="1"/>
  <c r="AT104" i="1" a="1"/>
  <c r="AU98" i="1" a="1"/>
  <c r="AU92" i="1" a="1"/>
  <c r="AQ100" i="1" a="1"/>
  <c r="AU90" i="1" a="1"/>
  <c r="BA90" i="1" a="1"/>
  <c r="AJ106" i="1" a="1"/>
  <c r="AI106" i="1" a="1"/>
  <c r="AD92" i="1" a="1"/>
  <c r="AH94" i="1" a="1"/>
  <c r="AB97" i="1" a="1"/>
  <c r="AB101" i="1" a="1"/>
  <c r="Y105" i="1" a="1"/>
  <c r="Y104" i="1" a="1"/>
  <c r="AC94" i="1" a="1"/>
  <c r="AC91" i="1" a="1"/>
  <c r="AG93" i="1" a="1"/>
  <c r="AK95" i="1" a="1"/>
  <c r="AE98" i="1" a="1"/>
  <c r="Y101" i="1" a="1"/>
  <c r="AA104" i="1" a="1"/>
  <c r="AE99" i="1" a="1"/>
  <c r="X100" i="1" a="1"/>
  <c r="AJ104" i="1" a="1"/>
  <c r="AI101" i="1" a="1"/>
  <c r="AF92" i="1" a="1"/>
  <c r="AJ94" i="1" a="1"/>
  <c r="Z97" i="1" a="1"/>
  <c r="AB100" i="1" a="1"/>
  <c r="AF104" i="1" a="1"/>
  <c r="AA99" i="1" a="1"/>
  <c r="AJ99" i="1" a="1"/>
  <c r="AD104" i="1" a="1"/>
  <c r="AA97" i="1" a="1"/>
  <c r="AE90" i="1" a="1"/>
  <c r="AB90" i="1" a="1"/>
  <c r="F93" i="1" a="1"/>
  <c r="N97" i="1" a="1"/>
  <c r="H102" i="1" a="1"/>
  <c r="P106" i="1" a="1"/>
  <c r="K103" i="1" a="1"/>
  <c r="H99" i="1" a="1"/>
  <c r="L105" i="1" a="1"/>
  <c r="O91" i="1" a="1"/>
  <c r="S93" i="1" a="1"/>
  <c r="I96" i="1" a="1"/>
  <c r="M98" i="1" a="1"/>
  <c r="G101" i="1" a="1"/>
  <c r="Q104" i="1" a="1"/>
  <c r="N102" i="1" a="1"/>
  <c r="L91" i="1" a="1"/>
  <c r="P93" i="1" a="1"/>
  <c r="F96" i="1" a="1"/>
  <c r="R98" i="1" a="1"/>
  <c r="N106" i="1" a="1"/>
  <c r="Q91" i="1" a="1"/>
  <c r="G94" i="1" a="1"/>
  <c r="K96" i="1" a="1"/>
  <c r="AX91" i="1" a="1"/>
  <c r="BB93" i="1" a="1"/>
  <c r="AR96" i="1" a="1"/>
  <c r="AV98" i="1" a="1"/>
  <c r="AZ100" i="1" a="1"/>
  <c r="AP103" i="1" a="1"/>
  <c r="AT105" i="1" a="1"/>
  <c r="AW106" i="1" a="1"/>
  <c r="AT96" i="1" a="1"/>
  <c r="AR103" i="1" a="1"/>
  <c r="AV91" i="1" a="1"/>
  <c r="AT98" i="1" a="1"/>
  <c r="AU91" i="1" a="1"/>
  <c r="AY93" i="1" a="1"/>
  <c r="BC95" i="1" a="1"/>
  <c r="AS98" i="1" a="1"/>
  <c r="BA100" i="1" a="1"/>
  <c r="AQ103" i="1" a="1"/>
  <c r="BA106" i="1" a="1"/>
  <c r="BB98" i="1" a="1"/>
  <c r="AV105" i="1" a="1"/>
  <c r="AW105" i="1" a="1"/>
  <c r="AQ98" i="1" a="1"/>
  <c r="AY106" i="1" a="1"/>
  <c r="BC104" i="1" a="1"/>
  <c r="AX106" i="1" a="1"/>
  <c r="AY94" i="1" a="1"/>
  <c r="AQ106" i="1" a="1"/>
  <c r="AY90" i="1" a="1"/>
  <c r="AT90" i="1" a="1"/>
  <c r="AC106" i="1" a="1"/>
  <c r="AE106" i="1" a="1"/>
  <c r="AH92" i="1" a="1"/>
  <c r="X95" i="1" a="1"/>
  <c r="AF97" i="1" a="1"/>
  <c r="AJ101" i="1" a="1"/>
  <c r="AG105" i="1" a="1"/>
  <c r="AI96" i="1" a="1"/>
  <c r="AK96" i="1" a="1"/>
  <c r="AG91" i="1" a="1"/>
  <c r="AK93" i="1" a="1"/>
  <c r="AA96" i="1" a="1"/>
  <c r="AI98" i="1" a="1"/>
  <c r="AC101" i="1" a="1"/>
  <c r="AI104" i="1" a="1"/>
  <c r="AG100" i="1" a="1"/>
  <c r="AF100" i="1" a="1"/>
  <c r="AD105" i="1" a="1"/>
  <c r="AI103" i="1" a="1"/>
  <c r="AJ92" i="1" a="1"/>
  <c r="Z95" i="1" a="1"/>
  <c r="AH97" i="1" a="1"/>
  <c r="AJ100" i="1" a="1"/>
  <c r="Z105" i="1" a="1"/>
  <c r="AA101" i="1" a="1"/>
  <c r="AD100" i="1" a="1"/>
  <c r="AH104" i="1" a="1"/>
  <c r="AK98" i="1" a="1"/>
  <c r="AF90" i="1" a="1"/>
  <c r="AJ90" i="1" a="1"/>
  <c r="N93" i="1" a="1"/>
  <c r="H98" i="1" a="1"/>
  <c r="P102" i="1" a="1"/>
  <c r="J106" i="1" a="1"/>
  <c r="S103" i="1" a="1"/>
  <c r="F100" i="1" a="1"/>
  <c r="R106" i="1" a="1"/>
  <c r="S91" i="1" a="1"/>
  <c r="I94" i="1" a="1"/>
  <c r="M96" i="1" a="1"/>
  <c r="Q98" i="1" a="1"/>
  <c r="K101" i="1" a="1"/>
  <c r="O105" i="1" a="1"/>
  <c r="L103" i="1" a="1"/>
  <c r="P91" i="1" a="1"/>
  <c r="F94" i="1" a="1"/>
  <c r="J96" i="1" a="1"/>
  <c r="L99" i="1" a="1"/>
  <c r="M101" i="1" a="1"/>
  <c r="G92" i="1" a="1"/>
  <c r="K94" i="1" a="1"/>
  <c r="O96" i="1" a="1"/>
  <c r="S98" i="1" a="1"/>
  <c r="S102" i="1" a="1"/>
  <c r="F95" i="1" a="1"/>
  <c r="N99" i="1" a="1"/>
  <c r="H104" i="1" a="1"/>
  <c r="Q103" i="1" a="1"/>
  <c r="N90" i="1" a="1"/>
  <c r="AP52" i="1" a="1"/>
  <c r="AT54" i="1" a="1"/>
  <c r="AX56" i="1" a="1"/>
  <c r="BB58" i="1" a="1"/>
  <c r="AR61" i="1" a="1"/>
  <c r="AV63" i="1" a="1"/>
  <c r="AZ65" i="1" a="1"/>
  <c r="AU54" i="1" a="1"/>
  <c r="BC60" i="1" a="1"/>
  <c r="AS65" i="1" a="1"/>
  <c r="BB59" i="1" a="1"/>
  <c r="AR66" i="1" a="1"/>
  <c r="AW53" i="1" a="1"/>
  <c r="AQ56" i="1" a="1"/>
  <c r="BA59" i="1" a="1"/>
  <c r="BC64" i="1" a="1"/>
  <c r="AP61" i="1" a="1"/>
  <c r="AR52" i="1" a="1"/>
  <c r="AV54" i="1" a="1"/>
  <c r="AZ56" i="1" a="1"/>
  <c r="AT61" i="1" a="1"/>
  <c r="AS52" i="1" a="1"/>
  <c r="BA60" i="1" a="1"/>
  <c r="AW56" i="1" a="1"/>
  <c r="BC55" i="1" a="1"/>
  <c r="AU59" i="1" a="1"/>
  <c r="AU63" i="1" a="1"/>
  <c r="AS56" i="1" a="1"/>
  <c r="AQ51" i="1" a="1"/>
  <c r="AX51" i="1" a="1"/>
  <c r="AJ52" i="1" a="1"/>
  <c r="Z57" i="1" a="1"/>
  <c r="X62" i="1" a="1"/>
  <c r="AF66" i="1" a="1"/>
  <c r="AE59" i="1" a="1"/>
  <c r="BB91" i="1" a="1"/>
  <c r="AR94" i="1" a="1"/>
  <c r="AV96" i="1" a="1"/>
  <c r="AZ98" i="1" a="1"/>
  <c r="AP101" i="1" a="1"/>
  <c r="AT103" i="1" a="1"/>
  <c r="AX105" i="1" a="1"/>
  <c r="AR91" i="1" a="1"/>
  <c r="BB96" i="1" a="1"/>
  <c r="AZ103" i="1" a="1"/>
  <c r="AX92" i="1" a="1"/>
  <c r="AR99" i="1" a="1"/>
  <c r="AY91" i="1" a="1"/>
  <c r="BC93" i="1" a="1"/>
  <c r="AS96" i="1" a="1"/>
  <c r="AW98" i="1" a="1"/>
  <c r="AQ101" i="1" a="1"/>
  <c r="AU103" i="1" a="1"/>
  <c r="AP92" i="1" a="1"/>
  <c r="AZ99" i="1" a="1"/>
  <c r="AZ105" i="1" a="1"/>
  <c r="AT106" i="1" a="1"/>
  <c r="AU100" i="1" a="1"/>
  <c r="AQ92" i="1" a="1"/>
  <c r="AU106" i="1" a="1"/>
  <c r="AQ94" i="1" a="1"/>
  <c r="BC96" i="1" a="1"/>
  <c r="BA91" i="1" a="1"/>
  <c r="BC90" i="1" a="1"/>
  <c r="AX90" i="1" a="1"/>
  <c r="Y106" i="1" a="1"/>
  <c r="AA106" i="1" a="1"/>
  <c r="X93" i="1" a="1"/>
  <c r="AB95" i="1" a="1"/>
  <c r="AJ97" i="1" a="1"/>
  <c r="AD102" i="1" a="1"/>
  <c r="AE91" i="1" a="1"/>
  <c r="AE100" i="1" a="1"/>
  <c r="AG98" i="1" a="1"/>
  <c r="AV92" i="1" a="1"/>
  <c r="AZ94" i="1" a="1"/>
  <c r="AP97" i="1" a="1"/>
  <c r="AT99" i="1" a="1"/>
  <c r="AX101" i="1" a="1"/>
  <c r="BB103" i="1" a="1"/>
  <c r="AR106" i="1" a="1"/>
  <c r="AT92" i="1" a="1"/>
  <c r="AX98" i="1" a="1"/>
  <c r="AR105" i="1" a="1"/>
  <c r="AP94" i="1" a="1"/>
  <c r="BB100" i="1" a="1"/>
  <c r="AS92" i="1" a="1"/>
  <c r="AW94" i="1" a="1"/>
  <c r="BA96" i="1" a="1"/>
  <c r="AQ99" i="1" a="1"/>
  <c r="AY101" i="1" a="1"/>
  <c r="BC103" i="1" a="1"/>
  <c r="AX94" i="1" a="1"/>
  <c r="AR101" i="1" a="1"/>
  <c r="BC94" i="1" a="1"/>
  <c r="BC102" i="1" a="1"/>
  <c r="AS95" i="1" a="1"/>
  <c r="AY96" i="1" a="1"/>
  <c r="AW97" i="1" a="1"/>
  <c r="AY104" i="1" a="1"/>
  <c r="AW101" i="1" a="1"/>
  <c r="AS93" i="1" a="1"/>
  <c r="AZ90" i="1" a="1"/>
  <c r="AP90" i="1" a="1"/>
  <c r="AK106" i="1" a="1"/>
  <c r="AB91" i="1" a="1"/>
  <c r="AF93" i="1" a="1"/>
  <c r="AJ95" i="1" a="1"/>
  <c r="AH98" i="1" a="1"/>
  <c r="AF103" i="1" a="1"/>
  <c r="AI95" i="1" a="1"/>
  <c r="AE102" i="1" a="1"/>
  <c r="AC102" i="1" a="1"/>
  <c r="AE92" i="1" a="1"/>
  <c r="AZ92" i="1" a="1"/>
  <c r="AP95" i="1" a="1"/>
  <c r="AT97" i="1" a="1"/>
  <c r="AX99" i="1" a="1"/>
  <c r="BB101" i="1" a="1"/>
  <c r="AR104" i="1" a="1"/>
  <c r="AV106" i="1" a="1"/>
  <c r="BB92" i="1" a="1"/>
  <c r="AV99" i="1" a="1"/>
  <c r="AP106" i="1" a="1"/>
  <c r="BB94" i="1" a="1"/>
  <c r="AZ101" i="1" a="1"/>
  <c r="AW92" i="1" a="1"/>
  <c r="BA94" i="1" a="1"/>
  <c r="AQ97" i="1" a="1"/>
  <c r="AY99" i="1" a="1"/>
  <c r="BC101" i="1" a="1"/>
  <c r="AW104" i="1" a="1"/>
  <c r="AV95" i="1" a="1"/>
  <c r="AP102" i="1" a="1"/>
  <c r="AS97" i="1" a="1"/>
  <c r="AU96" i="1" a="1"/>
  <c r="BA99" i="1" a="1"/>
  <c r="BC98" i="1" a="1"/>
  <c r="AQ102" i="1" a="1"/>
  <c r="BC92" i="1" a="1"/>
  <c r="BA103" i="1" a="1"/>
  <c r="AW95" i="1" a="1"/>
  <c r="AR90" i="1" a="1"/>
  <c r="X106" i="1" a="1"/>
  <c r="Z106" i="1" a="1"/>
  <c r="AF91" i="1" a="1"/>
  <c r="AJ93" i="1" a="1"/>
  <c r="AD96" i="1" a="1"/>
  <c r="AB99" i="1" a="1"/>
  <c r="Z104" i="1" a="1"/>
  <c r="Y98" i="1" a="1"/>
  <c r="AC103" i="1" a="1"/>
  <c r="AE103" i="1" a="1"/>
  <c r="AI92" i="1" a="1"/>
  <c r="Y95" i="1" a="1"/>
  <c r="AG97" i="1" a="1"/>
  <c r="AK99" i="1" a="1"/>
  <c r="Y103" i="1" a="1"/>
  <c r="AA95" i="1" a="1"/>
  <c r="AI105" i="1" a="1"/>
  <c r="Z103" i="1" a="1"/>
  <c r="AC96" i="1" a="1"/>
  <c r="AH91" i="1" a="1"/>
  <c r="X94" i="1" a="1"/>
  <c r="AB96" i="1" a="1"/>
  <c r="AJ98" i="1" a="1"/>
  <c r="AJ102" i="1" a="1"/>
  <c r="AG94" i="1" a="1"/>
  <c r="Z98" i="1" a="1"/>
  <c r="AH102" i="1" a="1"/>
  <c r="AK92" i="1" a="1"/>
  <c r="Z90" i="1" a="1"/>
  <c r="AC90" i="1" a="1"/>
  <c r="R91" i="1" a="1"/>
  <c r="R95" i="1" a="1"/>
  <c r="P100" i="1" a="1"/>
  <c r="F105" i="1" a="1"/>
  <c r="Q100" i="1" a="1"/>
  <c r="S105" i="1" a="1"/>
  <c r="H103" i="1" a="1"/>
  <c r="K106" i="1" a="1"/>
  <c r="G93" i="1" a="1"/>
  <c r="K95" i="1" a="1"/>
  <c r="O97" i="1" a="1"/>
  <c r="S99" i="1" a="1"/>
  <c r="G103" i="1" a="1"/>
  <c r="P99" i="1" a="1"/>
  <c r="M103" i="1" a="1"/>
  <c r="R92" i="1" a="1"/>
  <c r="H95" i="1" a="1"/>
  <c r="L97" i="1" a="1"/>
  <c r="R102" i="1" a="1"/>
  <c r="H91" i="1" a="1"/>
  <c r="I93" i="1" a="1"/>
  <c r="M95" i="1" a="1"/>
  <c r="Q97" i="1" a="1"/>
  <c r="G100" i="1" a="1"/>
  <c r="L92" i="1" a="1"/>
  <c r="J97" i="1" a="1"/>
  <c r="N101" i="1" a="1"/>
  <c r="L106" i="1" a="1"/>
  <c r="O90" i="1" a="1"/>
  <c r="I90" i="1" a="1"/>
  <c r="AR53" i="1" a="1"/>
  <c r="AV55" i="1" a="1"/>
  <c r="AZ57" i="1" a="1"/>
  <c r="AP60" i="1" a="1"/>
  <c r="AT62" i="1" a="1"/>
  <c r="AX64" i="1" a="1"/>
  <c r="BB66" i="1" a="1"/>
  <c r="BC58" i="1" a="1"/>
  <c r="AS63" i="1" a="1"/>
  <c r="AS67" i="1" a="1"/>
  <c r="AT63" i="1" a="1"/>
  <c r="AU52" i="1" a="1"/>
  <c r="BC54" i="1" a="1"/>
  <c r="AW57" i="1" a="1"/>
  <c r="AU62" i="1" a="1"/>
  <c r="AW67" i="1" a="1"/>
  <c r="AZ64" i="1" a="1"/>
  <c r="AT53" i="1" a="1"/>
  <c r="AX55" i="1" a="1"/>
  <c r="AV58" i="1" a="1"/>
  <c r="AP65" i="1" a="1"/>
  <c r="BA56" i="1" a="1"/>
  <c r="AS58" i="1" a="1"/>
  <c r="BC63" i="1" a="1"/>
  <c r="AQ67" i="1" a="1"/>
  <c r="AY63" i="1" a="1"/>
  <c r="BA62" i="1" a="1"/>
  <c r="AU61" i="1" a="1"/>
  <c r="AW51" i="1" a="1"/>
  <c r="AT51" i="1" a="1"/>
  <c r="AJ54" i="1" a="1"/>
  <c r="AD59" i="1" a="1"/>
  <c r="AB64" i="1" a="1"/>
  <c r="AA57" i="1" a="1"/>
  <c r="AE61" i="1" a="1"/>
  <c r="AP93" i="1" a="1"/>
  <c r="AT95" i="1" a="1"/>
  <c r="AX97" i="1" a="1"/>
  <c r="BB99" i="1" a="1"/>
  <c r="AR102" i="1" a="1"/>
  <c r="AV104" i="1" a="1"/>
  <c r="AX95" i="1" a="1"/>
  <c r="AZ104" i="1" a="1"/>
  <c r="AT100" i="1" a="1"/>
  <c r="AP100" i="1" a="1"/>
  <c r="AU95" i="1" a="1"/>
  <c r="AS102" i="1" a="1"/>
  <c r="AX100" i="1" a="1"/>
  <c r="AW93" i="1" a="1"/>
  <c r="BA105" i="1" a="1"/>
  <c r="BC100" i="1" a="1"/>
  <c r="AF106" i="1" a="1"/>
  <c r="Z94" i="1" a="1"/>
  <c r="X103" i="1" a="1"/>
  <c r="AK105" i="1" a="1"/>
  <c r="AA94" i="1" a="1"/>
  <c r="AK97" i="1" a="1"/>
  <c r="AA102" i="1" a="1"/>
  <c r="AI97" i="1" a="1"/>
  <c r="AF102" i="1" a="1"/>
  <c r="AE105" i="1" a="1"/>
  <c r="AB94" i="1" a="1"/>
  <c r="AB98" i="1" a="1"/>
  <c r="X104" i="1" a="1"/>
  <c r="Z96" i="1" a="1"/>
  <c r="AB105" i="1" a="1"/>
  <c r="AD90" i="1" a="1"/>
  <c r="F91" i="1" a="1"/>
  <c r="F97" i="1" a="1"/>
  <c r="L104" i="1" a="1"/>
  <c r="M104" i="1" a="1"/>
  <c r="P103" i="1" a="1"/>
  <c r="M92" i="1" a="1"/>
  <c r="S95" i="1" a="1"/>
  <c r="O99" i="1" a="1"/>
  <c r="I106" i="1" a="1"/>
  <c r="S104" i="1" a="1"/>
  <c r="N94" i="1" a="1"/>
  <c r="F98" i="1" a="1"/>
  <c r="S106" i="1" a="1"/>
  <c r="O94" i="1" a="1"/>
  <c r="G98" i="1" a="1"/>
  <c r="G102" i="1" a="1"/>
  <c r="H96" i="1" a="1"/>
  <c r="L102" i="1" a="1"/>
  <c r="I101" i="1" a="1"/>
  <c r="M90" i="1" a="1"/>
  <c r="AV53" i="1" a="1"/>
  <c r="AT56" i="1" a="1"/>
  <c r="AV59" i="1" a="1"/>
  <c r="AX62" i="1" a="1"/>
  <c r="AV65" i="1" a="1"/>
  <c r="BA57" i="1" a="1"/>
  <c r="AW63" i="1" a="1"/>
  <c r="AP59" i="1" a="1"/>
  <c r="AX67" i="1" a="1"/>
  <c r="AS55" i="1" a="1"/>
  <c r="AS59" i="1" a="1"/>
  <c r="AQ66" i="1" a="1"/>
  <c r="BB65" i="1" a="1"/>
  <c r="AR54" i="1" a="1"/>
  <c r="AT57" i="1" a="1"/>
  <c r="AX65" i="1" a="1"/>
  <c r="BC59" i="1" a="1"/>
  <c r="BC65" i="1" a="1"/>
  <c r="BC53" i="1" a="1"/>
  <c r="AQ61" i="1" a="1"/>
  <c r="AW60" i="1" a="1"/>
  <c r="BA51" i="1" a="1"/>
  <c r="AF52" i="1" a="1"/>
  <c r="AB58" i="1" a="1"/>
  <c r="AJ64" i="1" a="1"/>
  <c r="AA59" i="1" a="1"/>
  <c r="AI63" i="1" a="1"/>
  <c r="Z66" i="1" a="1"/>
  <c r="AE53" i="1" a="1"/>
  <c r="Y56" i="1" a="1"/>
  <c r="AI59" i="1" a="1"/>
  <c r="AA65" i="1" a="1"/>
  <c r="AH58" i="1" a="1"/>
  <c r="X65" i="1" a="1"/>
  <c r="AF53" i="1" a="1"/>
  <c r="AJ55" i="1" a="1"/>
  <c r="Z58" i="1" a="1"/>
  <c r="X61" i="1" a="1"/>
  <c r="AF65" i="1" a="1"/>
  <c r="AB56" i="1" a="1"/>
  <c r="AJ60" i="1" a="1"/>
  <c r="Z65" i="1" a="1"/>
  <c r="Y59" i="1" a="1"/>
  <c r="AI60" i="1" a="1"/>
  <c r="Y67" i="1" a="1"/>
  <c r="AK61" i="1" a="1"/>
  <c r="AE58" i="1" a="1"/>
  <c r="AK57" i="1" a="1"/>
  <c r="AK55" i="1" a="1"/>
  <c r="AI51" i="1" a="1"/>
  <c r="Y51" i="1" a="1"/>
  <c r="N52" i="1" a="1"/>
  <c r="G55" i="1" a="1"/>
  <c r="M57" i="1" a="1"/>
  <c r="S59" i="1" a="1"/>
  <c r="L62" i="1" a="1"/>
  <c r="R64" i="1" a="1"/>
  <c r="K67" i="1" a="1"/>
  <c r="L67" i="1" a="1"/>
  <c r="O56" i="1" a="1"/>
  <c r="P59" i="1" a="1"/>
  <c r="L63" i="1" a="1"/>
  <c r="R67" i="1" a="1"/>
  <c r="N53" i="1" a="1"/>
  <c r="I62" i="1" a="1"/>
  <c r="N58" i="1" a="1"/>
  <c r="N62" i="1" a="1"/>
  <c r="N66" i="1" a="1"/>
  <c r="S62" i="1" a="1"/>
  <c r="Q51" i="1" a="1"/>
  <c r="J54" i="1" a="1"/>
  <c r="O57" i="1" a="1"/>
  <c r="H64" i="1" a="1"/>
  <c r="R63" i="1" a="1"/>
  <c r="R51" i="1" a="1"/>
  <c r="K54" i="1" a="1"/>
  <c r="AZ96" i="1" a="1"/>
  <c r="BB105" i="1" a="1"/>
  <c r="AV101" i="1" a="1"/>
  <c r="AX102" i="1" a="1"/>
  <c r="AW96" i="1" a="1"/>
  <c r="AW102" i="1" a="1"/>
  <c r="BB102" i="1" a="1"/>
  <c r="AY102" i="1" a="1"/>
  <c r="BA93" i="1" a="1"/>
  <c r="AU102" i="1" a="1"/>
  <c r="AG106" i="1" a="1"/>
  <c r="AD94" i="1" a="1"/>
  <c r="X105" i="1" a="1"/>
  <c r="AC100" i="1" a="1"/>
  <c r="AE94" i="1" a="1"/>
  <c r="AA98" i="1" a="1"/>
  <c r="AI102" i="1" a="1"/>
  <c r="AE101" i="1" a="1"/>
  <c r="AH103" i="1" a="1"/>
  <c r="Z91" i="1" a="1"/>
  <c r="AF94" i="1" a="1"/>
  <c r="AF98" i="1" a="1"/>
  <c r="AH105" i="1" a="1"/>
  <c r="X99" i="1" a="1"/>
  <c r="AJ105" i="1" a="1"/>
  <c r="AH90" i="1" a="1"/>
  <c r="N91" i="1" a="1"/>
  <c r="P98" i="1" a="1"/>
  <c r="N105" i="1" a="1"/>
  <c r="G105" i="1" a="1"/>
  <c r="J104" i="1" a="1"/>
  <c r="Q92" i="1" a="1"/>
  <c r="Q96" i="1" a="1"/>
  <c r="I100" i="1" a="1"/>
  <c r="Q106" i="1" a="1"/>
  <c r="O106" i="1" a="1"/>
  <c r="R94" i="1" a="1"/>
  <c r="J100" i="1" a="1"/>
  <c r="I91" i="1" a="1"/>
  <c r="S94" i="1" a="1"/>
  <c r="K98" i="1" a="1"/>
  <c r="K104" i="1" a="1"/>
  <c r="P96" i="1" a="1"/>
  <c r="F103" i="1" a="1"/>
  <c r="M105" i="1" a="1"/>
  <c r="R90" i="1" a="1"/>
  <c r="AZ53" i="1" a="1"/>
  <c r="BB56" i="1" a="1"/>
  <c r="AZ59" i="1" a="1"/>
  <c r="BB62" i="1" a="1"/>
  <c r="AP66" i="1" a="1"/>
  <c r="AU58" i="1" a="1"/>
  <c r="AQ64" i="1" a="1"/>
  <c r="AZ60" i="1" a="1"/>
  <c r="AQ52" i="1" a="1"/>
  <c r="AW55" i="1" a="1"/>
  <c r="AU60" i="1" a="1"/>
  <c r="AY66" i="1" a="1"/>
  <c r="AV66" i="1" a="1"/>
  <c r="AZ54" i="1" a="1"/>
  <c r="BB57" i="1" a="1"/>
  <c r="AZ66" i="1" a="1"/>
  <c r="AQ63" i="1" a="1"/>
  <c r="AY61" i="1" a="1"/>
  <c r="AQ55" i="1" a="1"/>
  <c r="AY65" i="1" a="1"/>
  <c r="AQ53" i="1" a="1"/>
  <c r="BC51" i="1" a="1"/>
  <c r="AD53" i="1" a="1"/>
  <c r="AJ58" i="1" a="1"/>
  <c r="AD65" i="1" a="1"/>
  <c r="Y60" i="1" a="1"/>
  <c r="AC64" i="1" a="1"/>
  <c r="AH66" i="1" a="1"/>
  <c r="AI53" i="1" a="1"/>
  <c r="AC56" i="1" a="1"/>
  <c r="AC60" i="1" a="1"/>
  <c r="AI65" i="1" a="1"/>
  <c r="AH60" i="1" a="1"/>
  <c r="AJ65" i="1" a="1"/>
  <c r="AJ53" i="1" a="1"/>
  <c r="Z56" i="1" a="1"/>
  <c r="AD58" i="1" a="1"/>
  <c r="AF61" i="1" a="1"/>
  <c r="X67" i="1" a="1"/>
  <c r="AJ56" i="1" a="1"/>
  <c r="Z61" i="1" a="1"/>
  <c r="AH65" i="1" a="1"/>
  <c r="AC61" i="1" a="1"/>
  <c r="AE56" i="1" a="1"/>
  <c r="AA56" i="1" a="1"/>
  <c r="AA64" i="1" a="1"/>
  <c r="AA54" i="1" a="1"/>
  <c r="AA60" i="1" a="1"/>
  <c r="AA58" i="1" a="1"/>
  <c r="AC51" i="1" a="1"/>
  <c r="AG51" i="1" a="1"/>
  <c r="R52" i="1" a="1"/>
  <c r="K55" i="1" a="1"/>
  <c r="Q57" i="1" a="1"/>
  <c r="J60" i="1" a="1"/>
  <c r="P62" i="1" a="1"/>
  <c r="I65" i="1" a="1"/>
  <c r="O67" i="1" a="1"/>
  <c r="O52" i="1" a="1"/>
  <c r="S56" i="1" a="1"/>
  <c r="K60" i="1" a="1"/>
  <c r="G64" i="1" a="1"/>
  <c r="H51" i="1" a="1"/>
  <c r="I54" i="1" a="1"/>
  <c r="H63" i="1" a="1"/>
  <c r="I59" i="1" a="1"/>
  <c r="R62" i="1" a="1"/>
  <c r="R66" i="1" a="1"/>
  <c r="N63" i="1" a="1"/>
  <c r="H52" i="1" a="1"/>
  <c r="N54" i="1" a="1"/>
  <c r="J58" i="1" a="1"/>
  <c r="P64" i="1" a="1"/>
  <c r="H65" i="1" a="1"/>
  <c r="I52" i="1" a="1"/>
  <c r="O54" i="1" a="1"/>
  <c r="L57" i="1" a="1"/>
  <c r="L61" i="1" a="1"/>
  <c r="F66" i="1" a="1"/>
  <c r="F55" i="1" a="1"/>
  <c r="BB97" i="1" a="1"/>
  <c r="AZ106" i="1" a="1"/>
  <c r="AX104" i="1" a="1"/>
  <c r="AV103" i="1" a="1"/>
  <c r="AU97" i="1" a="1"/>
  <c r="AY103" i="1" a="1"/>
  <c r="AP104" i="1" a="1"/>
  <c r="AW91" i="1" a="1"/>
  <c r="AY98" i="1" a="1"/>
  <c r="AQ90" i="1" a="1"/>
  <c r="AD106" i="1" a="1"/>
  <c r="AF95" i="1" a="1"/>
  <c r="AF105" i="1" a="1"/>
  <c r="AA105" i="1" a="1"/>
  <c r="AI94" i="1" a="1"/>
  <c r="Y99" i="1" a="1"/>
  <c r="AG103" i="1" a="1"/>
  <c r="AA103" i="1" a="1"/>
  <c r="AB104" i="1" a="1"/>
  <c r="AD91" i="1" a="1"/>
  <c r="AD95" i="1" a="1"/>
  <c r="AD99" i="1" a="1"/>
  <c r="AA91" i="1" a="1"/>
  <c r="AF99" i="1" a="1"/>
  <c r="Y92" i="1" a="1"/>
  <c r="AA90" i="1" a="1"/>
  <c r="H92" i="1" a="1"/>
  <c r="J99" i="1" a="1"/>
  <c r="H106" i="1" a="1"/>
  <c r="K105" i="1" a="1"/>
  <c r="S100" i="1" a="1"/>
  <c r="K93" i="1" a="1"/>
  <c r="G97" i="1" a="1"/>
  <c r="M100" i="1" a="1"/>
  <c r="N98" i="1" a="1"/>
  <c r="F92" i="1" a="1"/>
  <c r="L95" i="1" a="1"/>
  <c r="H101" i="1" a="1"/>
  <c r="M91" i="1" a="1"/>
  <c r="I95" i="1" a="1"/>
  <c r="O98" i="1" a="1"/>
  <c r="Q105" i="1" a="1"/>
  <c r="R97" i="1" a="1"/>
  <c r="N103" i="1" a="1"/>
  <c r="G90" i="1" a="1"/>
  <c r="Q90" i="1" a="1"/>
  <c r="AP54" i="1" a="1"/>
  <c r="AR57" i="1" a="1"/>
  <c r="AT60" i="1" a="1"/>
  <c r="AR63" i="1" a="1"/>
  <c r="AT66" i="1" a="1"/>
  <c r="AW59" i="1" a="1"/>
  <c r="AY64" i="1" a="1"/>
  <c r="AX61" i="1" a="1"/>
  <c r="AY52" i="1" a="1"/>
  <c r="BA55" i="1" a="1"/>
  <c r="AS61" i="1" a="1"/>
  <c r="AR58" i="1" a="1"/>
  <c r="AT67" i="1" a="1"/>
  <c r="AP55" i="1" a="1"/>
  <c r="AZ58" i="1" a="1"/>
  <c r="BB67" i="1" a="1"/>
  <c r="AU65" i="1" a="1"/>
  <c r="AS66" i="1" a="1"/>
  <c r="AU57" i="1" a="1"/>
  <c r="BC67" i="1" a="1"/>
  <c r="AS62" i="1" a="1"/>
  <c r="AS51" i="1" a="1"/>
  <c r="X54" i="1" a="1"/>
  <c r="X60" i="1" a="1"/>
  <c r="X66" i="1" a="1"/>
  <c r="AG60" i="1" a="1"/>
  <c r="AK64" i="1" a="1"/>
  <c r="AF67" i="1" a="1"/>
  <c r="Y54" i="1" a="1"/>
  <c r="AG56" i="1" a="1"/>
  <c r="AA61" i="1" a="1"/>
  <c r="AC66" i="1" a="1"/>
  <c r="AB61" i="1" a="1"/>
  <c r="AB67" i="1" a="1"/>
  <c r="Z54" i="1" a="1"/>
  <c r="AD56" i="1" a="1"/>
  <c r="X59" i="1" a="1"/>
  <c r="AJ61" i="1" a="1"/>
  <c r="AB52" i="1" a="1"/>
  <c r="AD57" i="1" a="1"/>
  <c r="AH61" i="1" a="1"/>
  <c r="AB66" i="1" a="1"/>
  <c r="AG63" i="1" a="1"/>
  <c r="AG67" i="1" a="1"/>
  <c r="AC67" i="1" a="1"/>
  <c r="AA66" i="1" a="1"/>
  <c r="AG65" i="1" a="1"/>
  <c r="AE62" i="1" a="1"/>
  <c r="AI62" i="1" a="1"/>
  <c r="AK51" i="1" a="1"/>
  <c r="X51" i="1" a="1"/>
  <c r="I53" i="1" a="1"/>
  <c r="O55" i="1" a="1"/>
  <c r="H58" i="1" a="1"/>
  <c r="N60" i="1" a="1"/>
  <c r="G63" i="1" a="1"/>
  <c r="M65" i="1" a="1"/>
  <c r="S67" i="1" a="1"/>
  <c r="R53" i="1" a="1"/>
  <c r="J57" i="1" a="1"/>
  <c r="O60" i="1" a="1"/>
  <c r="S64" i="1" a="1"/>
  <c r="L51" i="1" a="1"/>
  <c r="H55" i="1" a="1"/>
  <c r="K64" i="1" a="1"/>
  <c r="M59" i="1" a="1"/>
  <c r="M63" i="1" a="1"/>
  <c r="M67" i="1" a="1"/>
  <c r="M64" i="1" a="1"/>
  <c r="L52" i="1" a="1"/>
  <c r="R54" i="1" a="1"/>
  <c r="R58" i="1" a="1"/>
  <c r="O65" i="1" a="1"/>
  <c r="K66" i="1" a="1"/>
  <c r="M52" i="1" a="1"/>
  <c r="S54" i="1" a="1"/>
  <c r="P57" i="1" a="1"/>
  <c r="O62" i="1" a="1"/>
  <c r="F67" i="1" a="1"/>
  <c r="F59" i="1" a="1"/>
  <c r="AP99" i="1" a="1"/>
  <c r="AQ105" i="1" a="1"/>
  <c r="AU99" i="1" a="1"/>
  <c r="BC91" i="1" a="1"/>
  <c r="AY97" i="1" a="1"/>
  <c r="BA104" i="1" a="1"/>
  <c r="AY92" i="1" a="1"/>
  <c r="AQ96" i="1" a="1"/>
  <c r="AU104" i="1" a="1"/>
  <c r="AV90" i="1" a="1"/>
  <c r="AH106" i="1" a="1"/>
  <c r="AH96" i="1" a="1"/>
  <c r="AI93" i="1" a="1"/>
  <c r="Y91" i="1" a="1"/>
  <c r="AC95" i="1" a="1"/>
  <c r="AC99" i="1" a="1"/>
  <c r="AK103" i="1" a="1"/>
  <c r="AK104" i="1" a="1"/>
  <c r="AI91" i="1" a="1"/>
  <c r="X92" i="1" a="1"/>
  <c r="AH95" i="1" a="1"/>
  <c r="AH99" i="1" a="1"/>
  <c r="AG92" i="1" a="1"/>
  <c r="X101" i="1" a="1"/>
  <c r="Y94" i="1" a="1"/>
  <c r="AI90" i="1" a="1"/>
  <c r="P92" i="1" a="1"/>
  <c r="R99" i="1" a="1"/>
  <c r="K102" i="1" a="1"/>
  <c r="M106" i="1" a="1"/>
  <c r="O102" i="1" a="1"/>
  <c r="O93" i="1" a="1"/>
  <c r="K97" i="1" a="1"/>
  <c r="O101" i="1" a="1"/>
  <c r="N100" i="1" a="1"/>
  <c r="J92" i="1" a="1"/>
  <c r="P95" i="1" a="1"/>
  <c r="F102" i="1" a="1"/>
  <c r="K92" i="1" a="1"/>
  <c r="Q95" i="1" a="1"/>
  <c r="I99" i="1" a="1"/>
  <c r="J91" i="1" a="1"/>
  <c r="L98" i="1" a="1"/>
  <c r="P104" i="1" a="1"/>
  <c r="K90" i="1" a="1"/>
  <c r="J90" i="1" a="1"/>
  <c r="AX54" i="1" a="1"/>
  <c r="AV57" i="1" a="1"/>
  <c r="AX60" i="1" a="1"/>
  <c r="AZ63" i="1" a="1"/>
  <c r="AX66" i="1" a="1"/>
  <c r="AQ60" i="1" a="1"/>
  <c r="BA65" i="1" a="1"/>
  <c r="AV62" i="1" a="1"/>
  <c r="BC52" i="1" a="1"/>
  <c r="AU56" i="1" a="1"/>
  <c r="BA61" i="1" a="1"/>
  <c r="AT59" i="1" a="1"/>
  <c r="AV52" i="1" a="1"/>
  <c r="AT55" i="1" a="1"/>
  <c r="AX59" i="1" a="1"/>
  <c r="AU53" i="1" a="1"/>
  <c r="AY67" i="1" a="1"/>
  <c r="AW52" i="1" a="1"/>
  <c r="BC61" i="1" a="1"/>
  <c r="AW66" i="1" a="1"/>
  <c r="AW64" i="1" a="1"/>
  <c r="BB51" i="1" a="1"/>
  <c r="AB54" i="1" a="1"/>
  <c r="AF60" i="1" a="1"/>
  <c r="AD67" i="1" a="1"/>
  <c r="AK60" i="1" a="1"/>
  <c r="AE65" i="1" a="1"/>
  <c r="Y52" i="1" a="1"/>
  <c r="AC54" i="1" a="1"/>
  <c r="AK56" i="1" a="1"/>
  <c r="AI61" i="1" a="1"/>
  <c r="AK66" i="1" a="1"/>
  <c r="Z62" i="1" a="1"/>
  <c r="Z52" i="1" a="1"/>
  <c r="AD54" i="1" a="1"/>
  <c r="AH56" i="1" a="1"/>
  <c r="AB59" i="1" a="1"/>
  <c r="AD62" i="1" a="1"/>
  <c r="Z53" i="1" a="1"/>
  <c r="X58" i="1" a="1"/>
  <c r="AB62" i="1" a="1"/>
  <c r="AJ66" i="1" a="1"/>
  <c r="AK65" i="1" a="1"/>
  <c r="AE52" i="1" a="1"/>
  <c r="Y61" i="1" a="1"/>
  <c r="AK59" i="1" a="1"/>
  <c r="Y53" i="1" a="1"/>
  <c r="AI66" i="1" a="1"/>
  <c r="Y63" i="1" a="1"/>
  <c r="Z51" i="1" a="1"/>
  <c r="G51" i="1" a="1"/>
  <c r="M53" i="1" a="1"/>
  <c r="S55" i="1" a="1"/>
  <c r="L58" i="1" a="1"/>
  <c r="R60" i="1" a="1"/>
  <c r="K63" i="1" a="1"/>
  <c r="Q65" i="1" a="1"/>
  <c r="P63" i="1" a="1"/>
  <c r="M54" i="1" a="1"/>
  <c r="R57" i="1" a="1"/>
  <c r="S60" i="1" a="1"/>
  <c r="N65" i="1" a="1"/>
  <c r="P51" i="1" a="1"/>
  <c r="K56" i="1" a="1"/>
  <c r="M66" i="1" a="1"/>
  <c r="H60" i="1" a="1"/>
  <c r="Q63" i="1" a="1"/>
  <c r="S58" i="1" a="1"/>
  <c r="L65" i="1" a="1"/>
  <c r="P52" i="1" a="1"/>
  <c r="M55" i="1" a="1"/>
  <c r="Q59" i="1" a="1"/>
  <c r="J66" i="1" a="1"/>
  <c r="R55" i="1" a="1"/>
  <c r="Q52" i="1" a="1"/>
  <c r="AP91" i="1" a="1"/>
  <c r="AR100" i="1" a="1"/>
  <c r="AZ91" i="1" a="1"/>
  <c r="AS104" i="1" a="1"/>
  <c r="BA92" i="1" a="1"/>
  <c r="BA98" i="1" a="1"/>
  <c r="AU105" i="1" a="1"/>
  <c r="AW99" i="1" a="1"/>
  <c r="AU94" i="1" a="1"/>
  <c r="AS103" i="1" a="1"/>
  <c r="AS90" i="1" a="1"/>
  <c r="X91" i="1" a="1"/>
  <c r="X97" i="1" a="1"/>
  <c r="Y100" i="1" a="1"/>
  <c r="AK91" i="1" a="1"/>
  <c r="AG95" i="1" a="1"/>
  <c r="AG99" i="1" a="1"/>
  <c r="AC105" i="1" a="1"/>
  <c r="AD97" i="1" a="1"/>
  <c r="AA93" i="1" a="1"/>
  <c r="AB92" i="1" a="1"/>
  <c r="X96" i="1" a="1"/>
  <c r="AD101" i="1" a="1"/>
  <c r="Y96" i="1" a="1"/>
  <c r="AF101" i="1" a="1"/>
  <c r="AE95" i="1" a="1"/>
  <c r="Y90" i="1" a="1"/>
  <c r="H94" i="1" a="1"/>
  <c r="J101" i="1" a="1"/>
  <c r="G104" i="1" a="1"/>
  <c r="J98" i="1" a="1"/>
  <c r="O104" i="1" a="1"/>
  <c r="M94" i="1" a="1"/>
  <c r="S97" i="1" a="1"/>
  <c r="S101" i="1" a="1"/>
  <c r="P101" i="1" a="1"/>
  <c r="N92" i="1" a="1"/>
  <c r="N96" i="1" a="1"/>
  <c r="F104" i="1" a="1"/>
  <c r="O92" i="1" a="1"/>
  <c r="G96" i="1" a="1"/>
  <c r="M99" i="1" a="1"/>
  <c r="J93" i="1" a="1"/>
  <c r="F99" i="1" a="1"/>
  <c r="J105" i="1" a="1"/>
  <c r="S90" i="1" a="1"/>
  <c r="F90" i="1" a="1"/>
  <c r="BB54" i="1" a="1"/>
  <c r="AP58" i="1" a="1"/>
  <c r="BB60" i="1" a="1"/>
  <c r="AP64" i="1" a="1"/>
  <c r="AR67" i="1" a="1"/>
  <c r="AY60" i="1" a="1"/>
  <c r="AU66" i="1" a="1"/>
  <c r="AX63" i="1" a="1"/>
  <c r="AS53" i="1" a="1"/>
  <c r="AY56" i="1" a="1"/>
  <c r="BC62" i="1" a="1"/>
  <c r="AR60" i="1" a="1"/>
  <c r="AZ52" i="1" a="1"/>
  <c r="BB55" i="1" a="1"/>
  <c r="AV60" i="1" a="1"/>
  <c r="AW54" i="1" a="1"/>
  <c r="AS60" i="1" a="1"/>
  <c r="BA54" i="1" a="1"/>
  <c r="AQ65" i="1" a="1"/>
  <c r="AS54" i="1" a="1"/>
  <c r="BA66" i="1" a="1"/>
  <c r="AU51" i="1" a="1"/>
  <c r="AD55" i="1" a="1"/>
  <c r="AD61" i="1" a="1"/>
  <c r="AH67" i="1" a="1"/>
  <c r="Y62" i="1" a="1"/>
  <c r="Y66" i="1" a="1"/>
  <c r="AC52" i="1" a="1"/>
  <c r="AG54" i="1" a="1"/>
  <c r="AE57" i="1" a="1"/>
  <c r="AG62" i="1" a="1"/>
  <c r="AI67" i="1" a="1"/>
  <c r="AH62" i="1" a="1"/>
  <c r="AD52" i="1" a="1"/>
  <c r="AH54" i="1" a="1"/>
  <c r="X57" i="1" a="1"/>
  <c r="AF59" i="1" a="1"/>
  <c r="X63" i="1" a="1"/>
  <c r="AH53" i="1" a="1"/>
  <c r="AF58" i="1" a="1"/>
  <c r="AJ62" i="1" a="1"/>
  <c r="Z67" i="1" a="1"/>
  <c r="AK67" i="1" a="1"/>
  <c r="AI54" i="1" a="1"/>
  <c r="AI52" i="1" a="1"/>
  <c r="AA62" i="1" a="1"/>
  <c r="AC55" i="1" a="1"/>
  <c r="AK53" i="1" a="1"/>
  <c r="AC63" i="1" a="1"/>
  <c r="AA51" i="1" a="1"/>
  <c r="K51" i="1" a="1"/>
  <c r="Q53" i="1" a="1"/>
  <c r="J56" i="1" a="1"/>
  <c r="P58" i="1" a="1"/>
  <c r="I61" i="1" a="1"/>
  <c r="O63" i="1" a="1"/>
  <c r="H66" i="1" a="1"/>
  <c r="O64" i="1" a="1"/>
  <c r="Q54" i="1" a="1"/>
  <c r="I58" i="1" a="1"/>
  <c r="N61" i="1" a="1"/>
  <c r="I66" i="1" a="1"/>
  <c r="G52" i="1" a="1"/>
  <c r="N57" i="1" a="1"/>
  <c r="I55" i="1" a="1"/>
  <c r="P60" i="1" a="1"/>
  <c r="L64" i="1" a="1"/>
  <c r="I60" i="1" a="1"/>
  <c r="G66" i="1" a="1"/>
  <c r="G53" i="1" a="1"/>
  <c r="Q55" i="1" a="1"/>
  <c r="AR92" i="1" a="1"/>
  <c r="AT101" i="1" a="1"/>
  <c r="AV93" i="1" a="1"/>
  <c r="AR93" i="1" a="1"/>
  <c r="AQ93" i="1" a="1"/>
  <c r="BC99" i="1" a="1"/>
  <c r="AZ93" i="1" a="1"/>
  <c r="BA101" i="1" a="1"/>
  <c r="AS101" i="1" a="1"/>
  <c r="AS99" i="1" a="1"/>
  <c r="AW90" i="1" a="1"/>
  <c r="AJ91" i="1" a="1"/>
  <c r="AD98" i="1" a="1"/>
  <c r="Y102" i="1" a="1"/>
  <c r="AA92" i="1" a="1"/>
  <c r="AE96" i="1" a="1"/>
  <c r="AA100" i="1" a="1"/>
  <c r="AC92" i="1" a="1"/>
  <c r="Z99" i="1" a="1"/>
  <c r="AK94" i="1" a="1"/>
  <c r="Z93" i="1" a="1"/>
  <c r="AF96" i="1" a="1"/>
  <c r="X102" i="1" a="1"/>
  <c r="AE97" i="1" a="1"/>
  <c r="Z102" i="1" a="1"/>
  <c r="AK100" i="1" a="1"/>
  <c r="AG90" i="1" a="1"/>
  <c r="P94" i="1" a="1"/>
  <c r="R101" i="1" a="1"/>
  <c r="G106" i="1" a="1"/>
  <c r="R100" i="1" a="1"/>
  <c r="G91" i="1" a="1"/>
  <c r="Q94" i="1" a="1"/>
  <c r="I98" i="1" a="1"/>
  <c r="M102" i="1" a="1"/>
  <c r="R104" i="1" a="1"/>
  <c r="H93" i="1" a="1"/>
  <c r="R96" i="1" a="1"/>
  <c r="H105" i="1" a="1"/>
  <c r="S92" i="1" a="1"/>
  <c r="S96" i="1" a="1"/>
  <c r="Q99" i="1" a="1"/>
  <c r="R93" i="1" a="1"/>
  <c r="H100" i="1" a="1"/>
  <c r="R105" i="1" a="1"/>
  <c r="L90" i="1" a="1"/>
  <c r="AT52" i="1" a="1"/>
  <c r="AR55" i="1" a="1"/>
  <c r="AT58" i="1" a="1"/>
  <c r="AV61" i="1" a="1"/>
  <c r="AT64" i="1" a="1"/>
  <c r="AV67" i="1" a="1"/>
  <c r="AW61" i="1" a="1"/>
  <c r="BC66" i="1" a="1"/>
  <c r="AV64" i="1" a="1"/>
  <c r="BA53" i="1" a="1"/>
  <c r="AS57" i="1" a="1"/>
  <c r="BA63" i="1" a="1"/>
  <c r="BB61" i="1" a="1"/>
  <c r="AP53" i="1" a="1"/>
  <c r="AR56" i="1" a="1"/>
  <c r="AR62" i="1" a="1"/>
  <c r="AY55" i="1" a="1"/>
  <c r="BA64" i="1" a="1"/>
  <c r="AQ57" i="1" a="1"/>
  <c r="AU55" i="1" a="1"/>
  <c r="AY59" i="1" a="1"/>
  <c r="AR51" i="1" a="1"/>
  <c r="AY51" i="1" a="1"/>
  <c r="X56" i="1" a="1"/>
  <c r="AF62" i="1" a="1"/>
  <c r="AK54" i="1" a="1"/>
  <c r="AC62" i="1" a="1"/>
  <c r="AG66" i="1" a="1"/>
  <c r="AG52" i="1" a="1"/>
  <c r="AA55" i="1" a="1"/>
  <c r="AI57" i="1" a="1"/>
  <c r="AA63" i="1" a="1"/>
  <c r="AB65" i="1" a="1"/>
  <c r="AB63" i="1" a="1"/>
  <c r="AH52" i="1" a="1"/>
  <c r="X55" i="1" a="1"/>
  <c r="AB57" i="1" a="1"/>
  <c r="AJ59" i="1" a="1"/>
  <c r="AF63" i="1" a="1"/>
  <c r="AF54" i="1" a="1"/>
  <c r="Z59" i="1" a="1"/>
  <c r="AD63" i="1" a="1"/>
  <c r="AA52" i="1" a="1"/>
  <c r="AG61" i="1" a="1"/>
  <c r="Y57" i="1" a="1"/>
  <c r="Y55" i="1" a="1"/>
  <c r="AE64" i="1" a="1"/>
  <c r="AG57" i="1" a="1"/>
  <c r="AC65" i="1" a="1"/>
  <c r="AD51" i="1" a="1"/>
  <c r="AB51" i="1" a="1"/>
  <c r="O51" i="1" a="1"/>
  <c r="H54" i="1" a="1"/>
  <c r="N56" i="1" a="1"/>
  <c r="G59" i="1" a="1"/>
  <c r="M61" i="1" a="1"/>
  <c r="S63" i="1" a="1"/>
  <c r="L66" i="1" a="1"/>
  <c r="J65" i="1" a="1"/>
  <c r="L55" i="1" a="1"/>
  <c r="M58" i="1" a="1"/>
  <c r="R61" i="1" a="1"/>
  <c r="H67" i="1" a="1"/>
  <c r="K52" i="1" a="1"/>
  <c r="Q58" i="1" a="1"/>
  <c r="P56" i="1" a="1"/>
  <c r="G61" i="1" a="1"/>
  <c r="G65" i="1" a="1"/>
  <c r="M60" i="1" a="1"/>
  <c r="N67" i="1" a="1"/>
  <c r="K53" i="1" a="1"/>
  <c r="H56" i="1" a="1"/>
  <c r="K61" i="1" a="1"/>
  <c r="Q67" i="1" a="1"/>
  <c r="J67" i="1" a="1"/>
  <c r="L53" i="1" a="1"/>
  <c r="I56" i="1" a="1"/>
  <c r="O58" i="1" a="1"/>
  <c r="Q64" i="1" a="1"/>
  <c r="F56" i="1" a="1"/>
  <c r="F53" i="1" a="1"/>
  <c r="AT93" i="1" a="1"/>
  <c r="AV102" i="1" a="1"/>
  <c r="AT94" i="1" a="1"/>
  <c r="AZ95" i="1" a="1"/>
  <c r="AS94" i="1" a="1"/>
  <c r="AS100" i="1" a="1"/>
  <c r="AP96" i="1" a="1"/>
  <c r="BB106" i="1" a="1"/>
  <c r="AW103" i="1" a="1"/>
  <c r="AS105" i="1" a="1"/>
  <c r="BB90" i="1" a="1"/>
  <c r="Z92" i="1" a="1"/>
  <c r="Z100" i="1" a="1"/>
  <c r="AG101" i="1" a="1"/>
  <c r="Y93" i="1" a="1"/>
  <c r="Y97" i="1" a="1"/>
  <c r="AI100" i="1" a="1"/>
  <c r="AE93" i="1" a="1"/>
  <c r="Z101" i="1" a="1"/>
  <c r="AC98" i="1" a="1"/>
  <c r="AD93" i="1" a="1"/>
  <c r="AJ96" i="1" a="1"/>
  <c r="AB102" i="1" a="1"/>
  <c r="AK102" i="1" a="1"/>
  <c r="AB103" i="1" a="1"/>
  <c r="AG102" i="1" a="1"/>
  <c r="AK90" i="1" a="1"/>
  <c r="J95" i="1" a="1"/>
  <c r="J103" i="1" a="1"/>
  <c r="I102" i="1" a="1"/>
  <c r="L101" i="1" a="1"/>
  <c r="K91" i="1" a="1"/>
  <c r="G95" i="1" a="1"/>
  <c r="G99" i="1" a="1"/>
  <c r="O103" i="1" a="1"/>
  <c r="F106" i="1" a="1"/>
  <c r="L93" i="1" a="1"/>
  <c r="H97" i="1" a="1"/>
  <c r="I103" i="1" a="1"/>
  <c r="M93" i="1" a="1"/>
  <c r="I97" i="1" a="1"/>
  <c r="K100" i="1" a="1"/>
  <c r="L94" i="1" a="1"/>
  <c r="L100" i="1" a="1"/>
  <c r="N104" i="1" a="1"/>
  <c r="P90" i="1" a="1"/>
  <c r="AX52" i="1" a="1"/>
  <c r="AZ55" i="1" a="1"/>
  <c r="AX58" i="1" a="1"/>
  <c r="AZ61" i="1" a="1"/>
  <c r="BB64" i="1" a="1"/>
  <c r="AZ67" i="1" a="1"/>
  <c r="AQ62" i="1" a="1"/>
  <c r="BA67" i="1" a="1"/>
  <c r="AT65" i="1" a="1"/>
  <c r="AQ54" i="1" a="1"/>
  <c r="AQ58" i="1" a="1"/>
  <c r="AU64" i="1" a="1"/>
  <c r="AZ62" i="1" a="1"/>
  <c r="AX53" i="1" a="1"/>
  <c r="AV56" i="1" a="1"/>
  <c r="AP63" i="1" a="1"/>
  <c r="BC57" i="1" a="1"/>
  <c r="AU67" i="1" a="1"/>
  <c r="AQ59" i="1" a="1"/>
  <c r="AY53" i="1" a="1"/>
  <c r="BA52" i="1" a="1"/>
  <c r="AV51" i="1" a="1"/>
  <c r="AP51" i="1" a="1"/>
  <c r="AF56" i="1" a="1"/>
  <c r="Z63" i="1" a="1"/>
  <c r="Y58" i="1" a="1"/>
  <c r="AK62" i="1" a="1"/>
  <c r="AA67" i="1" a="1"/>
  <c r="AK52" i="1" a="1"/>
  <c r="AE55" i="1" a="1"/>
  <c r="AC58" i="1" a="1"/>
  <c r="Y64" i="1" a="1"/>
  <c r="AD66" i="1" a="1"/>
  <c r="AJ63" i="1" a="1"/>
  <c r="X53" i="1" a="1"/>
  <c r="AB55" i="1" a="1"/>
  <c r="AF57" i="1" a="1"/>
  <c r="Z60" i="1" a="1"/>
  <c r="Z64" i="1" a="1"/>
  <c r="Z55" i="1" a="1"/>
  <c r="AH59" i="1" a="1"/>
  <c r="X64" i="1" a="1"/>
  <c r="AE54" i="1" a="1"/>
  <c r="AI64" i="1" a="1"/>
  <c r="AC59" i="1" a="1"/>
  <c r="AC57" i="1" a="1"/>
  <c r="AE66" i="1" a="1"/>
  <c r="AC53" i="1" a="1"/>
  <c r="AI58" i="1" a="1"/>
  <c r="AH51" i="1" a="1"/>
  <c r="AF51" i="1" a="1"/>
  <c r="S51" i="1" a="1"/>
  <c r="L54" i="1" a="1"/>
  <c r="R56" i="1" a="1"/>
  <c r="K59" i="1" a="1"/>
  <c r="Q61" i="1" a="1"/>
  <c r="J64" i="1" a="1"/>
  <c r="P66" i="1" a="1"/>
  <c r="R65" i="1" a="1"/>
  <c r="P55" i="1" a="1"/>
  <c r="AX96" i="1" a="1"/>
  <c r="AB93" i="1" a="1"/>
  <c r="AI99" i="1" a="1"/>
  <c r="L96" i="1" a="1"/>
  <c r="Q101" i="1" a="1"/>
  <c r="F101" i="1" a="1"/>
  <c r="BC56" i="1" a="1"/>
  <c r="BB53" i="1" a="1"/>
  <c r="AZ51" i="1" a="1"/>
  <c r="AI55" i="1" a="1"/>
  <c r="AD60" i="1" a="1"/>
  <c r="AG59" i="1" a="1"/>
  <c r="I57" i="1" a="1"/>
  <c r="L59" i="1" a="1"/>
  <c r="J61" i="1" a="1"/>
  <c r="P61" i="1" a="1"/>
  <c r="J62" i="1" a="1"/>
  <c r="H53" i="1" a="1"/>
  <c r="G58" i="1" a="1"/>
  <c r="O66" i="1" a="1"/>
  <c r="F61" i="1" a="1"/>
  <c r="AQ95" i="1" a="1"/>
  <c r="AH100" i="1" a="1"/>
  <c r="AH93" i="1" a="1"/>
  <c r="R103" i="1" a="1"/>
  <c r="J94" i="1" a="1"/>
  <c r="P105" i="1" a="1"/>
  <c r="AY62" i="1" a="1"/>
  <c r="AP57" i="1" a="1"/>
  <c r="X52" i="1" a="1"/>
  <c r="AK58" i="1" a="1"/>
  <c r="AH64" i="1" a="1"/>
  <c r="Y65" i="1" a="1"/>
  <c r="O59" i="1" a="1"/>
  <c r="M62" i="1" a="1"/>
  <c r="K57" i="1" a="1"/>
  <c r="I51" i="1" a="1"/>
  <c r="I63" i="1" a="1"/>
  <c r="P53" i="1" a="1"/>
  <c r="K58" i="1" a="1"/>
  <c r="F65" i="1" a="1"/>
  <c r="F58" i="1" a="1"/>
  <c r="AU101" i="1" a="1"/>
  <c r="AE104" i="1" a="1"/>
  <c r="X98" i="1" a="1"/>
  <c r="Q102" i="1" a="1"/>
  <c r="P97" i="1" a="1"/>
  <c r="H90" i="1" a="1"/>
  <c r="AX57" i="1" a="1"/>
  <c r="AR64" i="1" a="1"/>
  <c r="AH57" i="1" a="1"/>
  <c r="AG64" i="1" a="1"/>
  <c r="AH55" i="1" a="1"/>
  <c r="AG55" i="1" a="1"/>
  <c r="H62" i="1" a="1"/>
  <c r="Q62" i="1" a="1"/>
  <c r="S57" i="1" a="1"/>
  <c r="M51" i="1" a="1"/>
  <c r="I67" i="1" a="1"/>
  <c r="G54" i="1" a="1"/>
  <c r="J59" i="1" a="1"/>
  <c r="F64" i="1" a="1"/>
  <c r="F54" i="1" a="1"/>
  <c r="AP11" i="1" a="1"/>
  <c r="I92" i="1" a="1"/>
  <c r="Q93" i="1" a="1"/>
  <c r="AP56" i="1" a="1"/>
  <c r="AY54" i="1" a="1"/>
  <c r="AY57" i="1" a="1"/>
  <c r="AG58" i="1" a="1"/>
  <c r="AD64" i="1" a="1"/>
  <c r="AF64" i="1" a="1"/>
  <c r="AE51" i="1" a="1"/>
  <c r="G67" i="1" a="1"/>
  <c r="S66" i="1" a="1"/>
  <c r="S61" i="1" a="1"/>
  <c r="S53" i="1" a="1"/>
  <c r="K62" i="1" a="1"/>
  <c r="N55" i="1" a="1"/>
  <c r="Q60" i="1" a="1"/>
  <c r="F60" i="1" a="1"/>
  <c r="AR97" i="1" a="1"/>
  <c r="AC93" i="1" a="1"/>
  <c r="AD103" i="1" a="1"/>
  <c r="J102" i="1" a="1"/>
  <c r="I105" i="1" a="1"/>
  <c r="BB52" i="1" a="1"/>
  <c r="AP67" i="1" a="1"/>
  <c r="BA58" i="1" a="1"/>
  <c r="AH63" i="1" a="1"/>
  <c r="AJ67" i="1" a="1"/>
  <c r="AB60" i="1" a="1"/>
  <c r="AG53" i="1" a="1"/>
  <c r="N64" i="1" a="1"/>
  <c r="P67" i="1" a="1"/>
  <c r="O61" i="1" a="1"/>
  <c r="O53" i="1" a="1"/>
  <c r="N59" i="1" a="1"/>
  <c r="J55" i="1" a="1"/>
  <c r="R59" i="1" a="1"/>
  <c r="F52" i="1" a="1"/>
  <c r="F51" i="1" a="1"/>
  <c r="AS91" i="1" a="1"/>
  <c r="AC97" i="1" a="1"/>
  <c r="AG104" i="1" a="1"/>
  <c r="AV94" i="1" a="1"/>
  <c r="BC106" i="1" a="1"/>
  <c r="AK101" i="1" a="1"/>
  <c r="AJ103" i="1" a="1"/>
  <c r="O95" i="1" a="1"/>
  <c r="M97" i="1" a="1"/>
  <c r="AR59" i="1" a="1"/>
  <c r="AY58" i="1" a="1"/>
  <c r="AW62" i="1" a="1"/>
  <c r="AE63" i="1" a="1"/>
  <c r="AB53" i="1" a="1"/>
  <c r="AI56" i="1" a="1"/>
  <c r="AJ51" i="1" a="1"/>
  <c r="Q66" i="1" a="1"/>
  <c r="S52" i="1" a="1"/>
  <c r="K65" i="1" a="1"/>
  <c r="L56" i="1" a="1"/>
  <c r="G62" i="1" a="1"/>
  <c r="M56" i="1" a="1"/>
  <c r="J63" i="1" a="1"/>
  <c r="F57" i="1" a="1"/>
  <c r="X90" i="1" a="1"/>
  <c r="N95" i="1" a="1"/>
  <c r="BB63" i="1" a="1"/>
  <c r="AA53" i="1" a="1"/>
  <c r="AJ57" i="1" a="1"/>
  <c r="P54" i="1" a="1"/>
  <c r="G60" i="1" a="1"/>
  <c r="L60" i="1" a="1"/>
  <c r="N51" i="1" a="1"/>
  <c r="P65" i="1" a="1"/>
  <c r="AX103" i="1" a="1"/>
  <c r="BA97" i="1" a="1"/>
  <c r="AG96" i="1" a="1"/>
  <c r="AC104" i="1" a="1"/>
  <c r="K99" i="1" a="1"/>
  <c r="O100" i="1" a="1"/>
  <c r="AP62" i="1" a="1"/>
  <c r="AW65" i="1" a="1"/>
  <c r="AW58" i="1" a="1"/>
  <c r="AE67" i="1" a="1"/>
  <c r="AF55" i="1" a="1"/>
  <c r="AE60" i="1" a="1"/>
  <c r="J52" i="1" a="1"/>
  <c r="G56" i="1" a="1"/>
  <c r="J53" i="1" a="1"/>
  <c r="S65" i="1" a="1"/>
  <c r="G57" i="1" a="1"/>
  <c r="J51" i="1" a="1"/>
  <c r="Q56" i="1" a="1"/>
  <c r="I64" i="1" a="1"/>
  <c r="F62" i="1" a="1"/>
  <c r="AZ97" i="1" a="1"/>
  <c r="AB106" i="1" a="1"/>
  <c r="AH101" i="1" a="1"/>
  <c r="I104" i="1" a="1"/>
  <c r="AR65" i="1" a="1"/>
  <c r="AS64" i="1" a="1"/>
  <c r="AK63" i="1" a="1"/>
  <c r="H59" i="1" a="1"/>
  <c r="H61" i="1" a="1"/>
  <c r="H57" i="1" a="1"/>
  <c r="F63" i="1" a="1"/>
  <c r="X11" i="1" a="1"/>
  <c r="AP130" i="1" a="1"/>
  <c r="AT130" i="1" a="1"/>
  <c r="AX130" i="1" a="1"/>
  <c r="BB130" i="1" a="1"/>
  <c r="AR131" i="1" a="1"/>
  <c r="AV131" i="1" a="1"/>
  <c r="AZ131" i="1" a="1"/>
  <c r="AP132" i="1" a="1"/>
  <c r="AT132" i="1" a="1"/>
  <c r="AX132" i="1" a="1"/>
  <c r="BB132" i="1" a="1"/>
  <c r="AR133" i="1" a="1"/>
  <c r="AV133" i="1" a="1"/>
  <c r="AZ133" i="1" a="1"/>
  <c r="AP134" i="1" a="1"/>
  <c r="AT134" i="1" a="1"/>
  <c r="AX134" i="1" a="1"/>
  <c r="BB134" i="1" a="1"/>
  <c r="AR135" i="1" a="1"/>
  <c r="AV135" i="1" a="1"/>
  <c r="AZ135" i="1" a="1"/>
  <c r="AP136" i="1" a="1"/>
  <c r="AT136" i="1" a="1"/>
  <c r="AX136" i="1" a="1"/>
  <c r="BB136" i="1" a="1"/>
  <c r="AR137" i="1" a="1"/>
  <c r="AV137" i="1" a="1"/>
  <c r="AZ137" i="1" a="1"/>
  <c r="AP138" i="1" a="1"/>
  <c r="AT138" i="1" a="1"/>
  <c r="AX138" i="1" a="1"/>
  <c r="BB138" i="1" a="1"/>
  <c r="AR139" i="1" a="1"/>
  <c r="AV139" i="1" a="1"/>
  <c r="AZ139" i="1" a="1"/>
  <c r="AP140" i="1" a="1"/>
  <c r="AT140" i="1" a="1"/>
  <c r="AX140" i="1" a="1"/>
  <c r="BB140" i="1" a="1"/>
  <c r="AR141" i="1" a="1"/>
  <c r="AV141" i="1" a="1"/>
  <c r="AZ141" i="1" a="1"/>
  <c r="AP142" i="1" a="1"/>
  <c r="AT142" i="1" a="1"/>
  <c r="AX142" i="1" a="1"/>
  <c r="BB142" i="1" a="1"/>
  <c r="AR143" i="1" a="1"/>
  <c r="AV143" i="1" a="1"/>
  <c r="AZ143" i="1" a="1"/>
  <c r="AP144" i="1" a="1"/>
  <c r="AT144" i="1" a="1"/>
  <c r="AX144" i="1" a="1"/>
  <c r="BB144" i="1" a="1"/>
  <c r="AR145" i="1" a="1"/>
  <c r="AV145" i="1" a="1"/>
  <c r="AZ145" i="1" a="1"/>
  <c r="AQ130" i="1" a="1"/>
  <c r="AU130" i="1" a="1"/>
  <c r="AY130" i="1" a="1"/>
  <c r="BC130" i="1" a="1"/>
  <c r="AS131" i="1" a="1"/>
  <c r="AW131" i="1" a="1"/>
  <c r="BA131" i="1" a="1"/>
  <c r="AQ132" i="1" a="1"/>
  <c r="AU132" i="1" a="1"/>
  <c r="AY132" i="1" a="1"/>
  <c r="BC132" i="1" a="1"/>
  <c r="AS133" i="1" a="1"/>
  <c r="AW133" i="1" a="1"/>
  <c r="BA133" i="1" a="1"/>
  <c r="AQ134" i="1" a="1"/>
  <c r="AU134" i="1" a="1"/>
  <c r="AY134" i="1" a="1"/>
  <c r="BC134" i="1" a="1"/>
  <c r="AS135" i="1" a="1"/>
  <c r="AW135" i="1" a="1"/>
  <c r="BA135" i="1" a="1"/>
  <c r="AQ136" i="1" a="1"/>
  <c r="AU136" i="1" a="1"/>
  <c r="AY136" i="1" a="1"/>
  <c r="BC136" i="1" a="1"/>
  <c r="AS137" i="1" a="1"/>
  <c r="AW137" i="1" a="1"/>
  <c r="BA137" i="1" a="1"/>
  <c r="AQ138" i="1" a="1"/>
  <c r="AU138" i="1" a="1"/>
  <c r="AY138" i="1" a="1"/>
  <c r="BC138" i="1" a="1"/>
  <c r="AS139" i="1" a="1"/>
  <c r="AW139" i="1" a="1"/>
  <c r="BA139" i="1" a="1"/>
  <c r="AQ140" i="1" a="1"/>
  <c r="AU140" i="1" a="1"/>
  <c r="AY140" i="1" a="1"/>
  <c r="BC140" i="1" a="1"/>
  <c r="AS141" i="1" a="1"/>
  <c r="AW141" i="1" a="1"/>
  <c r="BA141" i="1" a="1"/>
  <c r="AQ142" i="1" a="1"/>
  <c r="AU142" i="1" a="1"/>
  <c r="AY142" i="1" a="1"/>
  <c r="BC142" i="1" a="1"/>
  <c r="AS143" i="1" a="1"/>
  <c r="AW143" i="1" a="1"/>
  <c r="BA143" i="1" a="1"/>
  <c r="AQ144" i="1" a="1"/>
  <c r="AU144" i="1" a="1"/>
  <c r="AY144" i="1" a="1"/>
  <c r="BC144" i="1" a="1"/>
  <c r="AS145" i="1" a="1"/>
  <c r="AW145" i="1" a="1"/>
  <c r="BA145" i="1" a="1"/>
  <c r="AR130" i="1" a="1"/>
  <c r="AV130" i="1" a="1"/>
  <c r="AZ130" i="1" a="1"/>
  <c r="AP131" i="1" a="1"/>
  <c r="AT131" i="1" a="1"/>
  <c r="AX131" i="1" a="1"/>
  <c r="BB131" i="1" a="1"/>
  <c r="AR132" i="1" a="1"/>
  <c r="AV132" i="1" a="1"/>
  <c r="AZ132" i="1" a="1"/>
  <c r="AP133" i="1" a="1"/>
  <c r="AT133" i="1" a="1"/>
  <c r="AX133" i="1" a="1"/>
  <c r="BB133" i="1" a="1"/>
  <c r="AR134" i="1" a="1"/>
  <c r="AV134" i="1" a="1"/>
  <c r="AZ134" i="1" a="1"/>
  <c r="AP135" i="1" a="1"/>
  <c r="AT135" i="1" a="1"/>
  <c r="AX135" i="1" a="1"/>
  <c r="BB135" i="1" a="1"/>
  <c r="AR136" i="1" a="1"/>
  <c r="AV136" i="1" a="1"/>
  <c r="AZ136" i="1" a="1"/>
  <c r="AP137" i="1" a="1"/>
  <c r="AT137" i="1" a="1"/>
  <c r="AX137" i="1" a="1"/>
  <c r="BB137" i="1" a="1"/>
  <c r="AR138" i="1" a="1"/>
  <c r="AV138" i="1" a="1"/>
  <c r="AZ138" i="1" a="1"/>
  <c r="AP139" i="1" a="1"/>
  <c r="AT139" i="1" a="1"/>
  <c r="AX139" i="1" a="1"/>
  <c r="BB139" i="1" a="1"/>
  <c r="AR140" i="1" a="1"/>
  <c r="AV140" i="1" a="1"/>
  <c r="AZ140" i="1" a="1"/>
  <c r="AP141" i="1" a="1"/>
  <c r="AT141" i="1" a="1"/>
  <c r="AX141" i="1" a="1"/>
  <c r="BB141" i="1" a="1"/>
  <c r="AR142" i="1" a="1"/>
  <c r="AV142" i="1" a="1"/>
  <c r="AZ142" i="1" a="1"/>
  <c r="AP143" i="1" a="1"/>
  <c r="AT143" i="1" a="1"/>
  <c r="AX143" i="1" a="1"/>
  <c r="BB143" i="1" a="1"/>
  <c r="AR144" i="1" a="1"/>
  <c r="AV144" i="1" a="1"/>
  <c r="AZ144" i="1" a="1"/>
  <c r="AP145" i="1" a="1"/>
  <c r="AT145" i="1" a="1"/>
  <c r="AX145" i="1" a="1"/>
  <c r="BB145" i="1" a="1"/>
  <c r="AS130" i="1" a="1"/>
  <c r="AW130" i="1" a="1"/>
  <c r="BA130" i="1" a="1"/>
  <c r="AQ131" i="1" a="1"/>
  <c r="AU131" i="1" a="1"/>
  <c r="AY131" i="1" a="1"/>
  <c r="BC131" i="1" a="1"/>
  <c r="AS132" i="1" a="1"/>
  <c r="AW132" i="1" a="1"/>
  <c r="BA132" i="1" a="1"/>
  <c r="AQ133" i="1" a="1"/>
  <c r="AU133" i="1" a="1"/>
  <c r="AY133" i="1" a="1"/>
  <c r="BC133" i="1" a="1"/>
  <c r="AS134" i="1" a="1"/>
  <c r="AW134" i="1" a="1"/>
  <c r="BA134" i="1" a="1"/>
  <c r="AQ135" i="1" a="1"/>
  <c r="AU135" i="1" a="1"/>
  <c r="AY135" i="1" a="1"/>
  <c r="BC135" i="1" a="1"/>
  <c r="AS136" i="1" a="1"/>
  <c r="AW136" i="1" a="1"/>
  <c r="BA136" i="1" a="1"/>
  <c r="AQ137" i="1" a="1"/>
  <c r="AU137" i="1" a="1"/>
  <c r="AY137" i="1" a="1"/>
  <c r="BC137" i="1" a="1"/>
  <c r="AS138" i="1" a="1"/>
  <c r="AW138" i="1" a="1"/>
  <c r="BA138" i="1" a="1"/>
  <c r="AQ139" i="1" a="1"/>
  <c r="AU139" i="1" a="1"/>
  <c r="AY139" i="1" a="1"/>
  <c r="BC139" i="1" a="1"/>
  <c r="AS140" i="1" a="1"/>
  <c r="AW140" i="1" a="1"/>
  <c r="BA140" i="1" a="1"/>
  <c r="AQ141" i="1" a="1"/>
  <c r="AU141" i="1" a="1"/>
  <c r="AY141" i="1" a="1"/>
  <c r="BC141" i="1" a="1"/>
  <c r="AS142" i="1" a="1"/>
  <c r="AW142" i="1" a="1"/>
  <c r="BA142" i="1" a="1"/>
  <c r="AQ143" i="1" a="1"/>
  <c r="AU143" i="1" a="1"/>
  <c r="AY143" i="1" a="1"/>
  <c r="BC143" i="1" a="1"/>
  <c r="AS144" i="1" a="1"/>
  <c r="AW144" i="1" a="1"/>
  <c r="BA144" i="1" a="1"/>
  <c r="AQ145" i="1" a="1"/>
  <c r="AU145" i="1" a="1"/>
  <c r="AY145" i="1" a="1"/>
  <c r="BC145" i="1" a="1"/>
  <c r="AQ129" i="1" a="1"/>
  <c r="AU129" i="1" a="1"/>
  <c r="AY129" i="1" a="1"/>
  <c r="BC129" i="1" a="1"/>
  <c r="AR129" i="1" a="1"/>
  <c r="AV129" i="1" a="1"/>
  <c r="AZ129" i="1" a="1"/>
  <c r="AS129" i="1" a="1"/>
  <c r="AW129" i="1" a="1"/>
  <c r="BA129" i="1" a="1"/>
  <c r="AT129" i="1" a="1"/>
  <c r="AX129" i="1" a="1"/>
  <c r="BB129" i="1" a="1"/>
  <c r="AP129" i="1" a="1"/>
  <c r="X130" i="1" a="1"/>
  <c r="AB130" i="1" a="1"/>
  <c r="AF130" i="1" a="1"/>
  <c r="AJ130" i="1" a="1"/>
  <c r="Z131" i="1" a="1"/>
  <c r="AD131" i="1" a="1"/>
  <c r="AH131" i="1" a="1"/>
  <c r="X132" i="1" a="1"/>
  <c r="AB132" i="1" a="1"/>
  <c r="AF132" i="1" a="1"/>
  <c r="AJ132" i="1" a="1"/>
  <c r="Z133" i="1" a="1"/>
  <c r="AD133" i="1" a="1"/>
  <c r="AH133" i="1" a="1"/>
  <c r="X134" i="1" a="1"/>
  <c r="AB134" i="1" a="1"/>
  <c r="AF134" i="1" a="1"/>
  <c r="AJ134" i="1" a="1"/>
  <c r="Z135" i="1" a="1"/>
  <c r="AD135" i="1" a="1"/>
  <c r="AH135" i="1" a="1"/>
  <c r="X136" i="1" a="1"/>
  <c r="AB136" i="1" a="1"/>
  <c r="AF136" i="1" a="1"/>
  <c r="AJ136" i="1" a="1"/>
  <c r="Z137" i="1" a="1"/>
  <c r="AD137" i="1" a="1"/>
  <c r="AH137" i="1" a="1"/>
  <c r="X138" i="1" a="1"/>
  <c r="AB138" i="1" a="1"/>
  <c r="AF138" i="1" a="1"/>
  <c r="AJ138" i="1" a="1"/>
  <c r="Z139" i="1" a="1"/>
  <c r="AD139" i="1" a="1"/>
  <c r="AH139" i="1" a="1"/>
  <c r="X140" i="1" a="1"/>
  <c r="AB140" i="1" a="1"/>
  <c r="AF140" i="1" a="1"/>
  <c r="AJ140" i="1" a="1"/>
  <c r="Z141" i="1" a="1"/>
  <c r="AD141" i="1" a="1"/>
  <c r="AH141" i="1" a="1"/>
  <c r="X142" i="1" a="1"/>
  <c r="AB142" i="1" a="1"/>
  <c r="AF142" i="1" a="1"/>
  <c r="AJ142" i="1" a="1"/>
  <c r="Z143" i="1" a="1"/>
  <c r="AD143" i="1" a="1"/>
  <c r="AH143" i="1" a="1"/>
  <c r="X144" i="1" a="1"/>
  <c r="AB144" i="1" a="1"/>
  <c r="AF144" i="1" a="1"/>
  <c r="AJ144" i="1" a="1"/>
  <c r="Z145" i="1" a="1"/>
  <c r="AD145" i="1" a="1"/>
  <c r="AH145" i="1" a="1"/>
  <c r="Y130" i="1" a="1"/>
  <c r="AC130" i="1" a="1"/>
  <c r="AG130" i="1" a="1"/>
  <c r="AK130" i="1" a="1"/>
  <c r="AA131" i="1" a="1"/>
  <c r="AE131" i="1" a="1"/>
  <c r="AI131" i="1" a="1"/>
  <c r="Y132" i="1" a="1"/>
  <c r="AC132" i="1" a="1"/>
  <c r="AG132" i="1" a="1"/>
  <c r="AK132" i="1" a="1"/>
  <c r="AA133" i="1" a="1"/>
  <c r="AE133" i="1" a="1"/>
  <c r="AI133" i="1" a="1"/>
  <c r="Y134" i="1" a="1"/>
  <c r="AC134" i="1" a="1"/>
  <c r="AG134" i="1" a="1"/>
  <c r="AK134" i="1" a="1"/>
  <c r="AA135" i="1" a="1"/>
  <c r="AE135" i="1" a="1"/>
  <c r="AI135" i="1" a="1"/>
  <c r="Y136" i="1" a="1"/>
  <c r="AC136" i="1" a="1"/>
  <c r="AG136" i="1" a="1"/>
  <c r="AK136" i="1" a="1"/>
  <c r="AA137" i="1" a="1"/>
  <c r="AE137" i="1" a="1"/>
  <c r="AI137" i="1" a="1"/>
  <c r="Y138" i="1" a="1"/>
  <c r="AC138" i="1" a="1"/>
  <c r="AG138" i="1" a="1"/>
  <c r="AK138" i="1" a="1"/>
  <c r="AA139" i="1" a="1"/>
  <c r="AE139" i="1" a="1"/>
  <c r="AI139" i="1" a="1"/>
  <c r="Y140" i="1" a="1"/>
  <c r="AC140" i="1" a="1"/>
  <c r="AG140" i="1" a="1"/>
  <c r="AK140" i="1" a="1"/>
  <c r="AA141" i="1" a="1"/>
  <c r="AE141" i="1" a="1"/>
  <c r="AI141" i="1" a="1"/>
  <c r="Y142" i="1" a="1"/>
  <c r="AC142" i="1" a="1"/>
  <c r="AG142" i="1" a="1"/>
  <c r="AK142" i="1" a="1"/>
  <c r="AA143" i="1" a="1"/>
  <c r="AE143" i="1" a="1"/>
  <c r="AI143" i="1" a="1"/>
  <c r="Y144" i="1" a="1"/>
  <c r="AC144" i="1" a="1"/>
  <c r="AG144" i="1" a="1"/>
  <c r="AK144" i="1" a="1"/>
  <c r="AA145" i="1" a="1"/>
  <c r="AE145" i="1" a="1"/>
  <c r="AI145" i="1" a="1"/>
  <c r="AH144" i="1" a="1"/>
  <c r="AD144" i="1" a="1"/>
  <c r="Z130" i="1" a="1"/>
  <c r="AD130" i="1" a="1"/>
  <c r="AH130" i="1" a="1"/>
  <c r="X131" i="1" a="1"/>
  <c r="AB131" i="1" a="1"/>
  <c r="AF131" i="1" a="1"/>
  <c r="AJ131" i="1" a="1"/>
  <c r="Z132" i="1" a="1"/>
  <c r="AD132" i="1" a="1"/>
  <c r="AH132" i="1" a="1"/>
  <c r="X133" i="1" a="1"/>
  <c r="AB133" i="1" a="1"/>
  <c r="AF133" i="1" a="1"/>
  <c r="AJ133" i="1" a="1"/>
  <c r="Z134" i="1" a="1"/>
  <c r="AD134" i="1" a="1"/>
  <c r="AH134" i="1" a="1"/>
  <c r="X135" i="1" a="1"/>
  <c r="AB135" i="1" a="1"/>
  <c r="AF135" i="1" a="1"/>
  <c r="AJ135" i="1" a="1"/>
  <c r="Z136" i="1" a="1"/>
  <c r="AD136" i="1" a="1"/>
  <c r="AH136" i="1" a="1"/>
  <c r="X137" i="1" a="1"/>
  <c r="AB137" i="1" a="1"/>
  <c r="AF137" i="1" a="1"/>
  <c r="AJ137" i="1" a="1"/>
  <c r="Z138" i="1" a="1"/>
  <c r="AD138" i="1" a="1"/>
  <c r="AH138" i="1" a="1"/>
  <c r="X139" i="1" a="1"/>
  <c r="AB139" i="1" a="1"/>
  <c r="AF139" i="1" a="1"/>
  <c r="AJ139" i="1" a="1"/>
  <c r="Z140" i="1" a="1"/>
  <c r="AD140" i="1" a="1"/>
  <c r="AH140" i="1" a="1"/>
  <c r="X141" i="1" a="1"/>
  <c r="AB141" i="1" a="1"/>
  <c r="AF141" i="1" a="1"/>
  <c r="AJ141" i="1" a="1"/>
  <c r="Z142" i="1" a="1"/>
  <c r="AD142" i="1" a="1"/>
  <c r="AH142" i="1" a="1"/>
  <c r="X143" i="1" a="1"/>
  <c r="AB143" i="1" a="1"/>
  <c r="AF143" i="1" a="1"/>
  <c r="AJ143" i="1" a="1"/>
  <c r="Z144" i="1" a="1"/>
  <c r="X145" i="1" a="1"/>
  <c r="AB145" i="1" a="1"/>
  <c r="AF145" i="1" a="1"/>
  <c r="AJ145" i="1" a="1"/>
  <c r="AA130" i="1" a="1"/>
  <c r="AE130" i="1" a="1"/>
  <c r="AI130" i="1" a="1"/>
  <c r="Y131" i="1" a="1"/>
  <c r="AC131" i="1" a="1"/>
  <c r="AG131" i="1" a="1"/>
  <c r="AK131" i="1" a="1"/>
  <c r="AA132" i="1" a="1"/>
  <c r="AE132" i="1" a="1"/>
  <c r="AI132" i="1" a="1"/>
  <c r="Y133" i="1" a="1"/>
  <c r="AC133" i="1" a="1"/>
  <c r="AG133" i="1" a="1"/>
  <c r="AK133" i="1" a="1"/>
  <c r="AA134" i="1" a="1"/>
  <c r="AE134" i="1" a="1"/>
  <c r="AI134" i="1" a="1"/>
  <c r="Y135" i="1" a="1"/>
  <c r="AC135" i="1" a="1"/>
  <c r="AG135" i="1" a="1"/>
  <c r="AK135" i="1" a="1"/>
  <c r="AA136" i="1" a="1"/>
  <c r="AE136" i="1" a="1"/>
  <c r="AI136" i="1" a="1"/>
  <c r="Y137" i="1" a="1"/>
  <c r="AC137" i="1" a="1"/>
  <c r="AG137" i="1" a="1"/>
  <c r="AK137" i="1" a="1"/>
  <c r="AA138" i="1" a="1"/>
  <c r="AE138" i="1" a="1"/>
  <c r="AI138" i="1" a="1"/>
  <c r="Y139" i="1" a="1"/>
  <c r="AC139" i="1" a="1"/>
  <c r="AG139" i="1" a="1"/>
  <c r="AK139" i="1" a="1"/>
  <c r="AA140" i="1" a="1"/>
  <c r="AE140" i="1" a="1"/>
  <c r="AI140" i="1" a="1"/>
  <c r="Y141" i="1" a="1"/>
  <c r="AC141" i="1" a="1"/>
  <c r="AG141" i="1" a="1"/>
  <c r="AK141" i="1" a="1"/>
  <c r="AA142" i="1" a="1"/>
  <c r="AE142" i="1" a="1"/>
  <c r="AI142" i="1" a="1"/>
  <c r="Y143" i="1" a="1"/>
  <c r="AC143" i="1" a="1"/>
  <c r="AG143" i="1" a="1"/>
  <c r="AK143" i="1" a="1"/>
  <c r="AA144" i="1" a="1"/>
  <c r="AE144" i="1" a="1"/>
  <c r="AI144" i="1" a="1"/>
  <c r="Y145" i="1" a="1"/>
  <c r="AC145" i="1" a="1"/>
  <c r="AG145" i="1" a="1"/>
  <c r="AK145" i="1" a="1"/>
  <c r="Y129" i="1" a="1"/>
  <c r="AC129" i="1" a="1"/>
  <c r="AG129" i="1" a="1"/>
  <c r="AK129" i="1" a="1"/>
  <c r="AI129" i="1" a="1"/>
  <c r="AJ129" i="1" a="1"/>
  <c r="AA129" i="1" a="1"/>
  <c r="AB129" i="1" a="1"/>
  <c r="Z129" i="1" a="1"/>
  <c r="AD129" i="1" a="1"/>
  <c r="AH129" i="1" a="1"/>
  <c r="AE129" i="1" a="1"/>
  <c r="AF129" i="1" a="1"/>
  <c r="X129" i="1" a="1"/>
  <c r="F130" i="1" a="1"/>
  <c r="F132" i="1" a="1"/>
  <c r="F134" i="1" a="1"/>
  <c r="F136" i="1" a="1"/>
  <c r="F138" i="1" a="1"/>
  <c r="F140" i="1" a="1"/>
  <c r="F142" i="1" a="1"/>
  <c r="F144" i="1" a="1"/>
  <c r="G130" i="1" a="1"/>
  <c r="G132" i="1" a="1"/>
  <c r="G134" i="1" a="1"/>
  <c r="G136" i="1" a="1"/>
  <c r="G138" i="1" a="1"/>
  <c r="G140" i="1" a="1"/>
  <c r="G142" i="1" a="1"/>
  <c r="G144" i="1" a="1"/>
  <c r="F131" i="1" a="1"/>
  <c r="F133" i="1" a="1"/>
  <c r="F135" i="1" a="1"/>
  <c r="F137" i="1" a="1"/>
  <c r="F139" i="1" a="1"/>
  <c r="F141" i="1" a="1"/>
  <c r="F143" i="1" a="1"/>
  <c r="F145" i="1" a="1"/>
  <c r="G131" i="1" a="1"/>
  <c r="G133" i="1" a="1"/>
  <c r="G135" i="1" a="1"/>
  <c r="G137" i="1" a="1"/>
  <c r="G141" i="1" a="1"/>
  <c r="G143" i="1" a="1"/>
  <c r="G139" i="1" a="1"/>
  <c r="G145" i="1" a="1"/>
  <c r="G129" i="1" a="1"/>
  <c r="F129" i="1" a="1"/>
  <c r="W11" i="4" a="1"/>
  <c r="X11" i="4" a="1"/>
  <c r="Y11" i="4" a="1"/>
  <c r="Z11" i="4" a="1"/>
  <c r="AA11" i="4" a="1"/>
  <c r="AB11" i="4" a="1"/>
  <c r="W18" i="4" a="1"/>
  <c r="X18" i="4" a="1"/>
  <c r="Y18" i="4" a="1"/>
  <c r="Z18" i="4" a="1"/>
  <c r="AA18" i="4" a="1"/>
  <c r="AB18" i="4" a="1"/>
  <c r="W10" i="4" a="1"/>
  <c r="X10" i="4" a="1"/>
  <c r="Y10" i="4" a="1"/>
  <c r="Z10" i="4" a="1"/>
  <c r="AA10" i="4" a="1"/>
  <c r="AB10" i="4" a="1"/>
  <c r="W17" i="4" a="1"/>
  <c r="X17" i="4" a="1"/>
  <c r="Y17" i="4" a="1"/>
  <c r="Z17" i="4" a="1"/>
  <c r="AA17" i="4" a="1"/>
  <c r="AB17" i="4" a="1"/>
  <c r="W12" i="4" a="1"/>
  <c r="X12" i="4" a="1"/>
  <c r="Y12" i="4" a="1"/>
  <c r="Z12" i="4" a="1"/>
  <c r="AA12" i="4" a="1"/>
  <c r="AB12" i="4" a="1"/>
  <c r="W19" i="4" a="1"/>
  <c r="X19" i="4" a="1"/>
  <c r="Y19" i="4" a="1"/>
  <c r="Z19" i="4" a="1"/>
  <c r="AA19" i="4" a="1"/>
  <c r="AB19" i="4" a="1"/>
  <c r="AB19" i="4" l="1"/>
  <c r="AA19" i="4"/>
  <c r="Z19" i="4"/>
  <c r="Y19" i="4"/>
  <c r="X19" i="4"/>
  <c r="W19" i="4"/>
  <c r="AB12" i="4"/>
  <c r="AA12" i="4"/>
  <c r="Z12" i="4"/>
  <c r="Y12" i="4"/>
  <c r="X12" i="4"/>
  <c r="W12" i="4"/>
  <c r="AB17" i="4"/>
  <c r="AA17" i="4"/>
  <c r="Z17" i="4"/>
  <c r="Y17" i="4"/>
  <c r="X17" i="4"/>
  <c r="W17" i="4"/>
  <c r="AB10" i="4"/>
  <c r="AA10" i="4"/>
  <c r="Z10" i="4"/>
  <c r="Y10" i="4"/>
  <c r="X10" i="4"/>
  <c r="W10" i="4"/>
  <c r="AB18" i="4"/>
  <c r="AA18" i="4"/>
  <c r="Z18" i="4"/>
  <c r="Y18" i="4"/>
  <c r="X18" i="4"/>
  <c r="W18" i="4"/>
  <c r="AB11" i="4"/>
  <c r="AA11" i="4"/>
  <c r="Z11" i="4"/>
  <c r="Y11" i="4"/>
  <c r="X11" i="4"/>
  <c r="W11" i="4"/>
  <c r="J168" i="1"/>
  <c r="K168" i="1" s="1"/>
  <c r="L168" i="1" s="1"/>
  <c r="M168" i="1" s="1"/>
  <c r="N168" i="1" s="1"/>
  <c r="O168" i="1" s="1"/>
  <c r="P168" i="1" s="1"/>
  <c r="Q168" i="1" s="1"/>
  <c r="R168" i="1" s="1"/>
  <c r="S168" i="1" s="1"/>
  <c r="H128" i="1"/>
  <c r="BC145" i="1"/>
  <c r="AY145" i="1"/>
  <c r="AU145" i="1"/>
  <c r="AQ145" i="1"/>
  <c r="BA144" i="1"/>
  <c r="AW144" i="1"/>
  <c r="AS144" i="1"/>
  <c r="BC143" i="1"/>
  <c r="AY143" i="1"/>
  <c r="AU143" i="1"/>
  <c r="AQ143" i="1"/>
  <c r="BA142" i="1"/>
  <c r="AW142" i="1"/>
  <c r="AS142" i="1"/>
  <c r="BC141" i="1"/>
  <c r="AY141" i="1"/>
  <c r="AU141" i="1"/>
  <c r="AQ141" i="1"/>
  <c r="BA140" i="1"/>
  <c r="AW140" i="1"/>
  <c r="AS140" i="1"/>
  <c r="BC139" i="1"/>
  <c r="AY139" i="1"/>
  <c r="AU139" i="1"/>
  <c r="AQ139" i="1"/>
  <c r="BA138" i="1"/>
  <c r="AW138" i="1"/>
  <c r="AS138" i="1"/>
  <c r="BC137" i="1"/>
  <c r="AY137" i="1"/>
  <c r="AU137" i="1"/>
  <c r="AQ137" i="1"/>
  <c r="BA136" i="1"/>
  <c r="AW136" i="1"/>
  <c r="AS136" i="1"/>
  <c r="BC135" i="1"/>
  <c r="AY135" i="1"/>
  <c r="AU135" i="1"/>
  <c r="AQ135" i="1"/>
  <c r="BA134" i="1"/>
  <c r="AW134" i="1"/>
  <c r="AS134" i="1"/>
  <c r="BC133" i="1"/>
  <c r="AY133" i="1"/>
  <c r="AU133" i="1"/>
  <c r="AQ133" i="1"/>
  <c r="BA132" i="1"/>
  <c r="AW132" i="1"/>
  <c r="AS132" i="1"/>
  <c r="BC131" i="1"/>
  <c r="AY131" i="1"/>
  <c r="AU131" i="1"/>
  <c r="AQ131" i="1"/>
  <c r="BA130" i="1"/>
  <c r="AW130" i="1"/>
  <c r="AS130" i="1"/>
  <c r="BB145" i="1"/>
  <c r="AX145" i="1"/>
  <c r="AT145" i="1"/>
  <c r="AP145" i="1"/>
  <c r="AZ144" i="1"/>
  <c r="AV144" i="1"/>
  <c r="AR144" i="1"/>
  <c r="BB143" i="1"/>
  <c r="AX143" i="1"/>
  <c r="AT143" i="1"/>
  <c r="AP143" i="1"/>
  <c r="AZ142" i="1"/>
  <c r="AV142" i="1"/>
  <c r="AR142" i="1"/>
  <c r="BB141" i="1"/>
  <c r="AX141" i="1"/>
  <c r="AT141" i="1"/>
  <c r="AP141" i="1"/>
  <c r="AZ140" i="1"/>
  <c r="AV140" i="1"/>
  <c r="AR140" i="1"/>
  <c r="BB139" i="1"/>
  <c r="AX139" i="1"/>
  <c r="AT139" i="1"/>
  <c r="AP139" i="1"/>
  <c r="AZ138" i="1"/>
  <c r="AV138" i="1"/>
  <c r="AR138" i="1"/>
  <c r="BB137" i="1"/>
  <c r="AX137" i="1"/>
  <c r="AT137" i="1"/>
  <c r="AP137" i="1"/>
  <c r="AZ136" i="1"/>
  <c r="AV136" i="1"/>
  <c r="AR136" i="1"/>
  <c r="BB135" i="1"/>
  <c r="AX135" i="1"/>
  <c r="AT135" i="1"/>
  <c r="AP135" i="1"/>
  <c r="AZ134" i="1"/>
  <c r="AV134" i="1"/>
  <c r="AR134" i="1"/>
  <c r="BB133" i="1"/>
  <c r="AX133" i="1"/>
  <c r="AT133" i="1"/>
  <c r="AP133" i="1"/>
  <c r="AZ132" i="1"/>
  <c r="AV132" i="1"/>
  <c r="AR132" i="1"/>
  <c r="BB131" i="1"/>
  <c r="AX131" i="1"/>
  <c r="AT131" i="1"/>
  <c r="AP131" i="1"/>
  <c r="AZ130" i="1"/>
  <c r="AV130" i="1"/>
  <c r="AR130" i="1"/>
  <c r="BA145" i="1"/>
  <c r="AW145" i="1"/>
  <c r="AS145" i="1"/>
  <c r="BC144" i="1"/>
  <c r="AY144" i="1"/>
  <c r="AU144" i="1"/>
  <c r="AQ144" i="1"/>
  <c r="BA143" i="1"/>
  <c r="AW143" i="1"/>
  <c r="AS143" i="1"/>
  <c r="BC142" i="1"/>
  <c r="AY142" i="1"/>
  <c r="AU142" i="1"/>
  <c r="AQ142" i="1"/>
  <c r="BA141" i="1"/>
  <c r="AW141" i="1"/>
  <c r="AS141" i="1"/>
  <c r="BC140" i="1"/>
  <c r="AY140" i="1"/>
  <c r="AU140" i="1"/>
  <c r="AQ140" i="1"/>
  <c r="BA139" i="1"/>
  <c r="AW139" i="1"/>
  <c r="AS139" i="1"/>
  <c r="BC138" i="1"/>
  <c r="AY138" i="1"/>
  <c r="AU138" i="1"/>
  <c r="AQ138" i="1"/>
  <c r="BA137" i="1"/>
  <c r="AW137" i="1"/>
  <c r="AS137" i="1"/>
  <c r="BC136" i="1"/>
  <c r="AY136" i="1"/>
  <c r="AU136" i="1"/>
  <c r="AQ136" i="1"/>
  <c r="BA135" i="1"/>
  <c r="AW135" i="1"/>
  <c r="AS135" i="1"/>
  <c r="BC134" i="1"/>
  <c r="AY134" i="1"/>
  <c r="AU134" i="1"/>
  <c r="AQ134" i="1"/>
  <c r="BA133" i="1"/>
  <c r="AW133" i="1"/>
  <c r="AS133" i="1"/>
  <c r="BC132" i="1"/>
  <c r="AY132" i="1"/>
  <c r="AU132" i="1"/>
  <c r="AQ132" i="1"/>
  <c r="BA131" i="1"/>
  <c r="AW131" i="1"/>
  <c r="AS131" i="1"/>
  <c r="BC130" i="1"/>
  <c r="AY130" i="1"/>
  <c r="AU130" i="1"/>
  <c r="AQ130" i="1"/>
  <c r="AZ145" i="1"/>
  <c r="AV145" i="1"/>
  <c r="AR145" i="1"/>
  <c r="BB144" i="1"/>
  <c r="AX144" i="1"/>
  <c r="AT144" i="1"/>
  <c r="AP144" i="1"/>
  <c r="AZ143" i="1"/>
  <c r="AV143" i="1"/>
  <c r="AR143" i="1"/>
  <c r="BB142" i="1"/>
  <c r="AX142" i="1"/>
  <c r="AT142" i="1"/>
  <c r="AP142" i="1"/>
  <c r="AZ141" i="1"/>
  <c r="AV141" i="1"/>
  <c r="AR141" i="1"/>
  <c r="BB140" i="1"/>
  <c r="AX140" i="1"/>
  <c r="AT140" i="1"/>
  <c r="AP140" i="1"/>
  <c r="AZ139" i="1"/>
  <c r="AV139" i="1"/>
  <c r="AR139" i="1"/>
  <c r="BB138" i="1"/>
  <c r="AX138" i="1"/>
  <c r="AT138" i="1"/>
  <c r="AP138" i="1"/>
  <c r="AZ137" i="1"/>
  <c r="AV137" i="1"/>
  <c r="AR137" i="1"/>
  <c r="BB136" i="1"/>
  <c r="AX136" i="1"/>
  <c r="AT136" i="1"/>
  <c r="AP136" i="1"/>
  <c r="AZ135" i="1"/>
  <c r="AV135" i="1"/>
  <c r="AR135" i="1"/>
  <c r="BB134" i="1"/>
  <c r="AX134" i="1"/>
  <c r="AT134" i="1"/>
  <c r="AP134" i="1"/>
  <c r="AZ133" i="1"/>
  <c r="AV133" i="1"/>
  <c r="AR133" i="1"/>
  <c r="BB132" i="1"/>
  <c r="AX132" i="1"/>
  <c r="AT132" i="1"/>
  <c r="AP132" i="1"/>
  <c r="AZ131" i="1"/>
  <c r="AV131" i="1"/>
  <c r="AR131" i="1"/>
  <c r="BB130" i="1"/>
  <c r="AX130" i="1"/>
  <c r="AT130" i="1"/>
  <c r="AP130" i="1"/>
  <c r="BB129" i="1"/>
  <c r="AX129" i="1"/>
  <c r="AT129" i="1"/>
  <c r="BA129" i="1"/>
  <c r="AW129" i="1"/>
  <c r="AS129" i="1"/>
  <c r="AZ129" i="1"/>
  <c r="AV129" i="1"/>
  <c r="AR129" i="1"/>
  <c r="BC129" i="1"/>
  <c r="AY129" i="1"/>
  <c r="AU129" i="1"/>
  <c r="AQ129" i="1"/>
  <c r="AP129" i="1"/>
  <c r="AK145" i="1"/>
  <c r="AG145" i="1"/>
  <c r="AC145" i="1"/>
  <c r="Y145" i="1"/>
  <c r="AI144" i="1"/>
  <c r="AE144" i="1"/>
  <c r="AA144" i="1"/>
  <c r="AK143" i="1"/>
  <c r="AG143" i="1"/>
  <c r="AC143" i="1"/>
  <c r="Y143" i="1"/>
  <c r="AI142" i="1"/>
  <c r="AE142" i="1"/>
  <c r="AA142" i="1"/>
  <c r="AK141" i="1"/>
  <c r="AG141" i="1"/>
  <c r="AC141" i="1"/>
  <c r="Y141" i="1"/>
  <c r="AI140" i="1"/>
  <c r="AE140" i="1"/>
  <c r="AA140" i="1"/>
  <c r="AK139" i="1"/>
  <c r="AG139" i="1"/>
  <c r="AC139" i="1"/>
  <c r="Y139" i="1"/>
  <c r="AI138" i="1"/>
  <c r="AE138" i="1"/>
  <c r="AA138" i="1"/>
  <c r="AK137" i="1"/>
  <c r="AG137" i="1"/>
  <c r="AC137" i="1"/>
  <c r="Y137" i="1"/>
  <c r="AI136" i="1"/>
  <c r="AE136" i="1"/>
  <c r="AA136" i="1"/>
  <c r="AK135" i="1"/>
  <c r="AG135" i="1"/>
  <c r="AC135" i="1"/>
  <c r="Y135" i="1"/>
  <c r="AI134" i="1"/>
  <c r="AE134" i="1"/>
  <c r="AA134" i="1"/>
  <c r="AK133" i="1"/>
  <c r="AG133" i="1"/>
  <c r="AC133" i="1"/>
  <c r="Y133" i="1"/>
  <c r="AI132" i="1"/>
  <c r="AE132" i="1"/>
  <c r="AA132" i="1"/>
  <c r="AK131" i="1"/>
  <c r="AG131" i="1"/>
  <c r="AC131" i="1"/>
  <c r="Y131" i="1"/>
  <c r="AI130" i="1"/>
  <c r="AE130" i="1"/>
  <c r="AA130" i="1"/>
  <c r="AJ145" i="1"/>
  <c r="AF145" i="1"/>
  <c r="AB145" i="1"/>
  <c r="X145" i="1"/>
  <c r="Z144" i="1"/>
  <c r="AJ143" i="1"/>
  <c r="AF143" i="1"/>
  <c r="AB143" i="1"/>
  <c r="X143" i="1"/>
  <c r="AH142" i="1"/>
  <c r="AD142" i="1"/>
  <c r="Z142" i="1"/>
  <c r="AJ141" i="1"/>
  <c r="AF141" i="1"/>
  <c r="AB141" i="1"/>
  <c r="X141" i="1"/>
  <c r="AH140" i="1"/>
  <c r="AD140" i="1"/>
  <c r="Z140" i="1"/>
  <c r="AJ139" i="1"/>
  <c r="AF139" i="1"/>
  <c r="AB139" i="1"/>
  <c r="X139" i="1"/>
  <c r="AH138" i="1"/>
  <c r="AD138" i="1"/>
  <c r="Z138" i="1"/>
  <c r="AJ137" i="1"/>
  <c r="AF137" i="1"/>
  <c r="AB137" i="1"/>
  <c r="X137" i="1"/>
  <c r="AH136" i="1"/>
  <c r="AD136" i="1"/>
  <c r="Z136" i="1"/>
  <c r="AJ135" i="1"/>
  <c r="AF135" i="1"/>
  <c r="AB135" i="1"/>
  <c r="X135" i="1"/>
  <c r="AH134" i="1"/>
  <c r="AD134" i="1"/>
  <c r="Z134" i="1"/>
  <c r="AJ133" i="1"/>
  <c r="AF133" i="1"/>
  <c r="AB133" i="1"/>
  <c r="X133" i="1"/>
  <c r="AH132" i="1"/>
  <c r="AD132" i="1"/>
  <c r="Z132" i="1"/>
  <c r="AJ131" i="1"/>
  <c r="AF131" i="1"/>
  <c r="AB131" i="1"/>
  <c r="X131" i="1"/>
  <c r="AH130" i="1"/>
  <c r="AD130" i="1"/>
  <c r="Z130" i="1"/>
  <c r="AD144" i="1"/>
  <c r="AH144" i="1"/>
  <c r="AI145" i="1"/>
  <c r="AE145" i="1"/>
  <c r="AA145" i="1"/>
  <c r="AK144" i="1"/>
  <c r="AG144" i="1"/>
  <c r="AC144" i="1"/>
  <c r="Y144" i="1"/>
  <c r="AI143" i="1"/>
  <c r="AE143" i="1"/>
  <c r="AA143" i="1"/>
  <c r="AK142" i="1"/>
  <c r="AG142" i="1"/>
  <c r="AC142" i="1"/>
  <c r="Y142" i="1"/>
  <c r="AI141" i="1"/>
  <c r="AE141" i="1"/>
  <c r="AA141" i="1"/>
  <c r="AK140" i="1"/>
  <c r="AG140" i="1"/>
  <c r="AC140" i="1"/>
  <c r="Y140" i="1"/>
  <c r="AI139" i="1"/>
  <c r="AE139" i="1"/>
  <c r="AA139" i="1"/>
  <c r="AK138" i="1"/>
  <c r="AG138" i="1"/>
  <c r="AC138" i="1"/>
  <c r="Y138" i="1"/>
  <c r="AI137" i="1"/>
  <c r="AE137" i="1"/>
  <c r="AA137" i="1"/>
  <c r="AK136" i="1"/>
  <c r="AG136" i="1"/>
  <c r="AC136" i="1"/>
  <c r="Y136" i="1"/>
  <c r="AI135" i="1"/>
  <c r="AE135" i="1"/>
  <c r="AA135" i="1"/>
  <c r="AK134" i="1"/>
  <c r="AG134" i="1"/>
  <c r="AC134" i="1"/>
  <c r="Y134" i="1"/>
  <c r="AI133" i="1"/>
  <c r="AE133" i="1"/>
  <c r="AA133" i="1"/>
  <c r="AK132" i="1"/>
  <c r="AG132" i="1"/>
  <c r="AC132" i="1"/>
  <c r="Y132" i="1"/>
  <c r="AI131" i="1"/>
  <c r="AE131" i="1"/>
  <c r="AA131" i="1"/>
  <c r="AK130" i="1"/>
  <c r="AG130" i="1"/>
  <c r="AC130" i="1"/>
  <c r="Y130" i="1"/>
  <c r="AH145" i="1"/>
  <c r="AD145" i="1"/>
  <c r="Z145" i="1"/>
  <c r="AJ144" i="1"/>
  <c r="AF144" i="1"/>
  <c r="AB144" i="1"/>
  <c r="X144" i="1"/>
  <c r="AH143" i="1"/>
  <c r="AD143" i="1"/>
  <c r="Z143" i="1"/>
  <c r="AJ142" i="1"/>
  <c r="AF142" i="1"/>
  <c r="AB142" i="1"/>
  <c r="X142" i="1"/>
  <c r="AH141" i="1"/>
  <c r="AD141" i="1"/>
  <c r="Z141" i="1"/>
  <c r="AJ140" i="1"/>
  <c r="AF140" i="1"/>
  <c r="AB140" i="1"/>
  <c r="X140" i="1"/>
  <c r="AH139" i="1"/>
  <c r="AD139" i="1"/>
  <c r="Z139" i="1"/>
  <c r="AJ138" i="1"/>
  <c r="AF138" i="1"/>
  <c r="AB138" i="1"/>
  <c r="X138" i="1"/>
  <c r="AH137" i="1"/>
  <c r="AD137" i="1"/>
  <c r="Z137" i="1"/>
  <c r="AJ136" i="1"/>
  <c r="AF136" i="1"/>
  <c r="AB136" i="1"/>
  <c r="X136" i="1"/>
  <c r="AH135" i="1"/>
  <c r="AD135" i="1"/>
  <c r="Z135" i="1"/>
  <c r="AJ134" i="1"/>
  <c r="AF134" i="1"/>
  <c r="AB134" i="1"/>
  <c r="X134" i="1"/>
  <c r="AH133" i="1"/>
  <c r="AD133" i="1"/>
  <c r="Z133" i="1"/>
  <c r="AJ132" i="1"/>
  <c r="AF132" i="1"/>
  <c r="AB132" i="1"/>
  <c r="X132" i="1"/>
  <c r="AH131" i="1"/>
  <c r="AD131" i="1"/>
  <c r="Z131" i="1"/>
  <c r="AJ130" i="1"/>
  <c r="AF130" i="1"/>
  <c r="AB130" i="1"/>
  <c r="X130" i="1"/>
  <c r="AF129" i="1"/>
  <c r="AE129" i="1"/>
  <c r="AH129" i="1"/>
  <c r="AD129" i="1"/>
  <c r="Z129" i="1"/>
  <c r="AB129" i="1"/>
  <c r="AA129" i="1"/>
  <c r="AJ129" i="1"/>
  <c r="AI129" i="1"/>
  <c r="AK129" i="1"/>
  <c r="AG129" i="1"/>
  <c r="AC129" i="1"/>
  <c r="Y129" i="1"/>
  <c r="X129" i="1"/>
  <c r="G145" i="1"/>
  <c r="G139" i="1"/>
  <c r="G143" i="1"/>
  <c r="G141" i="1"/>
  <c r="G137" i="1"/>
  <c r="G135" i="1"/>
  <c r="G133" i="1"/>
  <c r="G131" i="1"/>
  <c r="F145" i="1"/>
  <c r="F143" i="1"/>
  <c r="F141" i="1"/>
  <c r="F139" i="1"/>
  <c r="F137" i="1"/>
  <c r="F135" i="1"/>
  <c r="F133" i="1"/>
  <c r="F131" i="1"/>
  <c r="G144" i="1"/>
  <c r="G142" i="1"/>
  <c r="G140" i="1"/>
  <c r="G138" i="1"/>
  <c r="G136" i="1"/>
  <c r="G134" i="1"/>
  <c r="G132" i="1"/>
  <c r="G130" i="1"/>
  <c r="F144" i="1"/>
  <c r="F142" i="1"/>
  <c r="F140" i="1"/>
  <c r="F138" i="1"/>
  <c r="F136" i="1"/>
  <c r="F134" i="1"/>
  <c r="F132" i="1"/>
  <c r="F130" i="1"/>
  <c r="G129" i="1"/>
  <c r="F129" i="1"/>
  <c r="AU102" i="1"/>
  <c r="AW95" i="1"/>
  <c r="AS93" i="1"/>
  <c r="BC100" i="1"/>
  <c r="BA91" i="1"/>
  <c r="AQ106" i="1"/>
  <c r="AQ100" i="1"/>
  <c r="BA97" i="1"/>
  <c r="AS105" i="1"/>
  <c r="BA103" i="1"/>
  <c r="AW101" i="1"/>
  <c r="AS99" i="1"/>
  <c r="BC96" i="1"/>
  <c r="AY94" i="1"/>
  <c r="AU92" i="1"/>
  <c r="AS103" i="1"/>
  <c r="AU104" i="1"/>
  <c r="BC92" i="1"/>
  <c r="AY104" i="1"/>
  <c r="AY98" i="1"/>
  <c r="AQ94" i="1"/>
  <c r="AX106" i="1"/>
  <c r="AU98" i="1"/>
  <c r="BA93" i="1"/>
  <c r="BA105" i="1"/>
  <c r="AQ102" i="1"/>
  <c r="AW97" i="1"/>
  <c r="BC106" i="1"/>
  <c r="AU106" i="1"/>
  <c r="BC104" i="1"/>
  <c r="AT104" i="1"/>
  <c r="AW103" i="1"/>
  <c r="AS101" i="1"/>
  <c r="BC98" i="1"/>
  <c r="AY96" i="1"/>
  <c r="AU94" i="1"/>
  <c r="AQ92" i="1"/>
  <c r="AY106" i="1"/>
  <c r="AY100" i="1"/>
  <c r="AQ96" i="1"/>
  <c r="AW91" i="1"/>
  <c r="BA99" i="1"/>
  <c r="AS95" i="1"/>
  <c r="AY102" i="1"/>
  <c r="AU100" i="1"/>
  <c r="AQ98" i="1"/>
  <c r="BA95" i="1"/>
  <c r="AW93" i="1"/>
  <c r="AS91" i="1"/>
  <c r="AU96" i="1"/>
  <c r="BC102" i="1"/>
  <c r="BB106" i="1"/>
  <c r="AT106" i="1"/>
  <c r="AW105" i="1"/>
  <c r="AQ104" i="1"/>
  <c r="BA101" i="1"/>
  <c r="AW99" i="1"/>
  <c r="AS97" i="1"/>
  <c r="BC94" i="1"/>
  <c r="AY92" i="1"/>
  <c r="AZ105" i="1"/>
  <c r="AV105" i="1"/>
  <c r="BB104" i="1"/>
  <c r="AP104" i="1"/>
  <c r="BB102" i="1"/>
  <c r="AP102" i="1"/>
  <c r="AR101" i="1"/>
  <c r="AX100" i="1"/>
  <c r="AZ99" i="1"/>
  <c r="BB98" i="1"/>
  <c r="AP98" i="1"/>
  <c r="AR97" i="1"/>
  <c r="AP96" i="1"/>
  <c r="AV95" i="1"/>
  <c r="AX94" i="1"/>
  <c r="AZ93" i="1"/>
  <c r="AP92" i="1"/>
  <c r="BA106" i="1"/>
  <c r="AS106" i="1"/>
  <c r="AU105" i="1"/>
  <c r="BA104" i="1"/>
  <c r="AW104" i="1"/>
  <c r="BC103" i="1"/>
  <c r="AY103" i="1"/>
  <c r="AU103" i="1"/>
  <c r="AQ103" i="1"/>
  <c r="BA102" i="1"/>
  <c r="AW102" i="1"/>
  <c r="AS102" i="1"/>
  <c r="BC101" i="1"/>
  <c r="AY101" i="1"/>
  <c r="AU101" i="1"/>
  <c r="AQ101" i="1"/>
  <c r="BA100" i="1"/>
  <c r="AW100" i="1"/>
  <c r="AS100" i="1"/>
  <c r="BC99" i="1"/>
  <c r="AY99" i="1"/>
  <c r="AQ99" i="1"/>
  <c r="BA98" i="1"/>
  <c r="AW98" i="1"/>
  <c r="AS98" i="1"/>
  <c r="BC97" i="1"/>
  <c r="AY97" i="1"/>
  <c r="AU97" i="1"/>
  <c r="AQ97" i="1"/>
  <c r="BA96" i="1"/>
  <c r="AW96" i="1"/>
  <c r="AS96" i="1"/>
  <c r="BC95" i="1"/>
  <c r="AY95" i="1"/>
  <c r="AU95" i="1"/>
  <c r="AQ95" i="1"/>
  <c r="BA94" i="1"/>
  <c r="AW94" i="1"/>
  <c r="AS94" i="1"/>
  <c r="BC93" i="1"/>
  <c r="AY93" i="1"/>
  <c r="AU93" i="1"/>
  <c r="AQ93" i="1"/>
  <c r="BA92" i="1"/>
  <c r="AW92" i="1"/>
  <c r="AS92" i="1"/>
  <c r="BC91" i="1"/>
  <c r="AY91" i="1"/>
  <c r="AU91" i="1"/>
  <c r="AQ91" i="1"/>
  <c r="AV103" i="1"/>
  <c r="AX102" i="1"/>
  <c r="AZ101" i="1"/>
  <c r="BB100" i="1"/>
  <c r="AP100" i="1"/>
  <c r="AR99" i="1"/>
  <c r="AT98" i="1"/>
  <c r="AV97" i="1"/>
  <c r="AX96" i="1"/>
  <c r="AZ95" i="1"/>
  <c r="BB94" i="1"/>
  <c r="AP94" i="1"/>
  <c r="AR93" i="1"/>
  <c r="AX92" i="1"/>
  <c r="AV91" i="1"/>
  <c r="BC105" i="1"/>
  <c r="AS104" i="1"/>
  <c r="AU99" i="1"/>
  <c r="AP106" i="1"/>
  <c r="AR105" i="1"/>
  <c r="AX104" i="1"/>
  <c r="AZ103" i="1"/>
  <c r="AR103" i="1"/>
  <c r="AT102" i="1"/>
  <c r="AV101" i="1"/>
  <c r="AT100" i="1"/>
  <c r="AV99" i="1"/>
  <c r="AX98" i="1"/>
  <c r="AZ97" i="1"/>
  <c r="BB96" i="1"/>
  <c r="AT96" i="1"/>
  <c r="AR95" i="1"/>
  <c r="AT94" i="1"/>
  <c r="AV93" i="1"/>
  <c r="BB92" i="1"/>
  <c r="AT92" i="1"/>
  <c r="AZ91" i="1"/>
  <c r="AR91" i="1"/>
  <c r="AW106" i="1"/>
  <c r="AY105" i="1"/>
  <c r="AQ105" i="1"/>
  <c r="AZ106" i="1"/>
  <c r="AV106" i="1"/>
  <c r="AR106" i="1"/>
  <c r="BB105" i="1"/>
  <c r="AX105" i="1"/>
  <c r="AT105" i="1"/>
  <c r="AP105" i="1"/>
  <c r="AZ104" i="1"/>
  <c r="AV104" i="1"/>
  <c r="AR104" i="1"/>
  <c r="BB103" i="1"/>
  <c r="AX103" i="1"/>
  <c r="AT103" i="1"/>
  <c r="AP103" i="1"/>
  <c r="AZ102" i="1"/>
  <c r="AV102" i="1"/>
  <c r="AR102" i="1"/>
  <c r="BB101" i="1"/>
  <c r="AX101" i="1"/>
  <c r="AT101" i="1"/>
  <c r="AP101" i="1"/>
  <c r="AZ100" i="1"/>
  <c r="AV100" i="1"/>
  <c r="AR100" i="1"/>
  <c r="BB99" i="1"/>
  <c r="AX99" i="1"/>
  <c r="AT99" i="1"/>
  <c r="AP99" i="1"/>
  <c r="AZ98" i="1"/>
  <c r="AV98" i="1"/>
  <c r="AR98" i="1"/>
  <c r="BB97" i="1"/>
  <c r="AX97" i="1"/>
  <c r="AT97" i="1"/>
  <c r="AP97" i="1"/>
  <c r="AZ96" i="1"/>
  <c r="AV96" i="1"/>
  <c r="AR96" i="1"/>
  <c r="BB95" i="1"/>
  <c r="AX95" i="1"/>
  <c r="AT95" i="1"/>
  <c r="AP95" i="1"/>
  <c r="AZ94" i="1"/>
  <c r="AV94" i="1"/>
  <c r="AR94" i="1"/>
  <c r="BB93" i="1"/>
  <c r="AX93" i="1"/>
  <c r="AT93" i="1"/>
  <c r="AP93" i="1"/>
  <c r="AZ92" i="1"/>
  <c r="AV92" i="1"/>
  <c r="AR92" i="1"/>
  <c r="BB91" i="1"/>
  <c r="AX91" i="1"/>
  <c r="AT91" i="1"/>
  <c r="AP91" i="1"/>
  <c r="BB90" i="1"/>
  <c r="AX90" i="1"/>
  <c r="AT90" i="1"/>
  <c r="BA90" i="1"/>
  <c r="AW90" i="1"/>
  <c r="AS90" i="1"/>
  <c r="AR90" i="1"/>
  <c r="AZ90" i="1"/>
  <c r="AV90" i="1"/>
  <c r="BC90" i="1"/>
  <c r="AY90" i="1"/>
  <c r="AU90" i="1"/>
  <c r="AQ90" i="1"/>
  <c r="AP90" i="1"/>
  <c r="AA106" i="1"/>
  <c r="AE106" i="1"/>
  <c r="AI106" i="1"/>
  <c r="AH106" i="1"/>
  <c r="AD106" i="1"/>
  <c r="Z106" i="1"/>
  <c r="AK106" i="1"/>
  <c r="AG106" i="1"/>
  <c r="Y106" i="1"/>
  <c r="AC106" i="1"/>
  <c r="AJ106" i="1"/>
  <c r="AF106" i="1"/>
  <c r="AB106" i="1"/>
  <c r="X106" i="1"/>
  <c r="AC104" i="1"/>
  <c r="AG102" i="1"/>
  <c r="AK100" i="1"/>
  <c r="AK98" i="1"/>
  <c r="AA97" i="1"/>
  <c r="AE95" i="1"/>
  <c r="Y94" i="1"/>
  <c r="AK92" i="1"/>
  <c r="Y92" i="1"/>
  <c r="AJ105" i="1"/>
  <c r="AB105" i="1"/>
  <c r="AH104" i="1"/>
  <c r="AD104" i="1"/>
  <c r="AJ103" i="1"/>
  <c r="AB103" i="1"/>
  <c r="AH102" i="1"/>
  <c r="Z102" i="1"/>
  <c r="AF101" i="1"/>
  <c r="X101" i="1"/>
  <c r="AD100" i="1"/>
  <c r="AJ99" i="1"/>
  <c r="AF99" i="1"/>
  <c r="X99" i="1"/>
  <c r="Z98" i="1"/>
  <c r="Z96" i="1"/>
  <c r="AG104" i="1"/>
  <c r="AK102" i="1"/>
  <c r="AA101" i="1"/>
  <c r="AA99" i="1"/>
  <c r="AE97" i="1"/>
  <c r="Y96" i="1"/>
  <c r="AG94" i="1"/>
  <c r="AG92" i="1"/>
  <c r="AA91" i="1"/>
  <c r="AH105" i="1"/>
  <c r="Z105" i="1"/>
  <c r="AF104" i="1"/>
  <c r="X104" i="1"/>
  <c r="AD103" i="1"/>
  <c r="AJ102" i="1"/>
  <c r="AB102" i="1"/>
  <c r="X102" i="1"/>
  <c r="AD101" i="1"/>
  <c r="AJ100" i="1"/>
  <c r="AB100" i="1"/>
  <c r="AH99" i="1"/>
  <c r="AD99" i="1"/>
  <c r="AJ98" i="1"/>
  <c r="AF98" i="1"/>
  <c r="AB98" i="1"/>
  <c r="X98" i="1"/>
  <c r="AH97" i="1"/>
  <c r="Z97" i="1"/>
  <c r="AJ96" i="1"/>
  <c r="AF96" i="1"/>
  <c r="AB96" i="1"/>
  <c r="X96" i="1"/>
  <c r="AH95" i="1"/>
  <c r="AD95" i="1"/>
  <c r="Z95" i="1"/>
  <c r="AJ94" i="1"/>
  <c r="AF94" i="1"/>
  <c r="AB94" i="1"/>
  <c r="X94" i="1"/>
  <c r="AH93" i="1"/>
  <c r="AD93" i="1"/>
  <c r="Z93" i="1"/>
  <c r="AJ92" i="1"/>
  <c r="AF92" i="1"/>
  <c r="AB92" i="1"/>
  <c r="X92" i="1"/>
  <c r="AH91" i="1"/>
  <c r="AD91" i="1"/>
  <c r="Z91" i="1"/>
  <c r="AE105" i="1"/>
  <c r="AI103" i="1"/>
  <c r="AI101" i="1"/>
  <c r="AI99" i="1"/>
  <c r="AC98" i="1"/>
  <c r="AC96" i="1"/>
  <c r="AK94" i="1"/>
  <c r="AA93" i="1"/>
  <c r="AI91" i="1"/>
  <c r="AD105" i="1"/>
  <c r="AJ104" i="1"/>
  <c r="AB104" i="1"/>
  <c r="AH103" i="1"/>
  <c r="Z103" i="1"/>
  <c r="AF102" i="1"/>
  <c r="AH101" i="1"/>
  <c r="Z101" i="1"/>
  <c r="AF100" i="1"/>
  <c r="X100" i="1"/>
  <c r="Z99" i="1"/>
  <c r="AD97" i="1"/>
  <c r="AI105" i="1"/>
  <c r="AK104" i="1"/>
  <c r="AA103" i="1"/>
  <c r="AE101" i="1"/>
  <c r="AG100" i="1"/>
  <c r="AE99" i="1"/>
  <c r="AI97" i="1"/>
  <c r="AG96" i="1"/>
  <c r="AA95" i="1"/>
  <c r="AE93" i="1"/>
  <c r="AC92" i="1"/>
  <c r="AC105" i="1"/>
  <c r="AI104" i="1"/>
  <c r="AA104" i="1"/>
  <c r="AK103" i="1"/>
  <c r="AG103" i="1"/>
  <c r="Y103" i="1"/>
  <c r="AI102" i="1"/>
  <c r="AA102" i="1"/>
  <c r="AK101" i="1"/>
  <c r="AC101" i="1"/>
  <c r="Y101" i="1"/>
  <c r="AI100" i="1"/>
  <c r="AA100" i="1"/>
  <c r="AK99" i="1"/>
  <c r="AG99" i="1"/>
  <c r="AC99" i="1"/>
  <c r="Y99" i="1"/>
  <c r="AI98" i="1"/>
  <c r="AE98" i="1"/>
  <c r="AA98" i="1"/>
  <c r="AK97" i="1"/>
  <c r="AG97" i="1"/>
  <c r="AC97" i="1"/>
  <c r="Y97" i="1"/>
  <c r="AE96" i="1"/>
  <c r="AA96" i="1"/>
  <c r="AK95" i="1"/>
  <c r="AG95" i="1"/>
  <c r="AC95" i="1"/>
  <c r="Y95" i="1"/>
  <c r="AI94" i="1"/>
  <c r="AE94" i="1"/>
  <c r="AA94" i="1"/>
  <c r="AK93" i="1"/>
  <c r="AG93" i="1"/>
  <c r="AC93" i="1"/>
  <c r="Y93" i="1"/>
  <c r="AI92" i="1"/>
  <c r="AE92" i="1"/>
  <c r="AA92" i="1"/>
  <c r="AK91" i="1"/>
  <c r="AG91" i="1"/>
  <c r="AC91" i="1"/>
  <c r="Y91" i="1"/>
  <c r="AA105" i="1"/>
  <c r="AE103" i="1"/>
  <c r="AC102" i="1"/>
  <c r="AC100" i="1"/>
  <c r="AG98" i="1"/>
  <c r="AK96" i="1"/>
  <c r="AC94" i="1"/>
  <c r="AK105" i="1"/>
  <c r="AE104" i="1"/>
  <c r="AC103" i="1"/>
  <c r="AE102" i="1"/>
  <c r="AG101" i="1"/>
  <c r="AE100" i="1"/>
  <c r="AI96" i="1"/>
  <c r="Y104" i="1"/>
  <c r="Y102" i="1"/>
  <c r="Y100" i="1"/>
  <c r="Y98" i="1"/>
  <c r="AI95" i="1"/>
  <c r="AI93" i="1"/>
  <c r="AE91" i="1"/>
  <c r="AG105" i="1"/>
  <c r="Y105" i="1"/>
  <c r="AF105" i="1"/>
  <c r="X105" i="1"/>
  <c r="Z104" i="1"/>
  <c r="AF103" i="1"/>
  <c r="X103" i="1"/>
  <c r="AD102" i="1"/>
  <c r="AJ101" i="1"/>
  <c r="AB101" i="1"/>
  <c r="AH100" i="1"/>
  <c r="Z100" i="1"/>
  <c r="AB99" i="1"/>
  <c r="AH98" i="1"/>
  <c r="AD98" i="1"/>
  <c r="AJ97" i="1"/>
  <c r="AF97" i="1"/>
  <c r="AB97" i="1"/>
  <c r="X97" i="1"/>
  <c r="AH96" i="1"/>
  <c r="AD96" i="1"/>
  <c r="AJ95" i="1"/>
  <c r="AF95" i="1"/>
  <c r="AB95" i="1"/>
  <c r="X95" i="1"/>
  <c r="AH94" i="1"/>
  <c r="AD94" i="1"/>
  <c r="Z94" i="1"/>
  <c r="AJ93" i="1"/>
  <c r="AF93" i="1"/>
  <c r="AB93" i="1"/>
  <c r="X93" i="1"/>
  <c r="AH92" i="1"/>
  <c r="AD92" i="1"/>
  <c r="Z92" i="1"/>
  <c r="AJ91" i="1"/>
  <c r="AF91" i="1"/>
  <c r="AB91" i="1"/>
  <c r="X91" i="1"/>
  <c r="AJ90" i="1"/>
  <c r="AB90" i="1"/>
  <c r="AK90" i="1"/>
  <c r="AG90" i="1"/>
  <c r="AC90" i="1"/>
  <c r="Y90" i="1"/>
  <c r="AI90" i="1"/>
  <c r="AA90" i="1"/>
  <c r="AF90" i="1"/>
  <c r="AE90" i="1"/>
  <c r="AH90" i="1"/>
  <c r="AD90" i="1"/>
  <c r="Z90" i="1"/>
  <c r="X90" i="1"/>
  <c r="M105" i="1"/>
  <c r="Q103" i="1"/>
  <c r="I101" i="1"/>
  <c r="P105" i="1"/>
  <c r="N104" i="1"/>
  <c r="L106" i="1"/>
  <c r="R105" i="1"/>
  <c r="J105" i="1"/>
  <c r="P104" i="1"/>
  <c r="H104" i="1"/>
  <c r="N103" i="1"/>
  <c r="F103" i="1"/>
  <c r="L102" i="1"/>
  <c r="N101" i="1"/>
  <c r="F101" i="1"/>
  <c r="L100" i="1"/>
  <c r="H100" i="1"/>
  <c r="N99" i="1"/>
  <c r="F99" i="1"/>
  <c r="L98" i="1"/>
  <c r="R97" i="1"/>
  <c r="J97" i="1"/>
  <c r="P96" i="1"/>
  <c r="H96" i="1"/>
  <c r="N95" i="1"/>
  <c r="F95" i="1"/>
  <c r="L94" i="1"/>
  <c r="R93" i="1"/>
  <c r="J93" i="1"/>
  <c r="L92" i="1"/>
  <c r="J91" i="1"/>
  <c r="Q105" i="1"/>
  <c r="K104" i="1"/>
  <c r="S102" i="1"/>
  <c r="G102" i="1"/>
  <c r="O100" i="1"/>
  <c r="K100" i="1"/>
  <c r="G100" i="1"/>
  <c r="Q99" i="1"/>
  <c r="M99" i="1"/>
  <c r="I99" i="1"/>
  <c r="S98" i="1"/>
  <c r="O98" i="1"/>
  <c r="K98" i="1"/>
  <c r="G98" i="1"/>
  <c r="Q97" i="1"/>
  <c r="M97" i="1"/>
  <c r="I97" i="1"/>
  <c r="S96" i="1"/>
  <c r="O96" i="1"/>
  <c r="K96" i="1"/>
  <c r="G96" i="1"/>
  <c r="Q95" i="1"/>
  <c r="M95" i="1"/>
  <c r="I95" i="1"/>
  <c r="S94" i="1"/>
  <c r="O94" i="1"/>
  <c r="K94" i="1"/>
  <c r="G94" i="1"/>
  <c r="Q93" i="1"/>
  <c r="M93" i="1"/>
  <c r="I93" i="1"/>
  <c r="S92" i="1"/>
  <c r="O92" i="1"/>
  <c r="K92" i="1"/>
  <c r="G92" i="1"/>
  <c r="Q91" i="1"/>
  <c r="M91" i="1"/>
  <c r="I91" i="1"/>
  <c r="H91" i="1"/>
  <c r="S106" i="1"/>
  <c r="I105" i="1"/>
  <c r="I103" i="1"/>
  <c r="M101" i="1"/>
  <c r="N106" i="1"/>
  <c r="H105" i="1"/>
  <c r="F104" i="1"/>
  <c r="R102" i="1"/>
  <c r="F102" i="1"/>
  <c r="H101" i="1"/>
  <c r="J100" i="1"/>
  <c r="L99" i="1"/>
  <c r="R98" i="1"/>
  <c r="F98" i="1"/>
  <c r="P97" i="1"/>
  <c r="L97" i="1"/>
  <c r="H97" i="1"/>
  <c r="R96" i="1"/>
  <c r="N96" i="1"/>
  <c r="J96" i="1"/>
  <c r="F96" i="1"/>
  <c r="P95" i="1"/>
  <c r="L95" i="1"/>
  <c r="H95" i="1"/>
  <c r="R94" i="1"/>
  <c r="N94" i="1"/>
  <c r="J94" i="1"/>
  <c r="F94" i="1"/>
  <c r="P93" i="1"/>
  <c r="L93" i="1"/>
  <c r="H93" i="1"/>
  <c r="R92" i="1"/>
  <c r="N92" i="1"/>
  <c r="J92" i="1"/>
  <c r="F92" i="1"/>
  <c r="P91" i="1"/>
  <c r="L91" i="1"/>
  <c r="O106" i="1"/>
  <c r="S104" i="1"/>
  <c r="M103" i="1"/>
  <c r="Q101" i="1"/>
  <c r="F106" i="1"/>
  <c r="R104" i="1"/>
  <c r="L103" i="1"/>
  <c r="N102" i="1"/>
  <c r="P101" i="1"/>
  <c r="N100" i="1"/>
  <c r="P99" i="1"/>
  <c r="N98" i="1"/>
  <c r="Q106" i="1"/>
  <c r="I106" i="1"/>
  <c r="O105" i="1"/>
  <c r="Q104" i="1"/>
  <c r="I104" i="1"/>
  <c r="O103" i="1"/>
  <c r="G103" i="1"/>
  <c r="M102" i="1"/>
  <c r="S101" i="1"/>
  <c r="O101" i="1"/>
  <c r="K101" i="1"/>
  <c r="G101" i="1"/>
  <c r="M100" i="1"/>
  <c r="I100" i="1"/>
  <c r="S99" i="1"/>
  <c r="O99" i="1"/>
  <c r="K99" i="1"/>
  <c r="G99" i="1"/>
  <c r="Q98" i="1"/>
  <c r="M98" i="1"/>
  <c r="I98" i="1"/>
  <c r="S97" i="1"/>
  <c r="O97" i="1"/>
  <c r="K97" i="1"/>
  <c r="G97" i="1"/>
  <c r="Q96" i="1"/>
  <c r="M96" i="1"/>
  <c r="I96" i="1"/>
  <c r="S95" i="1"/>
  <c r="O95" i="1"/>
  <c r="K95" i="1"/>
  <c r="G95" i="1"/>
  <c r="Q94" i="1"/>
  <c r="M94" i="1"/>
  <c r="I94" i="1"/>
  <c r="S93" i="1"/>
  <c r="O93" i="1"/>
  <c r="K93" i="1"/>
  <c r="G93" i="1"/>
  <c r="Q92" i="1"/>
  <c r="M92" i="1"/>
  <c r="I92" i="1"/>
  <c r="S91" i="1"/>
  <c r="O91" i="1"/>
  <c r="K91" i="1"/>
  <c r="G91" i="1"/>
  <c r="K106" i="1"/>
  <c r="O104" i="1"/>
  <c r="O102" i="1"/>
  <c r="S100" i="1"/>
  <c r="R106" i="1"/>
  <c r="L105" i="1"/>
  <c r="J104" i="1"/>
  <c r="P103" i="1"/>
  <c r="H103" i="1"/>
  <c r="J102" i="1"/>
  <c r="L101" i="1"/>
  <c r="R100" i="1"/>
  <c r="F100" i="1"/>
  <c r="H99" i="1"/>
  <c r="J98" i="1"/>
  <c r="M106" i="1"/>
  <c r="S105" i="1"/>
  <c r="K105" i="1"/>
  <c r="G105" i="1"/>
  <c r="M104" i="1"/>
  <c r="S103" i="1"/>
  <c r="K103" i="1"/>
  <c r="Q102" i="1"/>
  <c r="I102" i="1"/>
  <c r="Q100" i="1"/>
  <c r="G106" i="1"/>
  <c r="G104" i="1"/>
  <c r="K102" i="1"/>
  <c r="J106" i="1"/>
  <c r="P106" i="1"/>
  <c r="H106" i="1"/>
  <c r="N105" i="1"/>
  <c r="F105" i="1"/>
  <c r="L104" i="1"/>
  <c r="R103" i="1"/>
  <c r="J103" i="1"/>
  <c r="P102" i="1"/>
  <c r="H102" i="1"/>
  <c r="R101" i="1"/>
  <c r="J101" i="1"/>
  <c r="P100" i="1"/>
  <c r="R99" i="1"/>
  <c r="J99" i="1"/>
  <c r="P98" i="1"/>
  <c r="H98" i="1"/>
  <c r="N97" i="1"/>
  <c r="F97" i="1"/>
  <c r="L96" i="1"/>
  <c r="R95" i="1"/>
  <c r="J95" i="1"/>
  <c r="P94" i="1"/>
  <c r="H94" i="1"/>
  <c r="N93" i="1"/>
  <c r="F93" i="1"/>
  <c r="P92" i="1"/>
  <c r="H92" i="1"/>
  <c r="R91" i="1"/>
  <c r="N91" i="1"/>
  <c r="F91" i="1"/>
  <c r="J90" i="1"/>
  <c r="Q90" i="1"/>
  <c r="I90" i="1"/>
  <c r="R90" i="1"/>
  <c r="M90" i="1"/>
  <c r="H90" i="1"/>
  <c r="N90" i="1"/>
  <c r="P90" i="1"/>
  <c r="L90" i="1"/>
  <c r="S90" i="1"/>
  <c r="O90" i="1"/>
  <c r="K90" i="1"/>
  <c r="G90" i="1"/>
  <c r="F90" i="1"/>
  <c r="BA66" i="1"/>
  <c r="AW64" i="1"/>
  <c r="AS62" i="1"/>
  <c r="AU61" i="1"/>
  <c r="AQ53" i="1"/>
  <c r="AW60" i="1"/>
  <c r="AS64" i="1"/>
  <c r="AS56" i="1"/>
  <c r="BA52" i="1"/>
  <c r="AY59" i="1"/>
  <c r="AS54" i="1"/>
  <c r="BA62" i="1"/>
  <c r="AW66" i="1"/>
  <c r="BC67" i="1"/>
  <c r="AY65" i="1"/>
  <c r="AU63" i="1"/>
  <c r="AQ61" i="1"/>
  <c r="AW58" i="1"/>
  <c r="AY53" i="1"/>
  <c r="AY63" i="1"/>
  <c r="AU55" i="1"/>
  <c r="AQ65" i="1"/>
  <c r="BC61" i="1"/>
  <c r="AU59" i="1"/>
  <c r="AU57" i="1"/>
  <c r="AQ55" i="1"/>
  <c r="BC53" i="1"/>
  <c r="AQ67" i="1"/>
  <c r="AW62" i="1"/>
  <c r="AQ59" i="1"/>
  <c r="AQ57" i="1"/>
  <c r="BC55" i="1"/>
  <c r="BA54" i="1"/>
  <c r="AW52" i="1"/>
  <c r="AS66" i="1"/>
  <c r="BC63" i="1"/>
  <c r="AY61" i="1"/>
  <c r="BC65" i="1"/>
  <c r="AY57" i="1"/>
  <c r="AW56" i="1"/>
  <c r="AU67" i="1"/>
  <c r="BA64" i="1"/>
  <c r="AS60" i="1"/>
  <c r="AS58" i="1"/>
  <c r="AY67" i="1"/>
  <c r="AU65" i="1"/>
  <c r="AQ63" i="1"/>
  <c r="BA60" i="1"/>
  <c r="BC59" i="1"/>
  <c r="BA58" i="1"/>
  <c r="BC57" i="1"/>
  <c r="BA56" i="1"/>
  <c r="AY55" i="1"/>
  <c r="AW54" i="1"/>
  <c r="AU53" i="1"/>
  <c r="AS52" i="1"/>
  <c r="BB67" i="1"/>
  <c r="AZ66" i="1"/>
  <c r="AX65" i="1"/>
  <c r="AP65" i="1"/>
  <c r="AR64" i="1"/>
  <c r="AP63" i="1"/>
  <c r="AR62" i="1"/>
  <c r="AT61" i="1"/>
  <c r="AV60" i="1"/>
  <c r="AX59" i="1"/>
  <c r="AZ58" i="1"/>
  <c r="AV58" i="1"/>
  <c r="BB57" i="1"/>
  <c r="AT57" i="1"/>
  <c r="AP57" i="1"/>
  <c r="AZ56" i="1"/>
  <c r="AV56" i="1"/>
  <c r="AR56" i="1"/>
  <c r="BB55" i="1"/>
  <c r="AX55" i="1"/>
  <c r="AT55" i="1"/>
  <c r="AP55" i="1"/>
  <c r="AZ54" i="1"/>
  <c r="AV54" i="1"/>
  <c r="AR54" i="1"/>
  <c r="BB53" i="1"/>
  <c r="AX53" i="1"/>
  <c r="AT53" i="1"/>
  <c r="AP53" i="1"/>
  <c r="AZ52" i="1"/>
  <c r="AV52" i="1"/>
  <c r="AR52" i="1"/>
  <c r="AT67" i="1"/>
  <c r="AV66" i="1"/>
  <c r="BB65" i="1"/>
  <c r="AZ64" i="1"/>
  <c r="BB63" i="1"/>
  <c r="AZ62" i="1"/>
  <c r="BB61" i="1"/>
  <c r="AP61" i="1"/>
  <c r="AR60" i="1"/>
  <c r="AT59" i="1"/>
  <c r="AR58" i="1"/>
  <c r="AW67" i="1"/>
  <c r="AY66" i="1"/>
  <c r="AQ66" i="1"/>
  <c r="AW65" i="1"/>
  <c r="BC64" i="1"/>
  <c r="AU64" i="1"/>
  <c r="BA63" i="1"/>
  <c r="BC62" i="1"/>
  <c r="AU62" i="1"/>
  <c r="BA61" i="1"/>
  <c r="AS61" i="1"/>
  <c r="AU60" i="1"/>
  <c r="BA59" i="1"/>
  <c r="AS59" i="1"/>
  <c r="AY58" i="1"/>
  <c r="AQ58" i="1"/>
  <c r="AW57" i="1"/>
  <c r="AS57" i="1"/>
  <c r="AY56" i="1"/>
  <c r="AU56" i="1"/>
  <c r="AQ56" i="1"/>
  <c r="BA55" i="1"/>
  <c r="AW55" i="1"/>
  <c r="AS55" i="1"/>
  <c r="BC54" i="1"/>
  <c r="AY54" i="1"/>
  <c r="AQ54" i="1"/>
  <c r="BA53" i="1"/>
  <c r="AW53" i="1"/>
  <c r="AS53" i="1"/>
  <c r="BC52" i="1"/>
  <c r="AY52" i="1"/>
  <c r="AU52" i="1"/>
  <c r="AQ52" i="1"/>
  <c r="AX67" i="1"/>
  <c r="AP67" i="1"/>
  <c r="AR66" i="1"/>
  <c r="AT65" i="1"/>
  <c r="AV64" i="1"/>
  <c r="AX63" i="1"/>
  <c r="AT63" i="1"/>
  <c r="AV62" i="1"/>
  <c r="AX61" i="1"/>
  <c r="AZ60" i="1"/>
  <c r="BB59" i="1"/>
  <c r="AP59" i="1"/>
  <c r="AX57" i="1"/>
  <c r="BA67" i="1"/>
  <c r="AS67" i="1"/>
  <c r="BC66" i="1"/>
  <c r="AU66" i="1"/>
  <c r="BA65" i="1"/>
  <c r="AS65" i="1"/>
  <c r="AY64" i="1"/>
  <c r="AQ64" i="1"/>
  <c r="AW63" i="1"/>
  <c r="AS63" i="1"/>
  <c r="AY62" i="1"/>
  <c r="AQ62" i="1"/>
  <c r="AW61" i="1"/>
  <c r="BC60" i="1"/>
  <c r="AY60" i="1"/>
  <c r="AQ60" i="1"/>
  <c r="AW59" i="1"/>
  <c r="BC58" i="1"/>
  <c r="AU58" i="1"/>
  <c r="BA57" i="1"/>
  <c r="BC56" i="1"/>
  <c r="AU54" i="1"/>
  <c r="AZ67" i="1"/>
  <c r="AV67" i="1"/>
  <c r="AR67" i="1"/>
  <c r="BB66" i="1"/>
  <c r="AX66" i="1"/>
  <c r="AT66" i="1"/>
  <c r="AP66" i="1"/>
  <c r="AZ65" i="1"/>
  <c r="AV65" i="1"/>
  <c r="AR65" i="1"/>
  <c r="BB64" i="1"/>
  <c r="AX64" i="1"/>
  <c r="AT64" i="1"/>
  <c r="AP64" i="1"/>
  <c r="AZ63" i="1"/>
  <c r="AV63" i="1"/>
  <c r="AR63" i="1"/>
  <c r="BB62" i="1"/>
  <c r="AX62" i="1"/>
  <c r="AT62" i="1"/>
  <c r="AP62" i="1"/>
  <c r="AZ61" i="1"/>
  <c r="AV61" i="1"/>
  <c r="AR61" i="1"/>
  <c r="BB60" i="1"/>
  <c r="AX60" i="1"/>
  <c r="AT60" i="1"/>
  <c r="AP60" i="1"/>
  <c r="AZ59" i="1"/>
  <c r="AV59" i="1"/>
  <c r="AR59" i="1"/>
  <c r="BB58" i="1"/>
  <c r="AX58" i="1"/>
  <c r="AT58" i="1"/>
  <c r="AP58" i="1"/>
  <c r="AZ57" i="1"/>
  <c r="AV57" i="1"/>
  <c r="AR57" i="1"/>
  <c r="BB56" i="1"/>
  <c r="AX56" i="1"/>
  <c r="AT56" i="1"/>
  <c r="AP56" i="1"/>
  <c r="AZ55" i="1"/>
  <c r="AV55" i="1"/>
  <c r="AR55" i="1"/>
  <c r="BB54" i="1"/>
  <c r="AX54" i="1"/>
  <c r="AT54" i="1"/>
  <c r="AP54" i="1"/>
  <c r="AZ53" i="1"/>
  <c r="AV53" i="1"/>
  <c r="AR53" i="1"/>
  <c r="BB52" i="1"/>
  <c r="AX52" i="1"/>
  <c r="AT52" i="1"/>
  <c r="AP52" i="1"/>
  <c r="AT51" i="1"/>
  <c r="AY51" i="1"/>
  <c r="AU51" i="1"/>
  <c r="BB51" i="1"/>
  <c r="AX51" i="1"/>
  <c r="AS51" i="1"/>
  <c r="BC51" i="1"/>
  <c r="BA51" i="1"/>
  <c r="AW51" i="1"/>
  <c r="AZ51" i="1"/>
  <c r="AV51" i="1"/>
  <c r="AR51" i="1"/>
  <c r="AQ51" i="1"/>
  <c r="AP51" i="1"/>
  <c r="AC63" i="1"/>
  <c r="Y63" i="1"/>
  <c r="AI62" i="1"/>
  <c r="AA58" i="1"/>
  <c r="AK55" i="1"/>
  <c r="AG53" i="1"/>
  <c r="AI58" i="1"/>
  <c r="AC65" i="1"/>
  <c r="AK53" i="1"/>
  <c r="AI66" i="1"/>
  <c r="AE62" i="1"/>
  <c r="AA60" i="1"/>
  <c r="AK57" i="1"/>
  <c r="AG55" i="1"/>
  <c r="AC53" i="1"/>
  <c r="AG57" i="1"/>
  <c r="AC55" i="1"/>
  <c r="Y53" i="1"/>
  <c r="AG65" i="1"/>
  <c r="AA54" i="1"/>
  <c r="AE58" i="1"/>
  <c r="Y65" i="1"/>
  <c r="AE66" i="1"/>
  <c r="AE64" i="1"/>
  <c r="AA62" i="1"/>
  <c r="AK59" i="1"/>
  <c r="AA66" i="1"/>
  <c r="AA64" i="1"/>
  <c r="AK61" i="1"/>
  <c r="AG59" i="1"/>
  <c r="AC57" i="1"/>
  <c r="Y55" i="1"/>
  <c r="AI52" i="1"/>
  <c r="Y61" i="1"/>
  <c r="AC67" i="1"/>
  <c r="AA56" i="1"/>
  <c r="Y67" i="1"/>
  <c r="AK63" i="1"/>
  <c r="AC59" i="1"/>
  <c r="Y57" i="1"/>
  <c r="AI54" i="1"/>
  <c r="AE52" i="1"/>
  <c r="AG67" i="1"/>
  <c r="AE56" i="1"/>
  <c r="AI60" i="1"/>
  <c r="AE60" i="1"/>
  <c r="AI64" i="1"/>
  <c r="AG61" i="1"/>
  <c r="AK67" i="1"/>
  <c r="AK65" i="1"/>
  <c r="AG63" i="1"/>
  <c r="AC61" i="1"/>
  <c r="Y59" i="1"/>
  <c r="AI56" i="1"/>
  <c r="AE54" i="1"/>
  <c r="AA52" i="1"/>
  <c r="Z67" i="1"/>
  <c r="AJ66" i="1"/>
  <c r="AB66" i="1"/>
  <c r="AH65" i="1"/>
  <c r="Z65" i="1"/>
  <c r="AF64" i="1"/>
  <c r="X64" i="1"/>
  <c r="AD63" i="1"/>
  <c r="AJ62" i="1"/>
  <c r="AB62" i="1"/>
  <c r="AH61" i="1"/>
  <c r="Z61" i="1"/>
  <c r="AJ60" i="1"/>
  <c r="AB60" i="1"/>
  <c r="AH59" i="1"/>
  <c r="Z59" i="1"/>
  <c r="AF58" i="1"/>
  <c r="X58" i="1"/>
  <c r="AD57" i="1"/>
  <c r="AJ56" i="1"/>
  <c r="AB56" i="1"/>
  <c r="AH55" i="1"/>
  <c r="Z55" i="1"/>
  <c r="AF54" i="1"/>
  <c r="AH53" i="1"/>
  <c r="Z53" i="1"/>
  <c r="AB52" i="1"/>
  <c r="X67" i="1"/>
  <c r="AF65" i="1"/>
  <c r="AH64" i="1"/>
  <c r="Z64" i="1"/>
  <c r="AF63" i="1"/>
  <c r="X63" i="1"/>
  <c r="AD62" i="1"/>
  <c r="AJ61" i="1"/>
  <c r="AF61" i="1"/>
  <c r="X61" i="1"/>
  <c r="AD60" i="1"/>
  <c r="Z60" i="1"/>
  <c r="AJ59" i="1"/>
  <c r="AF59" i="1"/>
  <c r="AB59" i="1"/>
  <c r="X59" i="1"/>
  <c r="AD58" i="1"/>
  <c r="Z58" i="1"/>
  <c r="AJ57" i="1"/>
  <c r="AF57" i="1"/>
  <c r="AB57" i="1"/>
  <c r="X57" i="1"/>
  <c r="AH56" i="1"/>
  <c r="AD56" i="1"/>
  <c r="Z56" i="1"/>
  <c r="AJ55" i="1"/>
  <c r="AF55" i="1"/>
  <c r="AB55" i="1"/>
  <c r="X55" i="1"/>
  <c r="AH54" i="1"/>
  <c r="AD54" i="1"/>
  <c r="Z54" i="1"/>
  <c r="AJ53" i="1"/>
  <c r="AF53" i="1"/>
  <c r="AB53" i="1"/>
  <c r="X53" i="1"/>
  <c r="AH52" i="1"/>
  <c r="AD52" i="1"/>
  <c r="Z52" i="1"/>
  <c r="AB67" i="1"/>
  <c r="AJ65" i="1"/>
  <c r="X65" i="1"/>
  <c r="AD64" i="1"/>
  <c r="AJ63" i="1"/>
  <c r="AB63" i="1"/>
  <c r="AH62" i="1"/>
  <c r="Z62" i="1"/>
  <c r="AB61" i="1"/>
  <c r="AH60" i="1"/>
  <c r="AH58" i="1"/>
  <c r="AJ67" i="1"/>
  <c r="AD66" i="1"/>
  <c r="AB65" i="1"/>
  <c r="AI67" i="1"/>
  <c r="AK66" i="1"/>
  <c r="AC66" i="1"/>
  <c r="AI65" i="1"/>
  <c r="AA65" i="1"/>
  <c r="AG64" i="1"/>
  <c r="Y64" i="1"/>
  <c r="AA63" i="1"/>
  <c r="AG62" i="1"/>
  <c r="AI61" i="1"/>
  <c r="AA61" i="1"/>
  <c r="AC60" i="1"/>
  <c r="AI59" i="1"/>
  <c r="AK58" i="1"/>
  <c r="AC58" i="1"/>
  <c r="AI57" i="1"/>
  <c r="AE57" i="1"/>
  <c r="AK56" i="1"/>
  <c r="AG56" i="1"/>
  <c r="AC56" i="1"/>
  <c r="Y56" i="1"/>
  <c r="AI55" i="1"/>
  <c r="AE55" i="1"/>
  <c r="AA55" i="1"/>
  <c r="AG54" i="1"/>
  <c r="AC54" i="1"/>
  <c r="Y54" i="1"/>
  <c r="AI53" i="1"/>
  <c r="AE53" i="1"/>
  <c r="AA53" i="1"/>
  <c r="AK52" i="1"/>
  <c r="AG52" i="1"/>
  <c r="AC52" i="1"/>
  <c r="Y52" i="1"/>
  <c r="AF67" i="1"/>
  <c r="AH66" i="1"/>
  <c r="Z66" i="1"/>
  <c r="AE67" i="1"/>
  <c r="AA67" i="1"/>
  <c r="AG66" i="1"/>
  <c r="Y66" i="1"/>
  <c r="AE65" i="1"/>
  <c r="AK64" i="1"/>
  <c r="AC64" i="1"/>
  <c r="AI63" i="1"/>
  <c r="AE63" i="1"/>
  <c r="AK62" i="1"/>
  <c r="AC62" i="1"/>
  <c r="Y62" i="1"/>
  <c r="AE61" i="1"/>
  <c r="AK60" i="1"/>
  <c r="AG60" i="1"/>
  <c r="Y60" i="1"/>
  <c r="AE59" i="1"/>
  <c r="AA59" i="1"/>
  <c r="AG58" i="1"/>
  <c r="Y58" i="1"/>
  <c r="AA57" i="1"/>
  <c r="AK54" i="1"/>
  <c r="AH67" i="1"/>
  <c r="AD67" i="1"/>
  <c r="AF66" i="1"/>
  <c r="X66" i="1"/>
  <c r="AD65" i="1"/>
  <c r="AJ64" i="1"/>
  <c r="AB64" i="1"/>
  <c r="AH63" i="1"/>
  <c r="Z63" i="1"/>
  <c r="AF62" i="1"/>
  <c r="X62" i="1"/>
  <c r="AD61" i="1"/>
  <c r="AF60" i="1"/>
  <c r="X60" i="1"/>
  <c r="AD59" i="1"/>
  <c r="AJ58" i="1"/>
  <c r="AB58" i="1"/>
  <c r="AH57" i="1"/>
  <c r="Z57" i="1"/>
  <c r="AF56" i="1"/>
  <c r="X56" i="1"/>
  <c r="AD55" i="1"/>
  <c r="AJ54" i="1"/>
  <c r="AB54" i="1"/>
  <c r="X54" i="1"/>
  <c r="AD53" i="1"/>
  <c r="AJ52" i="1"/>
  <c r="AF52" i="1"/>
  <c r="X52" i="1"/>
  <c r="AG51" i="1"/>
  <c r="Y51" i="1"/>
  <c r="AJ51" i="1"/>
  <c r="AF51" i="1"/>
  <c r="AB51" i="1"/>
  <c r="AA51" i="1"/>
  <c r="Z51" i="1"/>
  <c r="AK51" i="1"/>
  <c r="AC51" i="1"/>
  <c r="AI51" i="1"/>
  <c r="AE51" i="1"/>
  <c r="AH51" i="1"/>
  <c r="AD51" i="1"/>
  <c r="X51" i="1"/>
  <c r="O66" i="1"/>
  <c r="P65" i="1"/>
  <c r="Q64" i="1"/>
  <c r="I64" i="1"/>
  <c r="J63" i="1"/>
  <c r="O62" i="1"/>
  <c r="L61" i="1"/>
  <c r="Q60" i="1"/>
  <c r="R59" i="1"/>
  <c r="J59" i="1"/>
  <c r="O58" i="1"/>
  <c r="K58" i="1"/>
  <c r="G58" i="1"/>
  <c r="P57" i="1"/>
  <c r="L57" i="1"/>
  <c r="H57" i="1"/>
  <c r="Q56" i="1"/>
  <c r="M56" i="1"/>
  <c r="I56" i="1"/>
  <c r="N55" i="1"/>
  <c r="J55" i="1"/>
  <c r="S54" i="1"/>
  <c r="O54" i="1"/>
  <c r="K54" i="1"/>
  <c r="G54" i="1"/>
  <c r="P53" i="1"/>
  <c r="L53" i="1"/>
  <c r="H53" i="1"/>
  <c r="Q52" i="1"/>
  <c r="M52" i="1"/>
  <c r="I52" i="1"/>
  <c r="R51" i="1"/>
  <c r="N51" i="1"/>
  <c r="J51" i="1"/>
  <c r="J67" i="1"/>
  <c r="G62" i="1"/>
  <c r="R55" i="1"/>
  <c r="K66" i="1"/>
  <c r="H65" i="1"/>
  <c r="R63" i="1"/>
  <c r="K62" i="1"/>
  <c r="N59" i="1"/>
  <c r="Q67" i="1"/>
  <c r="I67" i="1"/>
  <c r="J66" i="1"/>
  <c r="O65" i="1"/>
  <c r="P64" i="1"/>
  <c r="H64" i="1"/>
  <c r="I63" i="1"/>
  <c r="J62" i="1"/>
  <c r="K61" i="1"/>
  <c r="L60" i="1"/>
  <c r="Q59" i="1"/>
  <c r="R58" i="1"/>
  <c r="J58" i="1"/>
  <c r="O57" i="1"/>
  <c r="G57" i="1"/>
  <c r="L56" i="1"/>
  <c r="H56" i="1"/>
  <c r="Q55" i="1"/>
  <c r="M55" i="1"/>
  <c r="R54" i="1"/>
  <c r="N54" i="1"/>
  <c r="J54" i="1"/>
  <c r="S53" i="1"/>
  <c r="O53" i="1"/>
  <c r="K53" i="1"/>
  <c r="G53" i="1"/>
  <c r="P52" i="1"/>
  <c r="L52" i="1"/>
  <c r="H52" i="1"/>
  <c r="Q51" i="1"/>
  <c r="M51" i="1"/>
  <c r="I51" i="1"/>
  <c r="N67" i="1"/>
  <c r="G66" i="1"/>
  <c r="L65" i="1"/>
  <c r="M64" i="1"/>
  <c r="N63" i="1"/>
  <c r="S62" i="1"/>
  <c r="P61" i="1"/>
  <c r="H61" i="1"/>
  <c r="M60" i="1"/>
  <c r="I60" i="1"/>
  <c r="S58" i="1"/>
  <c r="M67" i="1"/>
  <c r="R66" i="1"/>
  <c r="N66" i="1"/>
  <c r="S65" i="1"/>
  <c r="K65" i="1"/>
  <c r="G65" i="1"/>
  <c r="L64" i="1"/>
  <c r="Q63" i="1"/>
  <c r="M63" i="1"/>
  <c r="R62" i="1"/>
  <c r="N62" i="1"/>
  <c r="S61" i="1"/>
  <c r="O61" i="1"/>
  <c r="G61" i="1"/>
  <c r="P60" i="1"/>
  <c r="H60" i="1"/>
  <c r="M59" i="1"/>
  <c r="I59" i="1"/>
  <c r="N58" i="1"/>
  <c r="S57" i="1"/>
  <c r="K57" i="1"/>
  <c r="P56" i="1"/>
  <c r="I55" i="1"/>
  <c r="M66" i="1"/>
  <c r="K64" i="1"/>
  <c r="H63" i="1"/>
  <c r="I62" i="1"/>
  <c r="J61" i="1"/>
  <c r="G60" i="1"/>
  <c r="Q58" i="1"/>
  <c r="N57" i="1"/>
  <c r="K56" i="1"/>
  <c r="H55" i="1"/>
  <c r="I54" i="1"/>
  <c r="N53" i="1"/>
  <c r="J53" i="1"/>
  <c r="S52" i="1"/>
  <c r="K52" i="1"/>
  <c r="G52" i="1"/>
  <c r="P51" i="1"/>
  <c r="L51" i="1"/>
  <c r="H51" i="1"/>
  <c r="R67" i="1"/>
  <c r="S66" i="1"/>
  <c r="P67" i="1"/>
  <c r="H67" i="1"/>
  <c r="I66" i="1"/>
  <c r="N65" i="1"/>
  <c r="S64" i="1"/>
  <c r="G64" i="1"/>
  <c r="L63" i="1"/>
  <c r="Q62" i="1"/>
  <c r="M62" i="1"/>
  <c r="R61" i="1"/>
  <c r="N61" i="1"/>
  <c r="S60" i="1"/>
  <c r="O60" i="1"/>
  <c r="K60" i="1"/>
  <c r="P59" i="1"/>
  <c r="L59" i="1"/>
  <c r="H59" i="1"/>
  <c r="M58" i="1"/>
  <c r="I58" i="1"/>
  <c r="R57" i="1"/>
  <c r="J57" i="1"/>
  <c r="S56" i="1"/>
  <c r="O56" i="1"/>
  <c r="G56" i="1"/>
  <c r="P55" i="1"/>
  <c r="L55" i="1"/>
  <c r="Q54" i="1"/>
  <c r="M54" i="1"/>
  <c r="R53" i="1"/>
  <c r="O52" i="1"/>
  <c r="L67" i="1"/>
  <c r="Q66" i="1"/>
  <c r="R65" i="1"/>
  <c r="J65" i="1"/>
  <c r="O64" i="1"/>
  <c r="P63" i="1"/>
  <c r="S67" i="1"/>
  <c r="O67" i="1"/>
  <c r="K67" i="1"/>
  <c r="G67" i="1"/>
  <c r="P66" i="1"/>
  <c r="L66" i="1"/>
  <c r="H66" i="1"/>
  <c r="Q65" i="1"/>
  <c r="M65" i="1"/>
  <c r="I65" i="1"/>
  <c r="R64" i="1"/>
  <c r="N64" i="1"/>
  <c r="J64" i="1"/>
  <c r="S63" i="1"/>
  <c r="O63" i="1"/>
  <c r="K63" i="1"/>
  <c r="G63" i="1"/>
  <c r="P62" i="1"/>
  <c r="L62" i="1"/>
  <c r="H62" i="1"/>
  <c r="Q61" i="1"/>
  <c r="M61" i="1"/>
  <c r="I61" i="1"/>
  <c r="R60" i="1"/>
  <c r="N60" i="1"/>
  <c r="J60" i="1"/>
  <c r="S59" i="1"/>
  <c r="O59" i="1"/>
  <c r="K59" i="1"/>
  <c r="G59" i="1"/>
  <c r="P58" i="1"/>
  <c r="L58" i="1"/>
  <c r="H58" i="1"/>
  <c r="Q57" i="1"/>
  <c r="M57" i="1"/>
  <c r="I57" i="1"/>
  <c r="R56" i="1"/>
  <c r="N56" i="1"/>
  <c r="J56" i="1"/>
  <c r="S55" i="1"/>
  <c r="O55" i="1"/>
  <c r="K55" i="1"/>
  <c r="G55" i="1"/>
  <c r="P54" i="1"/>
  <c r="L54" i="1"/>
  <c r="H54" i="1"/>
  <c r="Q53" i="1"/>
  <c r="M53" i="1"/>
  <c r="I53" i="1"/>
  <c r="R52" i="1"/>
  <c r="N52" i="1"/>
  <c r="J52" i="1"/>
  <c r="S51" i="1"/>
  <c r="O51" i="1"/>
  <c r="K51" i="1"/>
  <c r="G51" i="1"/>
  <c r="F64" i="1"/>
  <c r="F67" i="1"/>
  <c r="F66" i="1"/>
  <c r="F65" i="1"/>
  <c r="F54" i="1"/>
  <c r="F58" i="1"/>
  <c r="F53" i="1"/>
  <c r="F61" i="1"/>
  <c r="F63" i="1"/>
  <c r="F59" i="1"/>
  <c r="F55" i="1"/>
  <c r="F62" i="1"/>
  <c r="F57" i="1"/>
  <c r="F60" i="1"/>
  <c r="F56" i="1"/>
  <c r="F52" i="1"/>
  <c r="F51" i="1"/>
  <c r="AP11" i="1"/>
  <c r="X11" i="1"/>
  <c r="Y10" i="1"/>
  <c r="AO12" i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Q10" i="1"/>
  <c r="W12" i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E13" i="1"/>
  <c r="E12" i="1"/>
  <c r="H10" i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G10" i="1"/>
  <c r="H129" i="1" a="1"/>
  <c r="H144" i="1" a="1"/>
  <c r="H142" i="1" a="1"/>
  <c r="H140" i="1" a="1"/>
  <c r="H136" i="1" a="1"/>
  <c r="H134" i="1" a="1"/>
  <c r="H132" i="1" a="1"/>
  <c r="H130" i="1" a="1"/>
  <c r="H138" i="1" a="1"/>
  <c r="H145" i="1" a="1"/>
  <c r="H143" i="1" a="1"/>
  <c r="H141" i="1" a="1"/>
  <c r="H139" i="1" a="1"/>
  <c r="H137" i="1" a="1"/>
  <c r="H135" i="1" a="1"/>
  <c r="H133" i="1" a="1"/>
  <c r="H131" i="1" a="1"/>
  <c r="Y12" i="1" a="1"/>
  <c r="X12" i="1" a="1"/>
  <c r="AQ12" i="1" a="1"/>
  <c r="AP12" i="1" a="1"/>
  <c r="J12" i="1" a="1"/>
  <c r="S13" i="1" a="1"/>
  <c r="J13" i="1" a="1"/>
  <c r="I13" i="1" a="1"/>
  <c r="H12" i="1" a="1"/>
  <c r="H11" i="1" a="1"/>
  <c r="F11" i="1" a="1"/>
  <c r="AQ11" i="1" a="1"/>
  <c r="L13" i="1" a="1"/>
  <c r="L12" i="1" a="1"/>
  <c r="G12" i="1" a="1"/>
  <c r="O13" i="1" a="1"/>
  <c r="K11" i="1" a="1"/>
  <c r="R11" i="1" a="1"/>
  <c r="Q13" i="1" a="1"/>
  <c r="I11" i="1" a="1"/>
  <c r="N12" i="1" a="1"/>
  <c r="F13" i="1" a="1"/>
  <c r="L11" i="1" a="1"/>
  <c r="X13" i="1" a="1"/>
  <c r="AQ13" i="1" a="1"/>
  <c r="Y13" i="1" a="1"/>
  <c r="AP13" i="1" a="1"/>
  <c r="I12" i="1" a="1"/>
  <c r="Q12" i="1" a="1"/>
  <c r="G11" i="1" a="1"/>
  <c r="M11" i="1" a="1"/>
  <c r="G13" i="1" a="1"/>
  <c r="N11" i="1" a="1"/>
  <c r="F12" i="1" a="1"/>
  <c r="P12" i="1" a="1"/>
  <c r="K13" i="1" a="1"/>
  <c r="M12" i="1" a="1"/>
  <c r="O11" i="1" a="1"/>
  <c r="J11" i="1" a="1"/>
  <c r="R13" i="1" a="1"/>
  <c r="S11" i="1" a="1"/>
  <c r="R12" i="1" a="1"/>
  <c r="K12" i="1" a="1"/>
  <c r="N13" i="1" a="1"/>
  <c r="Q11" i="1" a="1"/>
  <c r="Y11" i="1" a="1"/>
  <c r="H13" i="1" a="1"/>
  <c r="O12" i="1" a="1"/>
  <c r="P13" i="1" a="1"/>
  <c r="S12" i="1" a="1"/>
  <c r="P11" i="1" a="1"/>
  <c r="M13" i="1" a="1"/>
  <c r="Y11" i="1" l="1"/>
  <c r="AP13" i="1"/>
  <c r="Y13" i="1"/>
  <c r="AQ13" i="1"/>
  <c r="X13" i="1"/>
  <c r="AQ11" i="1"/>
  <c r="AP12" i="1"/>
  <c r="AQ12" i="1"/>
  <c r="X12" i="1"/>
  <c r="Y12" i="1"/>
  <c r="H131" i="1"/>
  <c r="H133" i="1"/>
  <c r="H135" i="1"/>
  <c r="H137" i="1"/>
  <c r="H139" i="1"/>
  <c r="H141" i="1"/>
  <c r="H143" i="1"/>
  <c r="H145" i="1"/>
  <c r="H138" i="1"/>
  <c r="H130" i="1"/>
  <c r="H132" i="1"/>
  <c r="H134" i="1"/>
  <c r="H136" i="1"/>
  <c r="H140" i="1"/>
  <c r="H142" i="1"/>
  <c r="H144" i="1"/>
  <c r="H129" i="1"/>
  <c r="E14" i="1"/>
  <c r="AR10" i="1"/>
  <c r="I128" i="1"/>
  <c r="Z10" i="1"/>
  <c r="O13" i="1"/>
  <c r="G13" i="1"/>
  <c r="M12" i="1"/>
  <c r="N13" i="1"/>
  <c r="F13" i="1"/>
  <c r="H12" i="1"/>
  <c r="Q13" i="1"/>
  <c r="M13" i="1"/>
  <c r="I13" i="1"/>
  <c r="S12" i="1"/>
  <c r="O12" i="1"/>
  <c r="K12" i="1"/>
  <c r="G12" i="1"/>
  <c r="Q12" i="1"/>
  <c r="J13" i="1"/>
  <c r="S13" i="1"/>
  <c r="K13" i="1"/>
  <c r="I12" i="1"/>
  <c r="R13" i="1"/>
  <c r="P12" i="1"/>
  <c r="L12" i="1"/>
  <c r="P13" i="1"/>
  <c r="L13" i="1"/>
  <c r="H13" i="1"/>
  <c r="R12" i="1"/>
  <c r="N12" i="1"/>
  <c r="J12" i="1"/>
  <c r="F12" i="1"/>
  <c r="J11" i="1"/>
  <c r="M11" i="1"/>
  <c r="I11" i="1"/>
  <c r="R11" i="1"/>
  <c r="N11" i="1"/>
  <c r="P11" i="1"/>
  <c r="L11" i="1"/>
  <c r="H11" i="1"/>
  <c r="Q11" i="1"/>
  <c r="S11" i="1"/>
  <c r="O11" i="1"/>
  <c r="K11" i="1"/>
  <c r="G11" i="1"/>
  <c r="F11" i="1"/>
  <c r="F14" i="1" a="1"/>
  <c r="Q14" i="1" a="1"/>
  <c r="I14" i="1" a="1"/>
  <c r="L14" i="1" a="1"/>
  <c r="S14" i="1" a="1"/>
  <c r="O14" i="1" a="1"/>
  <c r="H14" i="1" a="1"/>
  <c r="G14" i="1" a="1"/>
  <c r="R14" i="1" a="1"/>
  <c r="M14" i="1" a="1"/>
  <c r="J14" i="1" a="1"/>
  <c r="P14" i="1" a="1"/>
  <c r="K14" i="1" a="1"/>
  <c r="N14" i="1" a="1"/>
  <c r="AR14" i="1" a="1"/>
  <c r="Z14" i="1" a="1"/>
  <c r="Y14" i="1" a="1"/>
  <c r="X14" i="1" a="1"/>
  <c r="AQ14" i="1" a="1"/>
  <c r="AP14" i="1" a="1"/>
  <c r="Z13" i="1" a="1"/>
  <c r="Z12" i="1" a="1"/>
  <c r="Z11" i="1" a="1"/>
  <c r="AR13" i="1" a="1"/>
  <c r="AR12" i="1" a="1"/>
  <c r="AR11" i="1" a="1"/>
  <c r="I129" i="1" a="1"/>
  <c r="I144" i="1" a="1"/>
  <c r="I142" i="1" a="1"/>
  <c r="I140" i="1" a="1"/>
  <c r="I138" i="1" a="1"/>
  <c r="I136" i="1" a="1"/>
  <c r="I134" i="1" a="1"/>
  <c r="I132" i="1" a="1"/>
  <c r="I130" i="1" a="1"/>
  <c r="I145" i="1" a="1"/>
  <c r="I143" i="1" a="1"/>
  <c r="I141" i="1" a="1"/>
  <c r="I139" i="1" a="1"/>
  <c r="I137" i="1" a="1"/>
  <c r="I135" i="1" a="1"/>
  <c r="I133" i="1" a="1"/>
  <c r="I131" i="1" a="1"/>
  <c r="I131" i="1" l="1"/>
  <c r="I133" i="1"/>
  <c r="I135" i="1"/>
  <c r="I137" i="1"/>
  <c r="I139" i="1"/>
  <c r="I141" i="1"/>
  <c r="I143" i="1"/>
  <c r="I145" i="1"/>
  <c r="I130" i="1"/>
  <c r="I132" i="1"/>
  <c r="I134" i="1"/>
  <c r="I136" i="1"/>
  <c r="I138" i="1"/>
  <c r="I140" i="1"/>
  <c r="I142" i="1"/>
  <c r="I144" i="1"/>
  <c r="I129" i="1"/>
  <c r="AR11" i="1"/>
  <c r="AR12" i="1"/>
  <c r="AR13" i="1"/>
  <c r="Z11" i="1"/>
  <c r="Z12" i="1"/>
  <c r="Z13" i="1"/>
  <c r="AP14" i="1"/>
  <c r="AQ14" i="1"/>
  <c r="X14" i="1"/>
  <c r="Y14" i="1"/>
  <c r="Z14" i="1"/>
  <c r="AR14" i="1"/>
  <c r="N14" i="1"/>
  <c r="K14" i="1"/>
  <c r="P14" i="1"/>
  <c r="J14" i="1"/>
  <c r="M14" i="1"/>
  <c r="R14" i="1"/>
  <c r="G14" i="1"/>
  <c r="H14" i="1"/>
  <c r="O14" i="1"/>
  <c r="S14" i="1"/>
  <c r="L14" i="1"/>
  <c r="I14" i="1"/>
  <c r="Q14" i="1"/>
  <c r="F14" i="1"/>
  <c r="J128" i="1"/>
  <c r="AS10" i="1"/>
  <c r="E15" i="1"/>
  <c r="AA10" i="1"/>
  <c r="J129" i="1" a="1"/>
  <c r="J145" i="1" a="1"/>
  <c r="J143" i="1" a="1"/>
  <c r="J141" i="1" a="1"/>
  <c r="J139" i="1" a="1"/>
  <c r="J137" i="1" a="1"/>
  <c r="J135" i="1" a="1"/>
  <c r="J133" i="1" a="1"/>
  <c r="J131" i="1" a="1"/>
  <c r="J144" i="1" a="1"/>
  <c r="J142" i="1" a="1"/>
  <c r="J140" i="1" a="1"/>
  <c r="J138" i="1" a="1"/>
  <c r="J136" i="1" a="1"/>
  <c r="J134" i="1" a="1"/>
  <c r="J132" i="1" a="1"/>
  <c r="J130" i="1" a="1"/>
  <c r="AA14" i="1" a="1"/>
  <c r="AA13" i="1" a="1"/>
  <c r="AA12" i="1" a="1"/>
  <c r="AA11" i="1" a="1"/>
  <c r="R15" i="1" a="1"/>
  <c r="K15" i="1" a="1"/>
  <c r="J15" i="1" a="1"/>
  <c r="O15" i="1" a="1"/>
  <c r="N15" i="1" a="1"/>
  <c r="I15" i="1" a="1"/>
  <c r="G15" i="1" a="1"/>
  <c r="H15" i="1" a="1"/>
  <c r="L15" i="1" a="1"/>
  <c r="M15" i="1" a="1"/>
  <c r="P15" i="1" a="1"/>
  <c r="S15" i="1" a="1"/>
  <c r="Q15" i="1" a="1"/>
  <c r="F15" i="1" a="1"/>
  <c r="Z15" i="1" a="1"/>
  <c r="Y15" i="1" a="1"/>
  <c r="AP15" i="1" a="1"/>
  <c r="AS15" i="1" a="1"/>
  <c r="AR15" i="1" a="1"/>
  <c r="X15" i="1" a="1"/>
  <c r="AA15" i="1" a="1"/>
  <c r="AQ15" i="1" a="1"/>
  <c r="AS14" i="1" a="1"/>
  <c r="AS13" i="1" a="1"/>
  <c r="AS12" i="1" a="1"/>
  <c r="AS11" i="1" a="1"/>
  <c r="AS11" i="1" l="1"/>
  <c r="AS12" i="1"/>
  <c r="AS13" i="1"/>
  <c r="AS14" i="1"/>
  <c r="AQ15" i="1"/>
  <c r="AA15" i="1"/>
  <c r="X15" i="1"/>
  <c r="AR15" i="1"/>
  <c r="AS15" i="1"/>
  <c r="AP15" i="1"/>
  <c r="Y15" i="1"/>
  <c r="Z15" i="1"/>
  <c r="F15" i="1"/>
  <c r="Q15" i="1"/>
  <c r="S15" i="1"/>
  <c r="P15" i="1"/>
  <c r="M15" i="1"/>
  <c r="L15" i="1"/>
  <c r="H15" i="1"/>
  <c r="G15" i="1"/>
  <c r="I15" i="1"/>
  <c r="N15" i="1"/>
  <c r="O15" i="1"/>
  <c r="J15" i="1"/>
  <c r="K15" i="1"/>
  <c r="R15" i="1"/>
  <c r="AA11" i="1"/>
  <c r="AA12" i="1"/>
  <c r="AA13" i="1"/>
  <c r="AA14" i="1"/>
  <c r="J130" i="1"/>
  <c r="J132" i="1"/>
  <c r="J134" i="1"/>
  <c r="J136" i="1"/>
  <c r="J138" i="1"/>
  <c r="J140" i="1"/>
  <c r="J142" i="1"/>
  <c r="J144" i="1"/>
  <c r="J131" i="1"/>
  <c r="J133" i="1"/>
  <c r="J135" i="1"/>
  <c r="J137" i="1"/>
  <c r="J139" i="1"/>
  <c r="J141" i="1"/>
  <c r="J143" i="1"/>
  <c r="J145" i="1"/>
  <c r="J129" i="1"/>
  <c r="AT10" i="1"/>
  <c r="E16" i="1"/>
  <c r="K128" i="1"/>
  <c r="AB10" i="1"/>
  <c r="AT15" i="1" a="1"/>
  <c r="AT14" i="1" a="1"/>
  <c r="AT13" i="1" a="1"/>
  <c r="AT12" i="1" a="1"/>
  <c r="AT11" i="1" a="1"/>
  <c r="O16" i="1" a="1"/>
  <c r="P16" i="1" a="1"/>
  <c r="K16" i="1" a="1"/>
  <c r="H16" i="1" a="1"/>
  <c r="N16" i="1" a="1"/>
  <c r="J16" i="1" a="1"/>
  <c r="F16" i="1" a="1"/>
  <c r="Q16" i="1" a="1"/>
  <c r="G16" i="1" a="1"/>
  <c r="M16" i="1" a="1"/>
  <c r="L16" i="1" a="1"/>
  <c r="S16" i="1" a="1"/>
  <c r="I16" i="1" a="1"/>
  <c r="R16" i="1" a="1"/>
  <c r="X16" i="1" a="1"/>
  <c r="AA16" i="1" a="1"/>
  <c r="Y16" i="1" a="1"/>
  <c r="AQ16" i="1" a="1"/>
  <c r="AP16" i="1" a="1"/>
  <c r="AB16" i="1" a="1"/>
  <c r="Z16" i="1" a="1"/>
  <c r="AR16" i="1" a="1"/>
  <c r="AS16" i="1" a="1"/>
  <c r="AT16" i="1" a="1"/>
  <c r="K129" i="1" a="1"/>
  <c r="K145" i="1" a="1"/>
  <c r="K139" i="1" a="1"/>
  <c r="K143" i="1" a="1"/>
  <c r="K141" i="1" a="1"/>
  <c r="K137" i="1" a="1"/>
  <c r="K135" i="1" a="1"/>
  <c r="K133" i="1" a="1"/>
  <c r="K131" i="1" a="1"/>
  <c r="K144" i="1" a="1"/>
  <c r="K142" i="1" a="1"/>
  <c r="K140" i="1" a="1"/>
  <c r="K138" i="1" a="1"/>
  <c r="K136" i="1" a="1"/>
  <c r="K134" i="1" a="1"/>
  <c r="K132" i="1" a="1"/>
  <c r="K130" i="1" a="1"/>
  <c r="AB15" i="1" a="1"/>
  <c r="AB14" i="1" a="1"/>
  <c r="AB13" i="1" a="1"/>
  <c r="AB12" i="1" a="1"/>
  <c r="AB11" i="1" a="1"/>
  <c r="AB11" i="1" l="1"/>
  <c r="AB12" i="1"/>
  <c r="AB13" i="1"/>
  <c r="AB14" i="1"/>
  <c r="AB15" i="1"/>
  <c r="K130" i="1"/>
  <c r="K132" i="1"/>
  <c r="K134" i="1"/>
  <c r="K136" i="1"/>
  <c r="K138" i="1"/>
  <c r="K140" i="1"/>
  <c r="K142" i="1"/>
  <c r="K144" i="1"/>
  <c r="K131" i="1"/>
  <c r="K133" i="1"/>
  <c r="K135" i="1"/>
  <c r="K137" i="1"/>
  <c r="K141" i="1"/>
  <c r="K143" i="1"/>
  <c r="K139" i="1"/>
  <c r="K145" i="1"/>
  <c r="K129" i="1"/>
  <c r="AT16" i="1"/>
  <c r="AS16" i="1"/>
  <c r="AR16" i="1"/>
  <c r="Z16" i="1"/>
  <c r="AB16" i="1"/>
  <c r="AP16" i="1"/>
  <c r="AQ16" i="1"/>
  <c r="Y16" i="1"/>
  <c r="AA16" i="1"/>
  <c r="X16" i="1"/>
  <c r="R16" i="1"/>
  <c r="I16" i="1"/>
  <c r="S16" i="1"/>
  <c r="L16" i="1"/>
  <c r="M16" i="1"/>
  <c r="G16" i="1"/>
  <c r="Q16" i="1"/>
  <c r="F16" i="1"/>
  <c r="J16" i="1"/>
  <c r="N16" i="1"/>
  <c r="H16" i="1"/>
  <c r="K16" i="1"/>
  <c r="P16" i="1"/>
  <c r="O16" i="1"/>
  <c r="AT11" i="1"/>
  <c r="AT12" i="1"/>
  <c r="AT13" i="1"/>
  <c r="AT14" i="1"/>
  <c r="AT15" i="1"/>
  <c r="L128" i="1"/>
  <c r="E17" i="1"/>
  <c r="AU10" i="1"/>
  <c r="AC10" i="1"/>
  <c r="L129" i="1" a="1"/>
  <c r="L144" i="1" a="1"/>
  <c r="L142" i="1" a="1"/>
  <c r="L140" i="1" a="1"/>
  <c r="L136" i="1" a="1"/>
  <c r="L134" i="1" a="1"/>
  <c r="L132" i="1" a="1"/>
  <c r="L130" i="1" a="1"/>
  <c r="L138" i="1" a="1"/>
  <c r="L145" i="1" a="1"/>
  <c r="L143" i="1" a="1"/>
  <c r="L141" i="1" a="1"/>
  <c r="L139" i="1" a="1"/>
  <c r="L137" i="1" a="1"/>
  <c r="L135" i="1" a="1"/>
  <c r="L133" i="1" a="1"/>
  <c r="L131" i="1" a="1"/>
  <c r="H17" i="1" a="1"/>
  <c r="S17" i="1" a="1"/>
  <c r="G17" i="1" a="1"/>
  <c r="Q17" i="1" a="1"/>
  <c r="K17" i="1" a="1"/>
  <c r="N17" i="1" a="1"/>
  <c r="M17" i="1" a="1"/>
  <c r="P17" i="1" a="1"/>
  <c r="O17" i="1" a="1"/>
  <c r="I17" i="1" a="1"/>
  <c r="R17" i="1" a="1"/>
  <c r="L17" i="1" a="1"/>
  <c r="J17" i="1" a="1"/>
  <c r="F17" i="1" a="1"/>
  <c r="AT17" i="1" a="1"/>
  <c r="AC17" i="1" a="1"/>
  <c r="AA17" i="1" a="1"/>
  <c r="Y17" i="1" a="1"/>
  <c r="X17" i="1" a="1"/>
  <c r="AS17" i="1" a="1"/>
  <c r="AR17" i="1" a="1"/>
  <c r="AB17" i="1" a="1"/>
  <c r="Z17" i="1" a="1"/>
  <c r="AP17" i="1" a="1"/>
  <c r="AU17" i="1" a="1"/>
  <c r="AQ17" i="1" a="1"/>
  <c r="AU16" i="1" a="1"/>
  <c r="AU15" i="1" a="1"/>
  <c r="AU14" i="1" a="1"/>
  <c r="AU13" i="1" a="1"/>
  <c r="AU12" i="1" a="1"/>
  <c r="AU11" i="1" a="1"/>
  <c r="AC16" i="1" a="1"/>
  <c r="AC15" i="1" a="1"/>
  <c r="AC14" i="1" a="1"/>
  <c r="AC13" i="1" a="1"/>
  <c r="AC12" i="1" a="1"/>
  <c r="AC11" i="1" a="1"/>
  <c r="AC11" i="1" l="1"/>
  <c r="AC12" i="1"/>
  <c r="AC13" i="1"/>
  <c r="AC14" i="1"/>
  <c r="AC15" i="1"/>
  <c r="AC16" i="1"/>
  <c r="AU11" i="1"/>
  <c r="AU12" i="1"/>
  <c r="AU13" i="1"/>
  <c r="AU14" i="1"/>
  <c r="AU15" i="1"/>
  <c r="AU16" i="1"/>
  <c r="AQ17" i="1"/>
  <c r="AU17" i="1"/>
  <c r="AP17" i="1"/>
  <c r="Z17" i="1"/>
  <c r="AB17" i="1"/>
  <c r="AR17" i="1"/>
  <c r="AS17" i="1"/>
  <c r="X17" i="1"/>
  <c r="Y17" i="1"/>
  <c r="AA17" i="1"/>
  <c r="AC17" i="1"/>
  <c r="AT17" i="1"/>
  <c r="F17" i="1"/>
  <c r="J17" i="1"/>
  <c r="L17" i="1"/>
  <c r="R17" i="1"/>
  <c r="I17" i="1"/>
  <c r="O17" i="1"/>
  <c r="P17" i="1"/>
  <c r="M17" i="1"/>
  <c r="N17" i="1"/>
  <c r="K17" i="1"/>
  <c r="Q17" i="1"/>
  <c r="G17" i="1"/>
  <c r="S17" i="1"/>
  <c r="H17" i="1"/>
  <c r="L131" i="1"/>
  <c r="L133" i="1"/>
  <c r="L135" i="1"/>
  <c r="L137" i="1"/>
  <c r="L139" i="1"/>
  <c r="L141" i="1"/>
  <c r="L143" i="1"/>
  <c r="L145" i="1"/>
  <c r="L138" i="1"/>
  <c r="L130" i="1"/>
  <c r="L132" i="1"/>
  <c r="L134" i="1"/>
  <c r="L136" i="1"/>
  <c r="L140" i="1"/>
  <c r="L142" i="1"/>
  <c r="L144" i="1"/>
  <c r="L129" i="1"/>
  <c r="AV10" i="1"/>
  <c r="E18" i="1"/>
  <c r="M128" i="1"/>
  <c r="AD10" i="1"/>
  <c r="AV17" i="1" a="1"/>
  <c r="AV16" i="1" a="1"/>
  <c r="AV15" i="1" a="1"/>
  <c r="AV14" i="1" a="1"/>
  <c r="AV13" i="1" a="1"/>
  <c r="AV12" i="1" a="1"/>
  <c r="AV11" i="1" a="1"/>
  <c r="O18" i="1" a="1"/>
  <c r="K18" i="1" a="1"/>
  <c r="R18" i="1" a="1"/>
  <c r="G18" i="1" a="1"/>
  <c r="F18" i="1" a="1"/>
  <c r="N18" i="1" a="1"/>
  <c r="L18" i="1" a="1"/>
  <c r="I18" i="1" a="1"/>
  <c r="M18" i="1" a="1"/>
  <c r="P18" i="1" a="1"/>
  <c r="H18" i="1" a="1"/>
  <c r="J18" i="1" a="1"/>
  <c r="Q18" i="1" a="1"/>
  <c r="S18" i="1" a="1"/>
  <c r="Y18" i="1" a="1"/>
  <c r="AB18" i="1" a="1"/>
  <c r="AV18" i="1" a="1"/>
  <c r="Z18" i="1" a="1"/>
  <c r="AQ18" i="1" a="1"/>
  <c r="AP18" i="1" a="1"/>
  <c r="AD18" i="1" a="1"/>
  <c r="AS18" i="1" a="1"/>
  <c r="AU18" i="1" a="1"/>
  <c r="AT18" i="1" a="1"/>
  <c r="X18" i="1" a="1"/>
  <c r="AC18" i="1" a="1"/>
  <c r="AR18" i="1" a="1"/>
  <c r="AA18" i="1" a="1"/>
  <c r="M129" i="1" a="1"/>
  <c r="M144" i="1" a="1"/>
  <c r="M140" i="1" a="1"/>
  <c r="M142" i="1" a="1"/>
  <c r="M138" i="1" a="1"/>
  <c r="M136" i="1" a="1"/>
  <c r="M134" i="1" a="1"/>
  <c r="M132" i="1" a="1"/>
  <c r="M130" i="1" a="1"/>
  <c r="M145" i="1" a="1"/>
  <c r="M143" i="1" a="1"/>
  <c r="M141" i="1" a="1"/>
  <c r="M139" i="1" a="1"/>
  <c r="M137" i="1" a="1"/>
  <c r="M135" i="1" a="1"/>
  <c r="M133" i="1" a="1"/>
  <c r="M131" i="1" a="1"/>
  <c r="AD17" i="1" a="1"/>
  <c r="AD16" i="1" a="1"/>
  <c r="AD15" i="1" a="1"/>
  <c r="AD14" i="1" a="1"/>
  <c r="AD13" i="1" a="1"/>
  <c r="AD12" i="1" a="1"/>
  <c r="AD11" i="1" a="1"/>
  <c r="AD11" i="1" l="1"/>
  <c r="AD12" i="1"/>
  <c r="AD13" i="1"/>
  <c r="AD14" i="1"/>
  <c r="AD15" i="1"/>
  <c r="AD16" i="1"/>
  <c r="AD17" i="1"/>
  <c r="M131" i="1"/>
  <c r="M133" i="1"/>
  <c r="M135" i="1"/>
  <c r="M137" i="1"/>
  <c r="M139" i="1"/>
  <c r="M141" i="1"/>
  <c r="M143" i="1"/>
  <c r="M145" i="1"/>
  <c r="M130" i="1"/>
  <c r="M132" i="1"/>
  <c r="M134" i="1"/>
  <c r="M136" i="1"/>
  <c r="M138" i="1"/>
  <c r="M142" i="1"/>
  <c r="M140" i="1"/>
  <c r="M144" i="1"/>
  <c r="M129" i="1"/>
  <c r="AA18" i="1"/>
  <c r="AR18" i="1"/>
  <c r="AC18" i="1"/>
  <c r="X18" i="1"/>
  <c r="AT18" i="1"/>
  <c r="AU18" i="1"/>
  <c r="AS18" i="1"/>
  <c r="AD18" i="1"/>
  <c r="AP18" i="1"/>
  <c r="AQ18" i="1"/>
  <c r="Z18" i="1"/>
  <c r="AV18" i="1"/>
  <c r="AB18" i="1"/>
  <c r="Y18" i="1"/>
  <c r="S18" i="1"/>
  <c r="Q18" i="1"/>
  <c r="J18" i="1"/>
  <c r="H18" i="1"/>
  <c r="P18" i="1"/>
  <c r="M18" i="1"/>
  <c r="I18" i="1"/>
  <c r="L18" i="1"/>
  <c r="N18" i="1"/>
  <c r="F18" i="1"/>
  <c r="G18" i="1"/>
  <c r="R18" i="1"/>
  <c r="K18" i="1"/>
  <c r="O18" i="1"/>
  <c r="AV11" i="1"/>
  <c r="AV12" i="1"/>
  <c r="AV13" i="1"/>
  <c r="AV14" i="1"/>
  <c r="AV15" i="1"/>
  <c r="AV16" i="1"/>
  <c r="AV17" i="1"/>
  <c r="N128" i="1"/>
  <c r="E19" i="1"/>
  <c r="AW10" i="1"/>
  <c r="AE10" i="1"/>
  <c r="O19" i="1" a="1"/>
  <c r="Q19" i="1" a="1"/>
  <c r="G19" i="1" a="1"/>
  <c r="R19" i="1" a="1"/>
  <c r="M19" i="1" a="1"/>
  <c r="N19" i="1" a="1"/>
  <c r="I19" i="1" a="1"/>
  <c r="P19" i="1" a="1"/>
  <c r="F19" i="1" a="1"/>
  <c r="J19" i="1" a="1"/>
  <c r="S19" i="1" a="1"/>
  <c r="K19" i="1" a="1"/>
  <c r="L19" i="1" a="1"/>
  <c r="H19" i="1" a="1"/>
  <c r="AB19" i="1" a="1"/>
  <c r="AQ19" i="1" a="1"/>
  <c r="Y19" i="1" a="1"/>
  <c r="Z19" i="1" a="1"/>
  <c r="AT19" i="1" a="1"/>
  <c r="AE19" i="1" a="1"/>
  <c r="AP19" i="1" a="1"/>
  <c r="AC19" i="1" a="1"/>
  <c r="AW19" i="1" a="1"/>
  <c r="AV19" i="1" a="1"/>
  <c r="AA19" i="1" a="1"/>
  <c r="X19" i="1" a="1"/>
  <c r="AU19" i="1" a="1"/>
  <c r="AS19" i="1" a="1"/>
  <c r="AR19" i="1" a="1"/>
  <c r="AD19" i="1" a="1"/>
  <c r="N129" i="1" a="1"/>
  <c r="N145" i="1" a="1"/>
  <c r="N143" i="1" a="1"/>
  <c r="N141" i="1" a="1"/>
  <c r="N139" i="1" a="1"/>
  <c r="N137" i="1" a="1"/>
  <c r="N135" i="1" a="1"/>
  <c r="N133" i="1" a="1"/>
  <c r="N131" i="1" a="1"/>
  <c r="N144" i="1" a="1"/>
  <c r="N142" i="1" a="1"/>
  <c r="N140" i="1" a="1"/>
  <c r="N138" i="1" a="1"/>
  <c r="N136" i="1" a="1"/>
  <c r="N134" i="1" a="1"/>
  <c r="N132" i="1" a="1"/>
  <c r="N130" i="1" a="1"/>
  <c r="AE18" i="1" a="1"/>
  <c r="AE17" i="1" a="1"/>
  <c r="AE16" i="1" a="1"/>
  <c r="AE15" i="1" a="1"/>
  <c r="AE14" i="1" a="1"/>
  <c r="AE13" i="1" a="1"/>
  <c r="AE12" i="1" a="1"/>
  <c r="AE11" i="1" a="1"/>
  <c r="AW18" i="1" a="1"/>
  <c r="AW17" i="1" a="1"/>
  <c r="AW16" i="1" a="1"/>
  <c r="AW15" i="1" a="1"/>
  <c r="AW14" i="1" a="1"/>
  <c r="AW13" i="1" a="1"/>
  <c r="AW12" i="1" a="1"/>
  <c r="AW11" i="1" a="1"/>
  <c r="AW11" i="1" l="1"/>
  <c r="AW12" i="1"/>
  <c r="AW13" i="1"/>
  <c r="AW14" i="1"/>
  <c r="AW15" i="1"/>
  <c r="AW16" i="1"/>
  <c r="AW17" i="1"/>
  <c r="AW18" i="1"/>
  <c r="AE11" i="1"/>
  <c r="AE12" i="1"/>
  <c r="AE13" i="1"/>
  <c r="AE14" i="1"/>
  <c r="AE15" i="1"/>
  <c r="AE16" i="1"/>
  <c r="AE17" i="1"/>
  <c r="AE18" i="1"/>
  <c r="N130" i="1"/>
  <c r="N132" i="1"/>
  <c r="N134" i="1"/>
  <c r="N136" i="1"/>
  <c r="N138" i="1"/>
  <c r="N140" i="1"/>
  <c r="N142" i="1"/>
  <c r="N144" i="1"/>
  <c r="N131" i="1"/>
  <c r="N133" i="1"/>
  <c r="N135" i="1"/>
  <c r="N137" i="1"/>
  <c r="N139" i="1"/>
  <c r="N141" i="1"/>
  <c r="N143" i="1"/>
  <c r="N145" i="1"/>
  <c r="N129" i="1"/>
  <c r="AD19" i="1"/>
  <c r="AR19" i="1"/>
  <c r="AS19" i="1"/>
  <c r="AU19" i="1"/>
  <c r="X19" i="1"/>
  <c r="AA19" i="1"/>
  <c r="AV19" i="1"/>
  <c r="AW19" i="1"/>
  <c r="AC19" i="1"/>
  <c r="AP19" i="1"/>
  <c r="AE19" i="1"/>
  <c r="AT19" i="1"/>
  <c r="Z19" i="1"/>
  <c r="Y19" i="1"/>
  <c r="AQ19" i="1"/>
  <c r="AB19" i="1"/>
  <c r="H19" i="1"/>
  <c r="L19" i="1"/>
  <c r="K19" i="1"/>
  <c r="S19" i="1"/>
  <c r="J19" i="1"/>
  <c r="F19" i="1"/>
  <c r="P19" i="1"/>
  <c r="I19" i="1"/>
  <c r="N19" i="1"/>
  <c r="M19" i="1"/>
  <c r="R19" i="1"/>
  <c r="G19" i="1"/>
  <c r="Q19" i="1"/>
  <c r="O19" i="1"/>
  <c r="AX10" i="1"/>
  <c r="O128" i="1"/>
  <c r="E20" i="1"/>
  <c r="AF10" i="1"/>
  <c r="AX19" i="1" a="1"/>
  <c r="AX18" i="1" a="1"/>
  <c r="AX17" i="1" a="1"/>
  <c r="AX16" i="1" a="1"/>
  <c r="AX15" i="1" a="1"/>
  <c r="AX14" i="1" a="1"/>
  <c r="AX13" i="1" a="1"/>
  <c r="AX12" i="1" a="1"/>
  <c r="AX11" i="1" a="1"/>
  <c r="O129" i="1" a="1"/>
  <c r="O143" i="1" a="1"/>
  <c r="O145" i="1" a="1"/>
  <c r="O137" i="1" a="1"/>
  <c r="O141" i="1" a="1"/>
  <c r="O139" i="1" a="1"/>
  <c r="O135" i="1" a="1"/>
  <c r="O133" i="1" a="1"/>
  <c r="O131" i="1" a="1"/>
  <c r="O144" i="1" a="1"/>
  <c r="O142" i="1" a="1"/>
  <c r="O140" i="1" a="1"/>
  <c r="O138" i="1" a="1"/>
  <c r="O136" i="1" a="1"/>
  <c r="O134" i="1" a="1"/>
  <c r="O132" i="1" a="1"/>
  <c r="O130" i="1" a="1"/>
  <c r="J20" i="1" a="1"/>
  <c r="Q20" i="1" a="1"/>
  <c r="F20" i="1" a="1"/>
  <c r="P20" i="1" a="1"/>
  <c r="S20" i="1" a="1"/>
  <c r="O20" i="1" a="1"/>
  <c r="H20" i="1" a="1"/>
  <c r="I20" i="1" a="1"/>
  <c r="K20" i="1" a="1"/>
  <c r="R20" i="1" a="1"/>
  <c r="G20" i="1" a="1"/>
  <c r="N20" i="1" a="1"/>
  <c r="M20" i="1" a="1"/>
  <c r="L20" i="1" a="1"/>
  <c r="AC20" i="1" a="1"/>
  <c r="AD20" i="1" a="1"/>
  <c r="AF20" i="1" a="1"/>
  <c r="AA20" i="1" a="1"/>
  <c r="AX20" i="1" a="1"/>
  <c r="AE20" i="1" a="1"/>
  <c r="AR20" i="1" a="1"/>
  <c r="AU20" i="1" a="1"/>
  <c r="AT20" i="1" a="1"/>
  <c r="Z20" i="1" a="1"/>
  <c r="AW20" i="1" a="1"/>
  <c r="AQ20" i="1" a="1"/>
  <c r="AP20" i="1" a="1"/>
  <c r="Y20" i="1" a="1"/>
  <c r="AB20" i="1" a="1"/>
  <c r="AV20" i="1" a="1"/>
  <c r="X20" i="1" a="1"/>
  <c r="AS20" i="1" a="1"/>
  <c r="AF19" i="1" a="1"/>
  <c r="AF18" i="1" a="1"/>
  <c r="AF17" i="1" a="1"/>
  <c r="AF16" i="1" a="1"/>
  <c r="AF15" i="1" a="1"/>
  <c r="AF14" i="1" a="1"/>
  <c r="AF13" i="1" a="1"/>
  <c r="AF12" i="1" a="1"/>
  <c r="AF11" i="1" a="1"/>
  <c r="AF11" i="1" l="1"/>
  <c r="AF12" i="1"/>
  <c r="AF13" i="1"/>
  <c r="AF14" i="1"/>
  <c r="AF15" i="1"/>
  <c r="AF16" i="1"/>
  <c r="AF17" i="1"/>
  <c r="AF18" i="1"/>
  <c r="AF19" i="1"/>
  <c r="AS20" i="1"/>
  <c r="X20" i="1"/>
  <c r="AV20" i="1"/>
  <c r="AB20" i="1"/>
  <c r="Y20" i="1"/>
  <c r="AP20" i="1"/>
  <c r="AQ20" i="1"/>
  <c r="AW20" i="1"/>
  <c r="Z20" i="1"/>
  <c r="AT20" i="1"/>
  <c r="AU20" i="1"/>
  <c r="AR20" i="1"/>
  <c r="AE20" i="1"/>
  <c r="AX20" i="1"/>
  <c r="AA20" i="1"/>
  <c r="AF20" i="1"/>
  <c r="AD20" i="1"/>
  <c r="AC20" i="1"/>
  <c r="L20" i="1"/>
  <c r="M20" i="1"/>
  <c r="N20" i="1"/>
  <c r="G20" i="1"/>
  <c r="R20" i="1"/>
  <c r="K20" i="1"/>
  <c r="I20" i="1"/>
  <c r="H20" i="1"/>
  <c r="O20" i="1"/>
  <c r="S20" i="1"/>
  <c r="P20" i="1"/>
  <c r="F20" i="1"/>
  <c r="Q20" i="1"/>
  <c r="J20" i="1"/>
  <c r="O130" i="1"/>
  <c r="O132" i="1"/>
  <c r="O134" i="1"/>
  <c r="O136" i="1"/>
  <c r="O138" i="1"/>
  <c r="O140" i="1"/>
  <c r="O142" i="1"/>
  <c r="O144" i="1"/>
  <c r="O131" i="1"/>
  <c r="O133" i="1"/>
  <c r="O135" i="1"/>
  <c r="O139" i="1"/>
  <c r="O141" i="1"/>
  <c r="O137" i="1"/>
  <c r="O145" i="1"/>
  <c r="O143" i="1"/>
  <c r="O129" i="1"/>
  <c r="AX11" i="1"/>
  <c r="AX12" i="1"/>
  <c r="AX13" i="1"/>
  <c r="AX14" i="1"/>
  <c r="AX15" i="1"/>
  <c r="AX16" i="1"/>
  <c r="AX17" i="1"/>
  <c r="AX18" i="1"/>
  <c r="AX19" i="1"/>
  <c r="E21" i="1"/>
  <c r="P128" i="1"/>
  <c r="AY10" i="1"/>
  <c r="AG10" i="1"/>
  <c r="P129" i="1" a="1"/>
  <c r="P137" i="1" a="1"/>
  <c r="P144" i="1" a="1"/>
  <c r="P142" i="1" a="1"/>
  <c r="P140" i="1" a="1"/>
  <c r="P138" i="1" a="1"/>
  <c r="P136" i="1" a="1"/>
  <c r="P134" i="1" a="1"/>
  <c r="P132" i="1" a="1"/>
  <c r="P130" i="1" a="1"/>
  <c r="P145" i="1" a="1"/>
  <c r="P143" i="1" a="1"/>
  <c r="P141" i="1" a="1"/>
  <c r="P139" i="1" a="1"/>
  <c r="P135" i="1" a="1"/>
  <c r="P133" i="1" a="1"/>
  <c r="P131" i="1" a="1"/>
  <c r="F21" i="1" a="1"/>
  <c r="R21" i="1" a="1"/>
  <c r="S21" i="1" a="1"/>
  <c r="L21" i="1" a="1"/>
  <c r="K21" i="1" a="1"/>
  <c r="O21" i="1" a="1"/>
  <c r="H21" i="1" a="1"/>
  <c r="I21" i="1" a="1"/>
  <c r="N21" i="1" a="1"/>
  <c r="G21" i="1" a="1"/>
  <c r="J21" i="1" a="1"/>
  <c r="Q21" i="1" a="1"/>
  <c r="M21" i="1" a="1"/>
  <c r="P21" i="1" a="1"/>
  <c r="AG21" i="1" a="1"/>
  <c r="AP21" i="1" a="1"/>
  <c r="X21" i="1" a="1"/>
  <c r="AY21" i="1" a="1"/>
  <c r="AD21" i="1" a="1"/>
  <c r="AX21" i="1" a="1"/>
  <c r="AA21" i="1" a="1"/>
  <c r="Z21" i="1" a="1"/>
  <c r="AQ21" i="1" a="1"/>
  <c r="AE21" i="1" a="1"/>
  <c r="AF21" i="1" a="1"/>
  <c r="AT21" i="1" a="1"/>
  <c r="Y21" i="1" a="1"/>
  <c r="AU21" i="1" a="1"/>
  <c r="AC21" i="1" a="1"/>
  <c r="AW21" i="1" a="1"/>
  <c r="AV21" i="1" a="1"/>
  <c r="AS21" i="1" a="1"/>
  <c r="AR21" i="1" a="1"/>
  <c r="AB21" i="1" a="1"/>
  <c r="AY20" i="1" a="1"/>
  <c r="AY19" i="1" a="1"/>
  <c r="AY18" i="1" a="1"/>
  <c r="AY17" i="1" a="1"/>
  <c r="AY16" i="1" a="1"/>
  <c r="AY15" i="1" a="1"/>
  <c r="AY14" i="1" a="1"/>
  <c r="AY13" i="1" a="1"/>
  <c r="AY12" i="1" a="1"/>
  <c r="AY11" i="1" a="1"/>
  <c r="AG20" i="1" a="1"/>
  <c r="AG19" i="1" a="1"/>
  <c r="AG18" i="1" a="1"/>
  <c r="AG17" i="1" a="1"/>
  <c r="AG16" i="1" a="1"/>
  <c r="AG15" i="1" a="1"/>
  <c r="AG14" i="1" a="1"/>
  <c r="AG13" i="1" a="1"/>
  <c r="AG12" i="1" a="1"/>
  <c r="AG11" i="1" a="1"/>
  <c r="AG11" i="1" l="1"/>
  <c r="AG12" i="1"/>
  <c r="AG13" i="1"/>
  <c r="AG14" i="1"/>
  <c r="AG15" i="1"/>
  <c r="AG16" i="1"/>
  <c r="AG17" i="1"/>
  <c r="AG18" i="1"/>
  <c r="AG19" i="1"/>
  <c r="AG20" i="1"/>
  <c r="AY11" i="1"/>
  <c r="AY12" i="1"/>
  <c r="AY13" i="1"/>
  <c r="AY14" i="1"/>
  <c r="AY15" i="1"/>
  <c r="AY16" i="1"/>
  <c r="AY17" i="1"/>
  <c r="AY18" i="1"/>
  <c r="AY19" i="1"/>
  <c r="AY20" i="1"/>
  <c r="AB21" i="1"/>
  <c r="AR21" i="1"/>
  <c r="AS21" i="1"/>
  <c r="AV21" i="1"/>
  <c r="AW21" i="1"/>
  <c r="AC21" i="1"/>
  <c r="AU21" i="1"/>
  <c r="Y21" i="1"/>
  <c r="AT21" i="1"/>
  <c r="AF21" i="1"/>
  <c r="AE21" i="1"/>
  <c r="AQ21" i="1"/>
  <c r="Z21" i="1"/>
  <c r="AA21" i="1"/>
  <c r="AX21" i="1"/>
  <c r="AD21" i="1"/>
  <c r="AY21" i="1"/>
  <c r="X21" i="1"/>
  <c r="AP21" i="1"/>
  <c r="AG21" i="1"/>
  <c r="P21" i="1"/>
  <c r="M21" i="1"/>
  <c r="Q21" i="1"/>
  <c r="J21" i="1"/>
  <c r="G21" i="1"/>
  <c r="N21" i="1"/>
  <c r="I21" i="1"/>
  <c r="H21" i="1"/>
  <c r="O21" i="1"/>
  <c r="K21" i="1"/>
  <c r="L21" i="1"/>
  <c r="S21" i="1"/>
  <c r="R21" i="1"/>
  <c r="F21" i="1"/>
  <c r="P131" i="1"/>
  <c r="P133" i="1"/>
  <c r="P135" i="1"/>
  <c r="P139" i="1"/>
  <c r="P141" i="1"/>
  <c r="P143" i="1"/>
  <c r="P145" i="1"/>
  <c r="P130" i="1"/>
  <c r="P132" i="1"/>
  <c r="P134" i="1"/>
  <c r="P136" i="1"/>
  <c r="P138" i="1"/>
  <c r="P140" i="1"/>
  <c r="P142" i="1"/>
  <c r="P144" i="1"/>
  <c r="P137" i="1"/>
  <c r="P129" i="1"/>
  <c r="AZ10" i="1"/>
  <c r="E22" i="1"/>
  <c r="Q128" i="1"/>
  <c r="AH10" i="1"/>
  <c r="AZ21" i="1" a="1"/>
  <c r="AZ20" i="1" a="1"/>
  <c r="AZ19" i="1" a="1"/>
  <c r="AZ18" i="1" a="1"/>
  <c r="AZ17" i="1" a="1"/>
  <c r="AZ16" i="1" a="1"/>
  <c r="AZ15" i="1" a="1"/>
  <c r="AZ14" i="1" a="1"/>
  <c r="AZ13" i="1" a="1"/>
  <c r="AZ12" i="1" a="1"/>
  <c r="AZ11" i="1" a="1"/>
  <c r="P22" i="1" a="1"/>
  <c r="L22" i="1" a="1"/>
  <c r="M22" i="1" a="1"/>
  <c r="S22" i="1" a="1"/>
  <c r="N22" i="1" a="1"/>
  <c r="K22" i="1" a="1"/>
  <c r="J22" i="1" a="1"/>
  <c r="I22" i="1" a="1"/>
  <c r="Q22" i="1" a="1"/>
  <c r="G22" i="1" a="1"/>
  <c r="F22" i="1" a="1"/>
  <c r="O22" i="1" a="1"/>
  <c r="H22" i="1" a="1"/>
  <c r="R22" i="1" a="1"/>
  <c r="AC22" i="1" a="1"/>
  <c r="AS22" i="1" a="1"/>
  <c r="X22" i="1" a="1"/>
  <c r="Z22" i="1" a="1"/>
  <c r="AA22" i="1" a="1"/>
  <c r="AG22" i="1" a="1"/>
  <c r="AY22" i="1" a="1"/>
  <c r="AX22" i="1" a="1"/>
  <c r="AE22" i="1" a="1"/>
  <c r="AV22" i="1" a="1"/>
  <c r="AZ22" i="1" a="1"/>
  <c r="AR22" i="1" a="1"/>
  <c r="AU22" i="1" a="1"/>
  <c r="AT22" i="1" a="1"/>
  <c r="AD22" i="1" a="1"/>
  <c r="AF22" i="1" a="1"/>
  <c r="AQ22" i="1" a="1"/>
  <c r="AP22" i="1" a="1"/>
  <c r="Y22" i="1" a="1"/>
  <c r="AH22" i="1" a="1"/>
  <c r="AB22" i="1" a="1"/>
  <c r="AW22" i="1" a="1"/>
  <c r="Q129" i="1" a="1"/>
  <c r="Q144" i="1" a="1"/>
  <c r="Q142" i="1" a="1"/>
  <c r="Q140" i="1" a="1"/>
  <c r="Q138" i="1" a="1"/>
  <c r="Q136" i="1" a="1"/>
  <c r="Q134" i="1" a="1"/>
  <c r="Q132" i="1" a="1"/>
  <c r="Q130" i="1" a="1"/>
  <c r="Q145" i="1" a="1"/>
  <c r="Q143" i="1" a="1"/>
  <c r="Q141" i="1" a="1"/>
  <c r="Q139" i="1" a="1"/>
  <c r="Q137" i="1" a="1"/>
  <c r="Q135" i="1" a="1"/>
  <c r="Q133" i="1" a="1"/>
  <c r="Q131" i="1" a="1"/>
  <c r="AH21" i="1" a="1"/>
  <c r="AH20" i="1" a="1"/>
  <c r="AH19" i="1" a="1"/>
  <c r="AH18" i="1" a="1"/>
  <c r="AH17" i="1" a="1"/>
  <c r="AH16" i="1" a="1"/>
  <c r="AH15" i="1" a="1"/>
  <c r="AH14" i="1" a="1"/>
  <c r="AH13" i="1" a="1"/>
  <c r="AH12" i="1" a="1"/>
  <c r="AH11" i="1" a="1"/>
  <c r="AH11" i="1" l="1"/>
  <c r="AH12" i="1"/>
  <c r="AH13" i="1"/>
  <c r="AH14" i="1"/>
  <c r="AH15" i="1"/>
  <c r="AH16" i="1"/>
  <c r="AH17" i="1"/>
  <c r="AH18" i="1"/>
  <c r="AH19" i="1"/>
  <c r="AH20" i="1"/>
  <c r="AH21" i="1"/>
  <c r="Q131" i="1"/>
  <c r="Q133" i="1"/>
  <c r="Q135" i="1"/>
  <c r="Q137" i="1"/>
  <c r="Q139" i="1"/>
  <c r="Q141" i="1"/>
  <c r="Q143" i="1"/>
  <c r="Q145" i="1"/>
  <c r="Q130" i="1"/>
  <c r="Q132" i="1"/>
  <c r="Q134" i="1"/>
  <c r="Q136" i="1"/>
  <c r="Q138" i="1"/>
  <c r="Q140" i="1"/>
  <c r="Q142" i="1"/>
  <c r="Q144" i="1"/>
  <c r="Q129" i="1"/>
  <c r="AW22" i="1"/>
  <c r="AB22" i="1"/>
  <c r="AH22" i="1"/>
  <c r="Y22" i="1"/>
  <c r="AP22" i="1"/>
  <c r="AQ22" i="1"/>
  <c r="AF22" i="1"/>
  <c r="AD22" i="1"/>
  <c r="AT22" i="1"/>
  <c r="AU22" i="1"/>
  <c r="AR22" i="1"/>
  <c r="AZ22" i="1"/>
  <c r="AV22" i="1"/>
  <c r="AE22" i="1"/>
  <c r="AX22" i="1"/>
  <c r="AY22" i="1"/>
  <c r="AG22" i="1"/>
  <c r="AA22" i="1"/>
  <c r="Z22" i="1"/>
  <c r="X22" i="1"/>
  <c r="AS22" i="1"/>
  <c r="AC22" i="1"/>
  <c r="R22" i="1"/>
  <c r="H22" i="1"/>
  <c r="O22" i="1"/>
  <c r="F22" i="1"/>
  <c r="G22" i="1"/>
  <c r="Q22" i="1"/>
  <c r="I22" i="1"/>
  <c r="J22" i="1"/>
  <c r="K22" i="1"/>
  <c r="N22" i="1"/>
  <c r="S22" i="1"/>
  <c r="M22" i="1"/>
  <c r="L22" i="1"/>
  <c r="P22" i="1"/>
  <c r="AZ11" i="1"/>
  <c r="AZ12" i="1"/>
  <c r="AZ13" i="1"/>
  <c r="AZ14" i="1"/>
  <c r="AZ15" i="1"/>
  <c r="AZ16" i="1"/>
  <c r="AZ17" i="1"/>
  <c r="AZ18" i="1"/>
  <c r="AZ19" i="1"/>
  <c r="AZ20" i="1"/>
  <c r="AZ21" i="1"/>
  <c r="R128" i="1"/>
  <c r="E23" i="1"/>
  <c r="BA10" i="1"/>
  <c r="AI10" i="1"/>
  <c r="L23" i="1" a="1"/>
  <c r="J23" i="1" a="1"/>
  <c r="O23" i="1" a="1"/>
  <c r="H23" i="1" a="1"/>
  <c r="S23" i="1" a="1"/>
  <c r="I23" i="1" a="1"/>
  <c r="R23" i="1" a="1"/>
  <c r="Q23" i="1" a="1"/>
  <c r="P23" i="1" a="1"/>
  <c r="K23" i="1" a="1"/>
  <c r="N23" i="1" a="1"/>
  <c r="G23" i="1" a="1"/>
  <c r="F23" i="1" a="1"/>
  <c r="M23" i="1" a="1"/>
  <c r="AT23" i="1" a="1"/>
  <c r="AE23" i="1" a="1"/>
  <c r="AH23" i="1" a="1"/>
  <c r="AF23" i="1" a="1"/>
  <c r="AD23" i="1" a="1"/>
  <c r="AB23" i="1" a="1"/>
  <c r="AU23" i="1" a="1"/>
  <c r="AI23" i="1" a="1"/>
  <c r="AA23" i="1" a="1"/>
  <c r="Z23" i="1" a="1"/>
  <c r="Y23" i="1" a="1"/>
  <c r="X23" i="1" a="1"/>
  <c r="AC23" i="1" a="1"/>
  <c r="BA23" i="1" a="1"/>
  <c r="AZ23" i="1" a="1"/>
  <c r="AX23" i="1" a="1"/>
  <c r="AW23" i="1" a="1"/>
  <c r="AV23" i="1" a="1"/>
  <c r="AG23" i="1" a="1"/>
  <c r="AP23" i="1" a="1"/>
  <c r="AY23" i="1" a="1"/>
  <c r="AQ23" i="1" a="1"/>
  <c r="AS23" i="1" a="1"/>
  <c r="AR23" i="1" a="1"/>
  <c r="BA22" i="1" a="1"/>
  <c r="BA21" i="1" a="1"/>
  <c r="BA20" i="1" a="1"/>
  <c r="BA19" i="1" a="1"/>
  <c r="BA18" i="1" a="1"/>
  <c r="BA17" i="1" a="1"/>
  <c r="BA16" i="1" a="1"/>
  <c r="BA15" i="1" a="1"/>
  <c r="BA14" i="1" a="1"/>
  <c r="BA13" i="1" a="1"/>
  <c r="BA12" i="1" a="1"/>
  <c r="BA11" i="1" a="1"/>
  <c r="R129" i="1" a="1"/>
  <c r="R145" i="1" a="1"/>
  <c r="R143" i="1" a="1"/>
  <c r="R141" i="1" a="1"/>
  <c r="R139" i="1" a="1"/>
  <c r="R135" i="1" a="1"/>
  <c r="R133" i="1" a="1"/>
  <c r="R131" i="1" a="1"/>
  <c r="R137" i="1" a="1"/>
  <c r="R144" i="1" a="1"/>
  <c r="R142" i="1" a="1"/>
  <c r="R140" i="1" a="1"/>
  <c r="R138" i="1" a="1"/>
  <c r="R136" i="1" a="1"/>
  <c r="R134" i="1" a="1"/>
  <c r="R132" i="1" a="1"/>
  <c r="R130" i="1" a="1"/>
  <c r="AI22" i="1" a="1"/>
  <c r="AI21" i="1" a="1"/>
  <c r="AI20" i="1" a="1"/>
  <c r="AI19" i="1" a="1"/>
  <c r="AI18" i="1" a="1"/>
  <c r="AI17" i="1" a="1"/>
  <c r="AI16" i="1" a="1"/>
  <c r="AI15" i="1" a="1"/>
  <c r="AI14" i="1" a="1"/>
  <c r="AI13" i="1" a="1"/>
  <c r="AI12" i="1" a="1"/>
  <c r="AI11" i="1" a="1"/>
  <c r="AI11" i="1" l="1"/>
  <c r="AI12" i="1"/>
  <c r="AI13" i="1"/>
  <c r="AI14" i="1"/>
  <c r="AI15" i="1"/>
  <c r="AI16" i="1"/>
  <c r="AI17" i="1"/>
  <c r="AI18" i="1"/>
  <c r="AI19" i="1"/>
  <c r="AI20" i="1"/>
  <c r="AI21" i="1"/>
  <c r="AI22" i="1"/>
  <c r="R130" i="1"/>
  <c r="R132" i="1"/>
  <c r="R134" i="1"/>
  <c r="R136" i="1"/>
  <c r="R138" i="1"/>
  <c r="R140" i="1"/>
  <c r="R142" i="1"/>
  <c r="R144" i="1"/>
  <c r="R137" i="1"/>
  <c r="R131" i="1"/>
  <c r="R133" i="1"/>
  <c r="R135" i="1"/>
  <c r="R139" i="1"/>
  <c r="R141" i="1"/>
  <c r="R143" i="1"/>
  <c r="R145" i="1"/>
  <c r="R129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AR23" i="1"/>
  <c r="AS23" i="1"/>
  <c r="AQ23" i="1"/>
  <c r="AY23" i="1"/>
  <c r="AP23" i="1"/>
  <c r="AG23" i="1"/>
  <c r="AV23" i="1"/>
  <c r="AW23" i="1"/>
  <c r="AX23" i="1"/>
  <c r="AZ23" i="1"/>
  <c r="BA23" i="1"/>
  <c r="AC23" i="1"/>
  <c r="X23" i="1"/>
  <c r="Y23" i="1"/>
  <c r="Z23" i="1"/>
  <c r="AA23" i="1"/>
  <c r="AI23" i="1"/>
  <c r="AU23" i="1"/>
  <c r="AB23" i="1"/>
  <c r="AD23" i="1"/>
  <c r="AF23" i="1"/>
  <c r="AH23" i="1"/>
  <c r="AE23" i="1"/>
  <c r="AT23" i="1"/>
  <c r="M23" i="1"/>
  <c r="F23" i="1"/>
  <c r="G23" i="1"/>
  <c r="N23" i="1"/>
  <c r="K23" i="1"/>
  <c r="P23" i="1"/>
  <c r="Q23" i="1"/>
  <c r="R23" i="1"/>
  <c r="I23" i="1"/>
  <c r="S23" i="1"/>
  <c r="H23" i="1"/>
  <c r="O23" i="1"/>
  <c r="J23" i="1"/>
  <c r="L23" i="1"/>
  <c r="S128" i="1"/>
  <c r="BB10" i="1"/>
  <c r="E24" i="1"/>
  <c r="AJ10" i="1"/>
  <c r="S129" i="1" a="1"/>
  <c r="S143" i="1" a="1"/>
  <c r="S145" i="1" a="1"/>
  <c r="S141" i="1" a="1"/>
  <c r="S139" i="1" a="1"/>
  <c r="S137" i="1" a="1"/>
  <c r="S135" i="1" a="1"/>
  <c r="S133" i="1" a="1"/>
  <c r="S131" i="1" a="1"/>
  <c r="S144" i="1" a="1"/>
  <c r="S142" i="1" a="1"/>
  <c r="S140" i="1" a="1"/>
  <c r="S138" i="1" a="1"/>
  <c r="S136" i="1" a="1"/>
  <c r="S134" i="1" a="1"/>
  <c r="S132" i="1" a="1"/>
  <c r="S130" i="1" a="1"/>
  <c r="BB23" i="1" a="1"/>
  <c r="BB22" i="1" a="1"/>
  <c r="BB21" i="1" a="1"/>
  <c r="BB20" i="1" a="1"/>
  <c r="BB19" i="1" a="1"/>
  <c r="BB18" i="1" a="1"/>
  <c r="BB17" i="1" a="1"/>
  <c r="BB16" i="1" a="1"/>
  <c r="BB15" i="1" a="1"/>
  <c r="BB14" i="1" a="1"/>
  <c r="BB13" i="1" a="1"/>
  <c r="BB12" i="1" a="1"/>
  <c r="BB11" i="1" a="1"/>
  <c r="AJ23" i="1" a="1"/>
  <c r="AJ22" i="1" a="1"/>
  <c r="AJ21" i="1" a="1"/>
  <c r="AJ20" i="1" a="1"/>
  <c r="AJ19" i="1" a="1"/>
  <c r="AJ18" i="1" a="1"/>
  <c r="AJ17" i="1" a="1"/>
  <c r="AJ16" i="1" a="1"/>
  <c r="AJ15" i="1" a="1"/>
  <c r="AJ14" i="1" a="1"/>
  <c r="AJ13" i="1" a="1"/>
  <c r="AJ12" i="1" a="1"/>
  <c r="AJ11" i="1" a="1"/>
  <c r="O24" i="1" a="1"/>
  <c r="G24" i="1" a="1"/>
  <c r="M24" i="1" a="1"/>
  <c r="P24" i="1" a="1"/>
  <c r="H24" i="1" a="1"/>
  <c r="N24" i="1" a="1"/>
  <c r="J24" i="1" a="1"/>
  <c r="R24" i="1" a="1"/>
  <c r="I24" i="1" a="1"/>
  <c r="Q24" i="1" a="1"/>
  <c r="L24" i="1" a="1"/>
  <c r="S24" i="1" a="1"/>
  <c r="K24" i="1" a="1"/>
  <c r="F24" i="1" a="1"/>
  <c r="AE24" i="1" a="1"/>
  <c r="Y24" i="1" a="1"/>
  <c r="AB24" i="1" a="1"/>
  <c r="AH24" i="1" a="1"/>
  <c r="AS24" i="1" a="1"/>
  <c r="AG24" i="1" a="1"/>
  <c r="Z24" i="1" a="1"/>
  <c r="AA24" i="1" a="1"/>
  <c r="AY24" i="1" a="1"/>
  <c r="AU24" i="1" a="1"/>
  <c r="BB24" i="1" a="1"/>
  <c r="AR24" i="1" a="1"/>
  <c r="AX24" i="1" a="1"/>
  <c r="AJ24" i="1" a="1"/>
  <c r="AW24" i="1" a="1"/>
  <c r="BA24" i="1" a="1"/>
  <c r="AQ24" i="1" a="1"/>
  <c r="AP24" i="1" a="1"/>
  <c r="AT24" i="1" a="1"/>
  <c r="AI24" i="1" a="1"/>
  <c r="AD24" i="1" a="1"/>
  <c r="AF24" i="1" a="1"/>
  <c r="AZ24" i="1" a="1"/>
  <c r="AV24" i="1" a="1"/>
  <c r="AC24" i="1" a="1"/>
  <c r="X24" i="1" a="1"/>
  <c r="X24" i="1" l="1"/>
  <c r="AC24" i="1"/>
  <c r="AV24" i="1"/>
  <c r="AZ24" i="1"/>
  <c r="AF24" i="1"/>
  <c r="AD24" i="1"/>
  <c r="AI24" i="1"/>
  <c r="AT24" i="1"/>
  <c r="AP24" i="1"/>
  <c r="AQ24" i="1"/>
  <c r="BA24" i="1"/>
  <c r="AW24" i="1"/>
  <c r="AJ24" i="1"/>
  <c r="AX24" i="1"/>
  <c r="AR24" i="1"/>
  <c r="BB24" i="1"/>
  <c r="AU24" i="1"/>
  <c r="AY24" i="1"/>
  <c r="AA24" i="1"/>
  <c r="Z24" i="1"/>
  <c r="AG24" i="1"/>
  <c r="AS24" i="1"/>
  <c r="AH24" i="1"/>
  <c r="AB24" i="1"/>
  <c r="Y24" i="1"/>
  <c r="AE24" i="1"/>
  <c r="F24" i="1"/>
  <c r="K24" i="1"/>
  <c r="S24" i="1"/>
  <c r="L24" i="1"/>
  <c r="Q24" i="1"/>
  <c r="I24" i="1"/>
  <c r="R24" i="1"/>
  <c r="J24" i="1"/>
  <c r="N24" i="1"/>
  <c r="H24" i="1"/>
  <c r="P24" i="1"/>
  <c r="M24" i="1"/>
  <c r="G24" i="1"/>
  <c r="O24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S130" i="1"/>
  <c r="S132" i="1"/>
  <c r="S134" i="1"/>
  <c r="S136" i="1"/>
  <c r="S138" i="1"/>
  <c r="S140" i="1"/>
  <c r="S142" i="1"/>
  <c r="S144" i="1"/>
  <c r="S131" i="1"/>
  <c r="S133" i="1"/>
  <c r="S135" i="1"/>
  <c r="S137" i="1"/>
  <c r="S139" i="1"/>
  <c r="S141" i="1"/>
  <c r="S145" i="1"/>
  <c r="S143" i="1"/>
  <c r="S129" i="1"/>
  <c r="E25" i="1"/>
  <c r="BC10" i="1"/>
  <c r="AK10" i="1"/>
  <c r="AK24" i="1" a="1"/>
  <c r="AK23" i="1" a="1"/>
  <c r="AK22" i="1" a="1"/>
  <c r="AK21" i="1" a="1"/>
  <c r="AK20" i="1" a="1"/>
  <c r="AK19" i="1" a="1"/>
  <c r="AK18" i="1" a="1"/>
  <c r="AK17" i="1" a="1"/>
  <c r="AK16" i="1" a="1"/>
  <c r="AK15" i="1" a="1"/>
  <c r="AK14" i="1" a="1"/>
  <c r="AK13" i="1" a="1"/>
  <c r="AK12" i="1" a="1"/>
  <c r="AK11" i="1" a="1"/>
  <c r="K25" i="1" a="1"/>
  <c r="M25" i="1" a="1"/>
  <c r="R25" i="1" a="1"/>
  <c r="P25" i="1" a="1"/>
  <c r="I25" i="1" a="1"/>
  <c r="L25" i="1" a="1"/>
  <c r="G25" i="1" a="1"/>
  <c r="N25" i="1" a="1"/>
  <c r="S25" i="1" a="1"/>
  <c r="F25" i="1" a="1"/>
  <c r="H25" i="1" a="1"/>
  <c r="O25" i="1" a="1"/>
  <c r="J25" i="1" a="1"/>
  <c r="Q25" i="1" a="1"/>
  <c r="AC25" i="1" a="1"/>
  <c r="Z25" i="1" a="1"/>
  <c r="AS25" i="1" a="1"/>
  <c r="AA25" i="1" a="1"/>
  <c r="BA25" i="1" a="1"/>
  <c r="AG25" i="1" a="1"/>
  <c r="AP25" i="1" a="1"/>
  <c r="AJ25" i="1" a="1"/>
  <c r="AQ25" i="1" a="1"/>
  <c r="AK25" i="1" a="1"/>
  <c r="AH25" i="1" a="1"/>
  <c r="BC25" i="1" a="1"/>
  <c r="AR25" i="1" a="1"/>
  <c r="AB25" i="1" a="1"/>
  <c r="AF25" i="1" a="1"/>
  <c r="AI25" i="1" a="1"/>
  <c r="AD25" i="1" a="1"/>
  <c r="AW25" i="1" a="1"/>
  <c r="AX25" i="1" a="1"/>
  <c r="AE25" i="1" a="1"/>
  <c r="AT25" i="1" a="1"/>
  <c r="Y25" i="1" a="1"/>
  <c r="BB25" i="1" a="1"/>
  <c r="AZ25" i="1" a="1"/>
  <c r="X25" i="1" a="1"/>
  <c r="AY25" i="1" a="1"/>
  <c r="AU25" i="1" a="1"/>
  <c r="AV25" i="1" a="1"/>
  <c r="BC24" i="1" a="1"/>
  <c r="BC23" i="1" a="1"/>
  <c r="BC22" i="1" a="1"/>
  <c r="BC21" i="1" a="1"/>
  <c r="BC20" i="1" a="1"/>
  <c r="BC19" i="1" a="1"/>
  <c r="BC18" i="1" a="1"/>
  <c r="BC17" i="1" a="1"/>
  <c r="BC16" i="1" a="1"/>
  <c r="BC15" i="1" a="1"/>
  <c r="BC14" i="1" a="1"/>
  <c r="BC13" i="1" a="1"/>
  <c r="BC12" i="1" a="1"/>
  <c r="BC11" i="1" a="1"/>
  <c r="BC11" i="1" l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AV25" i="1"/>
  <c r="AU25" i="1"/>
  <c r="AY25" i="1"/>
  <c r="X25" i="1"/>
  <c r="AZ25" i="1"/>
  <c r="BB25" i="1"/>
  <c r="Y25" i="1"/>
  <c r="AT25" i="1"/>
  <c r="AE25" i="1"/>
  <c r="AX25" i="1"/>
  <c r="AW25" i="1"/>
  <c r="AD25" i="1"/>
  <c r="AI25" i="1"/>
  <c r="AF25" i="1"/>
  <c r="AB25" i="1"/>
  <c r="AR25" i="1"/>
  <c r="BC25" i="1"/>
  <c r="AH25" i="1"/>
  <c r="AK25" i="1"/>
  <c r="AQ25" i="1"/>
  <c r="AJ25" i="1"/>
  <c r="AP25" i="1"/>
  <c r="AG25" i="1"/>
  <c r="BA25" i="1"/>
  <c r="AA25" i="1"/>
  <c r="AS25" i="1"/>
  <c r="Z25" i="1"/>
  <c r="AC25" i="1"/>
  <c r="Q25" i="1"/>
  <c r="J25" i="1"/>
  <c r="O25" i="1"/>
  <c r="H25" i="1"/>
  <c r="F25" i="1"/>
  <c r="S25" i="1"/>
  <c r="N25" i="1"/>
  <c r="G25" i="1"/>
  <c r="L25" i="1"/>
  <c r="I25" i="1"/>
  <c r="P25" i="1"/>
  <c r="R25" i="1"/>
  <c r="M25" i="1"/>
  <c r="K25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E26" i="1"/>
  <c r="M26" i="1" a="1"/>
  <c r="N26" i="1" a="1"/>
  <c r="G26" i="1" a="1"/>
  <c r="L26" i="1" a="1"/>
  <c r="F26" i="1" a="1"/>
  <c r="I26" i="1" a="1"/>
  <c r="P26" i="1" a="1"/>
  <c r="S26" i="1" a="1"/>
  <c r="Q26" i="1" a="1"/>
  <c r="K26" i="1" a="1"/>
  <c r="R26" i="1" a="1"/>
  <c r="H26" i="1" a="1"/>
  <c r="O26" i="1" a="1"/>
  <c r="J26" i="1" a="1"/>
  <c r="AF26" i="1" a="1"/>
  <c r="AR26" i="1" a="1"/>
  <c r="Z26" i="1" a="1"/>
  <c r="AW26" i="1" a="1"/>
  <c r="AG26" i="1" a="1"/>
  <c r="AA26" i="1" a="1"/>
  <c r="AD26" i="1" a="1"/>
  <c r="BA26" i="1" a="1"/>
  <c r="AQ26" i="1" a="1"/>
  <c r="AK26" i="1" a="1"/>
  <c r="X26" i="1" a="1"/>
  <c r="AU26" i="1" a="1"/>
  <c r="AI26" i="1" a="1"/>
  <c r="AS26" i="1" a="1"/>
  <c r="BB26" i="1" a="1"/>
  <c r="AH26" i="1" a="1"/>
  <c r="BC26" i="1" a="1"/>
  <c r="AT26" i="1" a="1"/>
  <c r="AX26" i="1" a="1"/>
  <c r="AC26" i="1" a="1"/>
  <c r="Y26" i="1" a="1"/>
  <c r="AJ26" i="1" a="1"/>
  <c r="AY26" i="1" a="1"/>
  <c r="AV26" i="1" a="1"/>
  <c r="AP26" i="1" a="1"/>
  <c r="AE26" i="1" a="1"/>
  <c r="AB26" i="1" a="1"/>
  <c r="AZ26" i="1" a="1"/>
  <c r="AZ26" i="1" l="1"/>
  <c r="AB26" i="1"/>
  <c r="AE26" i="1"/>
  <c r="AP26" i="1"/>
  <c r="AV26" i="1"/>
  <c r="AY26" i="1"/>
  <c r="AJ26" i="1"/>
  <c r="Y26" i="1"/>
  <c r="AC26" i="1"/>
  <c r="AX26" i="1"/>
  <c r="AT26" i="1"/>
  <c r="BC26" i="1"/>
  <c r="AH26" i="1"/>
  <c r="BB26" i="1"/>
  <c r="AS26" i="1"/>
  <c r="AI26" i="1"/>
  <c r="AU26" i="1"/>
  <c r="X26" i="1"/>
  <c r="AK26" i="1"/>
  <c r="AQ26" i="1"/>
  <c r="BA26" i="1"/>
  <c r="AD26" i="1"/>
  <c r="AA26" i="1"/>
  <c r="AG26" i="1"/>
  <c r="AW26" i="1"/>
  <c r="Z26" i="1"/>
  <c r="AR26" i="1"/>
  <c r="AF26" i="1"/>
  <c r="J26" i="1"/>
  <c r="O26" i="1"/>
  <c r="H26" i="1"/>
  <c r="R26" i="1"/>
  <c r="K26" i="1"/>
  <c r="Q26" i="1"/>
  <c r="S26" i="1"/>
  <c r="P26" i="1"/>
  <c r="I26" i="1"/>
  <c r="F26" i="1"/>
  <c r="L26" i="1"/>
  <c r="G26" i="1"/>
  <c r="N26" i="1"/>
  <c r="M26" i="1"/>
  <c r="E27" i="1"/>
  <c r="I27" i="1" a="1"/>
  <c r="F27" i="1" a="1"/>
  <c r="S27" i="1" a="1"/>
  <c r="R27" i="1" a="1"/>
  <c r="K27" i="1" a="1"/>
  <c r="J27" i="1" a="1"/>
  <c r="P27" i="1" a="1"/>
  <c r="H27" i="1" a="1"/>
  <c r="M27" i="1" a="1"/>
  <c r="Q27" i="1" a="1"/>
  <c r="O27" i="1" a="1"/>
  <c r="G27" i="1" a="1"/>
  <c r="N27" i="1" a="1"/>
  <c r="L27" i="1" a="1"/>
  <c r="AY27" i="1" a="1"/>
  <c r="AU27" i="1" a="1"/>
  <c r="AG27" i="1" a="1"/>
  <c r="AE27" i="1" a="1"/>
  <c r="AD27" i="1" a="1"/>
  <c r="AX27" i="1" a="1"/>
  <c r="AJ27" i="1" a="1"/>
  <c r="AC27" i="1" a="1"/>
  <c r="AT27" i="1" a="1"/>
  <c r="AV27" i="1" a="1"/>
  <c r="AI27" i="1" a="1"/>
  <c r="AR27" i="1" a="1"/>
  <c r="AF27" i="1" a="1"/>
  <c r="AK27" i="1" a="1"/>
  <c r="AB27" i="1" a="1"/>
  <c r="Y27" i="1" a="1"/>
  <c r="AH27" i="1" a="1"/>
  <c r="BC27" i="1" a="1"/>
  <c r="Z27" i="1" a="1"/>
  <c r="AS27" i="1" a="1"/>
  <c r="BB27" i="1" a="1"/>
  <c r="AA27" i="1" a="1"/>
  <c r="X27" i="1" a="1"/>
  <c r="AW27" i="1" a="1"/>
  <c r="AQ27" i="1" a="1"/>
  <c r="BA27" i="1" a="1"/>
  <c r="AP27" i="1" a="1"/>
  <c r="AZ27" i="1" a="1"/>
  <c r="AZ27" i="1" l="1"/>
  <c r="AP27" i="1"/>
  <c r="BA27" i="1"/>
  <c r="AQ27" i="1"/>
  <c r="AW27" i="1"/>
  <c r="X27" i="1"/>
  <c r="AA27" i="1"/>
  <c r="BB27" i="1"/>
  <c r="AS27" i="1"/>
  <c r="Z27" i="1"/>
  <c r="BC27" i="1"/>
  <c r="AH27" i="1"/>
  <c r="Y27" i="1"/>
  <c r="AB27" i="1"/>
  <c r="AK27" i="1"/>
  <c r="AF27" i="1"/>
  <c r="AR27" i="1"/>
  <c r="AI27" i="1"/>
  <c r="AV27" i="1"/>
  <c r="AT27" i="1"/>
  <c r="AC27" i="1"/>
  <c r="AJ27" i="1"/>
  <c r="AX27" i="1"/>
  <c r="AD27" i="1"/>
  <c r="AE27" i="1"/>
  <c r="AG27" i="1"/>
  <c r="AU27" i="1"/>
  <c r="AY27" i="1"/>
  <c r="L27" i="1"/>
  <c r="N27" i="1"/>
  <c r="G27" i="1"/>
  <c r="O27" i="1"/>
  <c r="Q27" i="1"/>
  <c r="M27" i="1"/>
  <c r="H27" i="1"/>
  <c r="P27" i="1"/>
  <c r="J27" i="1"/>
  <c r="K27" i="1"/>
  <c r="R27" i="1"/>
  <c r="S27" i="1"/>
  <c r="F27" i="1"/>
  <c r="I2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ABEFEC-3396-49A8-B3EE-ABC97BF75C9C}" name="TMV.DE" type="6" refreshedVersion="8" background="1" saveData="1">
    <textPr codePage="850" sourceFile="C:\Users\ukg11058\Desktop\TMV.DE.csv" thousands=" " tab="0" comma="1">
      <textFields count="7"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<sst xmlns="http://schemas.openxmlformats.org/spreadsheetml/2006/main" count="147" uniqueCount="58">
  <si>
    <t>K</t>
  </si>
  <si>
    <t>r</t>
  </si>
  <si>
    <t>OPTION DELTA</t>
  </si>
  <si>
    <t>vol1</t>
  </si>
  <si>
    <t>vol2</t>
  </si>
  <si>
    <t>vol3</t>
  </si>
  <si>
    <t>(volatility = 0,2)</t>
  </si>
  <si>
    <t>(volatility = 0,3)</t>
  </si>
  <si>
    <t>(volatility = 0,1)</t>
  </si>
  <si>
    <t>OPTION THETA</t>
  </si>
  <si>
    <t>OPTION RHO</t>
  </si>
  <si>
    <t>OPTION VEGA</t>
  </si>
  <si>
    <t>VEGA</t>
  </si>
  <si>
    <t>GAMMA</t>
  </si>
  <si>
    <t xml:space="preserve">GAMMA </t>
  </si>
  <si>
    <t>PUT</t>
  </si>
  <si>
    <t>CALL</t>
  </si>
  <si>
    <t>Date</t>
  </si>
  <si>
    <t>Open</t>
  </si>
  <si>
    <t>High</t>
  </si>
  <si>
    <t>Low</t>
  </si>
  <si>
    <t>Close</t>
  </si>
  <si>
    <t>Adj Close</t>
  </si>
  <si>
    <t>Volume</t>
  </si>
  <si>
    <t>TMV historical Series</t>
  </si>
  <si>
    <t>Returns</t>
  </si>
  <si>
    <t>daily</t>
  </si>
  <si>
    <t>yearly</t>
  </si>
  <si>
    <t>VOLATILITY</t>
  </si>
  <si>
    <t>S0</t>
  </si>
  <si>
    <t>T</t>
  </si>
  <si>
    <t>Expiry</t>
  </si>
  <si>
    <t>2 months</t>
  </si>
  <si>
    <t>5 months</t>
  </si>
  <si>
    <t>11 months</t>
  </si>
  <si>
    <t>bid</t>
  </si>
  <si>
    <t>ask</t>
  </si>
  <si>
    <t>Refinitiv Options Data CALL</t>
  </si>
  <si>
    <t>Refinitiv Options Data PUT</t>
  </si>
  <si>
    <t>delta</t>
  </si>
  <si>
    <t>gamma</t>
  </si>
  <si>
    <t>vega</t>
  </si>
  <si>
    <t>theta</t>
  </si>
  <si>
    <t>rho</t>
  </si>
  <si>
    <t>Black-Scholes results</t>
  </si>
  <si>
    <t>EURIBOR</t>
  </si>
  <si>
    <t>price</t>
  </si>
  <si>
    <t>r(3 m)</t>
  </si>
  <si>
    <t>r(6m)</t>
  </si>
  <si>
    <t>r(1y)</t>
  </si>
  <si>
    <t>rel. Error (%)</t>
  </si>
  <si>
    <t>rel. Error(%)</t>
  </si>
  <si>
    <t>maturity</t>
  </si>
  <si>
    <t>strikes</t>
  </si>
  <si>
    <t>DELTA</t>
  </si>
  <si>
    <t>THETA</t>
  </si>
  <si>
    <t>RHO</t>
  </si>
  <si>
    <t>Greeks surface for TMV CALL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</si>
</sst>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9">
    <xf numFmtId="0" fontId="0" fillId="0" borderId="0" xfId="0"/>
    <xf numFmtId="0" fontId="0" fillId="0" borderId="1" xfId="0" applyBorder="1"/>
    <xf numFmtId="0" fontId="1" fillId="2" borderId="1" xfId="1" applyBorder="1"/>
    <xf numFmtId="14" fontId="0" fillId="0" borderId="0" xfId="0" applyNumberFormat="1"/>
    <xf numFmtId="0" fontId="2" fillId="3" borderId="1" xfId="2" applyBorder="1"/>
    <xf numFmtId="0" fontId="2" fillId="3" borderId="2" xfId="2" applyBorder="1"/>
    <xf numFmtId="0" fontId="2" fillId="3" borderId="0" xfId="2"/>
    <xf numFmtId="0" fontId="2" fillId="3" borderId="3" xfId="2" applyBorder="1"/>
    <xf numFmtId="0" fontId="0" fillId="0" borderId="0" xfId="0" applyAlignment="1">
      <alignment horizontal="center"/>
    </xf>
  </cellXfs>
  <cellStyles count="3">
    <cellStyle name="20% - Colore 2" xfId="1" builtinId="34"/>
    <cellStyle name="Colore 1" xfId="2" builtinId="29"/>
    <cellStyle name="Normale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Delta,</a:t>
            </a:r>
            <a:r>
              <a:rPr lang="it-IT" baseline="0"/>
              <a:t> volatility = 0,2</a:t>
            </a:r>
          </a:p>
        </c:rich>
      </c:tx>
      <c:layout>
        <c:manualLayout>
          <c:xMode val="edge"/>
          <c:yMode val="edge"/>
          <c:x val="0.36749300087489067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call!$F$10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call!$F$11:$F$27</c:f>
              <c:numCache>
                <c:formatCode>General</c:formatCode>
                <c:ptCount val="17"/>
                <c:pt idx="0">
                  <c:v>4.8964030371399111E-16</c:v>
                </c:pt>
                <c:pt idx="1">
                  <c:v>6.7189909908190016E-12</c:v>
                </c:pt>
                <c:pt idx="2">
                  <c:v>1.1217502453550677E-8</c:v>
                </c:pt>
                <c:pt idx="3">
                  <c:v>3.3782456328086734E-6</c:v>
                </c:pt>
                <c:pt idx="4">
                  <c:v>2.4998248472572982E-4</c:v>
                </c:pt>
                <c:pt idx="5">
                  <c:v>5.830908137902522E-3</c:v>
                </c:pt>
                <c:pt idx="6">
                  <c:v>5.2781549996934837E-2</c:v>
                </c:pt>
                <c:pt idx="7">
                  <c:v>0.22255758462414449</c:v>
                </c:pt>
                <c:pt idx="8">
                  <c:v>0.51891639999929629</c:v>
                </c:pt>
                <c:pt idx="9">
                  <c:v>0.79357096026156482</c:v>
                </c:pt>
                <c:pt idx="10">
                  <c:v>0.93995791805464912</c:v>
                </c:pt>
                <c:pt idx="11">
                  <c:v>0.98800422406854482</c:v>
                </c:pt>
                <c:pt idx="12">
                  <c:v>0.99830623193923973</c:v>
                </c:pt>
                <c:pt idx="13">
                  <c:v>0.99982531626414572</c:v>
                </c:pt>
                <c:pt idx="14">
                  <c:v>0.99998640314018139</c:v>
                </c:pt>
                <c:pt idx="15">
                  <c:v>0.99999917643923686</c:v>
                </c:pt>
                <c:pt idx="16">
                  <c:v>0.99999996008829672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EE-450F-8AD5-3CA14D4CC361}"/>
            </c:ext>
          </c:extLst>
        </c:ser>
        <c:ser>
          <c:idx val="1"/>
          <c:order val="1"/>
          <c:tx>
            <c:strRef>
              <c:f>call!$G$10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call!$G$11:$G$27</c:f>
              <c:numCache>
                <c:formatCode>General</c:formatCode>
                <c:ptCount val="17"/>
                <c:pt idx="0">
                  <c:v>8.3013130785334355E-9</c:v>
                </c:pt>
                <c:pt idx="1">
                  <c:v>1.0210267589266487E-6</c:v>
                </c:pt>
                <c:pt idx="2">
                  <c:v>4.4152463014191854E-5</c:v>
                </c:pt>
                <c:pt idx="3">
                  <c:v>8.1830678243053191E-4</c:v>
                </c:pt>
                <c:pt idx="4">
                  <c:v>7.5966424381891306E-3</c:v>
                </c:pt>
                <c:pt idx="5">
                  <c:v>4.006477982445996E-2</c:v>
                </c:pt>
                <c:pt idx="6">
                  <c:v>0.13330906924780192</c:v>
                </c:pt>
                <c:pt idx="7">
                  <c:v>0.3062898934344146</c:v>
                </c:pt>
                <c:pt idx="8">
                  <c:v>0.5267418038869226</c:v>
                </c:pt>
                <c:pt idx="9">
                  <c:v>0.72992052908241489</c:v>
                </c:pt>
                <c:pt idx="10">
                  <c:v>0.87132614165736733</c:v>
                </c:pt>
                <c:pt idx="11">
                  <c:v>0.94841416414843493</c:v>
                </c:pt>
                <c:pt idx="12">
                  <c:v>0.9823760534317052</c:v>
                </c:pt>
                <c:pt idx="13">
                  <c:v>0.99479497737862488</c:v>
                </c:pt>
                <c:pt idx="14">
                  <c:v>0.99865188998007925</c:v>
                </c:pt>
                <c:pt idx="15">
                  <c:v>0.99968959215435294</c:v>
                </c:pt>
                <c:pt idx="16">
                  <c:v>0.99993565599706147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EE-450F-8AD5-3CA14D4CC361}"/>
            </c:ext>
          </c:extLst>
        </c:ser>
        <c:ser>
          <c:idx val="2"/>
          <c:order val="2"/>
          <c:tx>
            <c:strRef>
              <c:f>call!$H$10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call!$H$11:$H$27</c:f>
              <c:numCache>
                <c:formatCode>General</c:formatCode>
                <c:ptCount val="17"/>
                <c:pt idx="0">
                  <c:v>2.3135653326617214E-6</c:v>
                </c:pt>
                <c:pt idx="1">
                  <c:v>5.8978518150787037E-5</c:v>
                </c:pt>
                <c:pt idx="2">
                  <c:v>7.522257491842701E-4</c:v>
                </c:pt>
                <c:pt idx="3">
                  <c:v>5.4794346275411562E-3</c:v>
                </c:pt>
                <c:pt idx="4">
                  <c:v>2.5300139283739146E-2</c:v>
                </c:pt>
                <c:pt idx="5">
                  <c:v>8.0542811303141587E-2</c:v>
                </c:pt>
                <c:pt idx="6">
                  <c:v>0.18952524812777746</c:v>
                </c:pt>
                <c:pt idx="7">
                  <c:v>0.34971752968021519</c:v>
                </c:pt>
                <c:pt idx="8">
                  <c:v>0.53273961671267711</c:v>
                </c:pt>
                <c:pt idx="9">
                  <c:v>0.70109401201543442</c:v>
                </c:pt>
                <c:pt idx="10">
                  <c:v>0.82950660741686155</c:v>
                </c:pt>
                <c:pt idx="11">
                  <c:v>0.91276887593354383</c:v>
                </c:pt>
                <c:pt idx="12">
                  <c:v>0.95963958476134859</c:v>
                </c:pt>
                <c:pt idx="13">
                  <c:v>0.98296199066116863</c:v>
                </c:pt>
                <c:pt idx="14">
                  <c:v>0.99337921785148087</c:v>
                </c:pt>
                <c:pt idx="15">
                  <c:v>0.99761170131759624</c:v>
                </c:pt>
                <c:pt idx="16">
                  <c:v>0.99919396953371908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EE-450F-8AD5-3CA14D4CC361}"/>
            </c:ext>
          </c:extLst>
        </c:ser>
        <c:ser>
          <c:idx val="3"/>
          <c:order val="3"/>
          <c:tx>
            <c:strRef>
              <c:f>call!$I$10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call!$I$11:$I$27</c:f>
              <c:numCache>
                <c:formatCode>General</c:formatCode>
                <c:ptCount val="17"/>
                <c:pt idx="0">
                  <c:v>4.0139975424484934E-5</c:v>
                </c:pt>
                <c:pt idx="1">
                  <c:v>4.6519881412379274E-4</c:v>
                </c:pt>
                <c:pt idx="2">
                  <c:v>3.2160999955850558E-3</c:v>
                </c:pt>
                <c:pt idx="3">
                  <c:v>1.4648825269289092E-2</c:v>
                </c:pt>
                <c:pt idx="4">
                  <c:v>4.7535275559280651E-2</c:v>
                </c:pt>
                <c:pt idx="5">
                  <c:v>0.11703172121234477</c:v>
                </c:pt>
                <c:pt idx="6">
                  <c:v>0.23023301469857285</c:v>
                </c:pt>
                <c:pt idx="7">
                  <c:v>0.3780368656656477</c:v>
                </c:pt>
                <c:pt idx="8">
                  <c:v>0.53779029390666466</c:v>
                </c:pt>
                <c:pt idx="9">
                  <c:v>0.68459548536557624</c:v>
                </c:pt>
                <c:pt idx="10">
                  <c:v>0.80188165059672933</c:v>
                </c:pt>
                <c:pt idx="11">
                  <c:v>0.88488828305391432</c:v>
                </c:pt>
                <c:pt idx="12">
                  <c:v>0.93776106845399343</c:v>
                </c:pt>
                <c:pt idx="13">
                  <c:v>0.96848451708238714</c:v>
                </c:pt>
                <c:pt idx="14">
                  <c:v>0.98496017489321974</c:v>
                </c:pt>
                <c:pt idx="15">
                  <c:v>0.99319515409537595</c:v>
                </c:pt>
                <c:pt idx="16">
                  <c:v>0.99706463005532564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EE-450F-8AD5-3CA14D4CC361}"/>
            </c:ext>
          </c:extLst>
        </c:ser>
        <c:ser>
          <c:idx val="4"/>
          <c:order val="4"/>
          <c:tx>
            <c:strRef>
              <c:f>call!$J$10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call!$J$11:$J$27</c:f>
              <c:numCache>
                <c:formatCode>General</c:formatCode>
                <c:ptCount val="17"/>
                <c:pt idx="0">
                  <c:v>2.2743341786876357E-4</c:v>
                </c:pt>
                <c:pt idx="1">
                  <c:v>1.6409066155964737E-3</c:v>
                </c:pt>
                <c:pt idx="2">
                  <c:v>7.8458863408448522E-3</c:v>
                </c:pt>
                <c:pt idx="3">
                  <c:v>2.6918022682862655E-2</c:v>
                </c:pt>
                <c:pt idx="4">
                  <c:v>7.0537829580775729E-2</c:v>
                </c:pt>
                <c:pt idx="5">
                  <c:v>0.14844720364554423</c:v>
                </c:pt>
                <c:pt idx="6">
                  <c:v>0.26142924756390218</c:v>
                </c:pt>
                <c:pt idx="7">
                  <c:v>0.39873130138189328</c:v>
                </c:pt>
                <c:pt idx="8">
                  <c:v>0.54223501331161406</c:v>
                </c:pt>
                <c:pt idx="9">
                  <c:v>0.67402849627857031</c:v>
                </c:pt>
                <c:pt idx="10">
                  <c:v>0.78230772963384732</c:v>
                </c:pt>
                <c:pt idx="11">
                  <c:v>0.8630953437034381</c:v>
                </c:pt>
                <c:pt idx="12">
                  <c:v>0.91853340172068842</c:v>
                </c:pt>
                <c:pt idx="13">
                  <c:v>0.95390232385199913</c:v>
                </c:pt>
                <c:pt idx="14">
                  <c:v>0.97507573833647321</c:v>
                </c:pt>
                <c:pt idx="15">
                  <c:v>0.987063941065492</c:v>
                </c:pt>
                <c:pt idx="16">
                  <c:v>0.9935275944696309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EE-450F-8AD5-3CA14D4CC361}"/>
            </c:ext>
          </c:extLst>
        </c:ser>
        <c:ser>
          <c:idx val="5"/>
          <c:order val="5"/>
          <c:tx>
            <c:strRef>
              <c:f>call!$K$10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call!$K$11:$K$27</c:f>
              <c:numCache>
                <c:formatCode>General</c:formatCode>
                <c:ptCount val="17"/>
                <c:pt idx="0">
                  <c:v>7.3339315349598864E-4</c:v>
                </c:pt>
                <c:pt idx="1">
                  <c:v>3.8551173459696964E-3</c:v>
                </c:pt>
                <c:pt idx="2">
                  <c:v>1.4402778602930108E-2</c:v>
                </c:pt>
                <c:pt idx="3">
                  <c:v>4.0860172111759581E-2</c:v>
                </c:pt>
                <c:pt idx="4">
                  <c:v>9.2718991154622718E-2</c:v>
                </c:pt>
                <c:pt idx="5">
                  <c:v>0.17544466250951118</c:v>
                </c:pt>
                <c:pt idx="6">
                  <c:v>0.28640779285454132</c:v>
                </c:pt>
                <c:pt idx="7">
                  <c:v>0.41491980008730484</c:v>
                </c:pt>
                <c:pt idx="8">
                  <c:v>0.54624882106468031</c:v>
                </c:pt>
                <c:pt idx="9">
                  <c:v>0.66681258720741177</c:v>
                </c:pt>
                <c:pt idx="10">
                  <c:v>0.76773686176629652</c:v>
                </c:pt>
                <c:pt idx="11">
                  <c:v>0.84574392541104015</c:v>
                </c:pt>
                <c:pt idx="12">
                  <c:v>0.90200659044195874</c:v>
                </c:pt>
                <c:pt idx="13">
                  <c:v>0.9402142801511969</c:v>
                </c:pt>
                <c:pt idx="14">
                  <c:v>0.96483221684018183</c:v>
                </c:pt>
                <c:pt idx="15">
                  <c:v>0.97998098357938546</c:v>
                </c:pt>
                <c:pt idx="16">
                  <c:v>0.98893439681623385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EE-450F-8AD5-3CA14D4CC361}"/>
            </c:ext>
          </c:extLst>
        </c:ser>
        <c:ser>
          <c:idx val="6"/>
          <c:order val="6"/>
          <c:tx>
            <c:strRef>
              <c:f>call!$L$10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call!$L$11:$L$27</c:f>
              <c:numCache>
                <c:formatCode>General</c:formatCode>
                <c:ptCount val="17"/>
                <c:pt idx="0">
                  <c:v>1.7097704105366416E-3</c:v>
                </c:pt>
                <c:pt idx="1">
                  <c:v>7.1642370961297339E-3</c:v>
                </c:pt>
                <c:pt idx="2">
                  <c:v>2.242591118396205E-2</c:v>
                </c:pt>
                <c:pt idx="3">
                  <c:v>5.5498237073536447E-2</c:v>
                </c:pt>
                <c:pt idx="4">
                  <c:v>0.11351617326502472</c:v>
                </c:pt>
                <c:pt idx="5">
                  <c:v>0.19884963648426759</c:v>
                </c:pt>
                <c:pt idx="6">
                  <c:v>0.30707780777053395</c:v>
                </c:pt>
                <c:pt idx="7">
                  <c:v>0.42816924322332078</c:v>
                </c:pt>
                <c:pt idx="8">
                  <c:v>0.54993574324296035</c:v>
                </c:pt>
                <c:pt idx="9">
                  <c:v>0.66168859212232867</c:v>
                </c:pt>
                <c:pt idx="10">
                  <c:v>0.7564993813863905</c:v>
                </c:pt>
                <c:pt idx="11">
                  <c:v>0.83165762889347106</c:v>
                </c:pt>
                <c:pt idx="12">
                  <c:v>0.88783196322373703</c:v>
                </c:pt>
                <c:pt idx="13">
                  <c:v>0.92772250848626392</c:v>
                </c:pt>
                <c:pt idx="14">
                  <c:v>0.95481273623086027</c:v>
                </c:pt>
                <c:pt idx="15">
                  <c:v>0.97250574341060869</c:v>
                </c:pt>
                <c:pt idx="16">
                  <c:v>0.98367272820713014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EE-450F-8AD5-3CA14D4CC361}"/>
            </c:ext>
          </c:extLst>
        </c:ser>
        <c:ser>
          <c:idx val="7"/>
          <c:order val="7"/>
          <c:tx>
            <c:strRef>
              <c:f>call!$M$10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call!$M$11:$M$27</c:f>
              <c:numCache>
                <c:formatCode>General</c:formatCode>
                <c:ptCount val="17"/>
                <c:pt idx="0">
                  <c:v>3.2499291224938613E-3</c:v>
                </c:pt>
                <c:pt idx="1">
                  <c:v>1.1483425231958777E-2</c:v>
                </c:pt>
                <c:pt idx="2">
                  <c:v>3.1463320553836806E-2</c:v>
                </c:pt>
                <c:pt idx="3">
                  <c:v>7.0237080583764377E-2</c:v>
                </c:pt>
                <c:pt idx="4">
                  <c:v>0.1328013323700564</c:v>
                </c:pt>
                <c:pt idx="5">
                  <c:v>0.21936358982447046</c:v>
                </c:pt>
                <c:pt idx="6">
                  <c:v>0.32461969070784658</c:v>
                </c:pt>
                <c:pt idx="7">
                  <c:v>0.4393670542417723</c:v>
                </c:pt>
                <c:pt idx="8">
                  <c:v>0.55336358492889404</c:v>
                </c:pt>
                <c:pt idx="9">
                  <c:v>0.65796272969308234</c:v>
                </c:pt>
                <c:pt idx="10">
                  <c:v>0.74760249342748353</c:v>
                </c:pt>
                <c:pt idx="11">
                  <c:v>0.82002413987768763</c:v>
                </c:pt>
                <c:pt idx="12">
                  <c:v>0.87562125149536263</c:v>
                </c:pt>
                <c:pt idx="13">
                  <c:v>0.91644879859772543</c:v>
                </c:pt>
                <c:pt idx="14">
                  <c:v>0.9452921469955603</c:v>
                </c:pt>
                <c:pt idx="15">
                  <c:v>0.9649914282191755</c:v>
                </c:pt>
                <c:pt idx="16">
                  <c:v>0.97805296953813903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8EE-450F-8AD5-3CA14D4CC361}"/>
            </c:ext>
          </c:extLst>
        </c:ser>
        <c:ser>
          <c:idx val="8"/>
          <c:order val="8"/>
          <c:tx>
            <c:strRef>
              <c:f>call!$N$10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call!$N$11:$N$27</c:f>
              <c:numCache>
                <c:formatCode>General</c:formatCode>
                <c:ptCount val="17"/>
                <c:pt idx="0">
                  <c:v>5.3863786913071277E-3</c:v>
                </c:pt>
                <c:pt idx="1">
                  <c:v>1.6663450654240821E-2</c:v>
                </c:pt>
                <c:pt idx="2">
                  <c:v>4.1145992558525323E-2</c:v>
                </c:pt>
                <c:pt idx="3">
                  <c:v>8.4734011793984806E-2</c:v>
                </c:pt>
                <c:pt idx="4">
                  <c:v>0.1506224847545854</c:v>
                </c:pt>
                <c:pt idx="5">
                  <c:v>0.23753708342668733</c:v>
                </c:pt>
                <c:pt idx="6">
                  <c:v>0.33980470618375225</c:v>
                </c:pt>
                <c:pt idx="7">
                  <c:v>0.4490598842795181</c:v>
                </c:pt>
                <c:pt idx="8">
                  <c:v>0.55657946195545982</c:v>
                </c:pt>
                <c:pt idx="9">
                  <c:v>0.65521889020886737</c:v>
                </c:pt>
                <c:pt idx="10">
                  <c:v>0.74041691025313783</c:v>
                </c:pt>
                <c:pt idx="11">
                  <c:v>0.81027566906216286</c:v>
                </c:pt>
                <c:pt idx="12">
                  <c:v>0.86503450040480123</c:v>
                </c:pt>
                <c:pt idx="13">
                  <c:v>0.90631047116941144</c:v>
                </c:pt>
                <c:pt idx="14">
                  <c:v>0.93638087415065951</c:v>
                </c:pt>
                <c:pt idx="15">
                  <c:v>0.95764540824748623</c:v>
                </c:pt>
                <c:pt idx="16">
                  <c:v>0.97229624527713165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EE-450F-8AD5-3CA14D4CC361}"/>
            </c:ext>
          </c:extLst>
        </c:ser>
        <c:ser>
          <c:idx val="9"/>
          <c:order val="9"/>
          <c:tx>
            <c:strRef>
              <c:f>call!$O$10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call!$O$11:$O$27</c:f>
              <c:numCache>
                <c:formatCode>General</c:formatCode>
                <c:ptCount val="17"/>
                <c:pt idx="0">
                  <c:v>8.1055453543928818E-3</c:v>
                </c:pt>
                <c:pt idx="1">
                  <c:v>2.2539605701555516E-2</c:v>
                </c:pt>
                <c:pt idx="2">
                  <c:v>5.1195105289887945E-2</c:v>
                </c:pt>
                <c:pt idx="3">
                  <c:v>9.8801576761747459E-2</c:v>
                </c:pt>
                <c:pt idx="4">
                  <c:v>0.16709271590694211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0.85579311074329834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  <c:pt idx="16">
                  <c:v>0.96655118639654458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EE-450F-8AD5-3CA14D4CC361}"/>
            </c:ext>
          </c:extLst>
        </c:ser>
        <c:ser>
          <c:idx val="10"/>
          <c:order val="10"/>
          <c:tx>
            <c:strRef>
              <c:f>call!$P$10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call!$P$11:$P$27</c:f>
              <c:numCache>
                <c:formatCode>General</c:formatCode>
                <c:ptCount val="17"/>
                <c:pt idx="0">
                  <c:v>5.5478177979400571E-2</c:v>
                </c:pt>
                <c:pt idx="1">
                  <c:v>9.4943144684704661E-2</c:v>
                </c:pt>
                <c:pt idx="2">
                  <c:v>0.14711107776501314</c:v>
                </c:pt>
                <c:pt idx="3">
                  <c:v>0.21041627797587964</c:v>
                </c:pt>
                <c:pt idx="4">
                  <c:v>0.2820374343620774</c:v>
                </c:pt>
                <c:pt idx="5">
                  <c:v>0.35850447187481504</c:v>
                </c:pt>
                <c:pt idx="6">
                  <c:v>0.43629337610345331</c:v>
                </c:pt>
                <c:pt idx="7">
                  <c:v>0.51227864232904818</c:v>
                </c:pt>
                <c:pt idx="8">
                  <c:v>0.58399798571368178</c:v>
                </c:pt>
                <c:pt idx="9">
                  <c:v>0.64974470477957968</c:v>
                </c:pt>
                <c:pt idx="10">
                  <c:v>0.7085330993545631</c:v>
                </c:pt>
                <c:pt idx="11">
                  <c:v>0.75998835998968672</c:v>
                </c:pt>
                <c:pt idx="12">
                  <c:v>0.80420462073819765</c:v>
                </c:pt>
                <c:pt idx="13">
                  <c:v>0.84160197553171501</c:v>
                </c:pt>
                <c:pt idx="14">
                  <c:v>0.87280055331254425</c:v>
                </c:pt>
                <c:pt idx="15">
                  <c:v>0.89851971842195577</c:v>
                </c:pt>
                <c:pt idx="16">
                  <c:v>0.91950370400292614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EE-450F-8AD5-3CA14D4CC361}"/>
            </c:ext>
          </c:extLst>
        </c:ser>
        <c:ser>
          <c:idx val="11"/>
          <c:order val="11"/>
          <c:tx>
            <c:strRef>
              <c:f>call!$Q$10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call!$Q$11:$Q$27</c:f>
              <c:numCache>
                <c:formatCode>General</c:formatCode>
                <c:ptCount val="17"/>
                <c:pt idx="0">
                  <c:v>0.11221757852337162</c:v>
                </c:pt>
                <c:pt idx="1">
                  <c:v>0.16261786177644788</c:v>
                </c:pt>
                <c:pt idx="2">
                  <c:v>0.22070207540533249</c:v>
                </c:pt>
                <c:pt idx="3">
                  <c:v>0.2841154119321706</c:v>
                </c:pt>
                <c:pt idx="4">
                  <c:v>0.35035866509647884</c:v>
                </c:pt>
                <c:pt idx="5">
                  <c:v>0.41708980700977716</c:v>
                </c:pt>
                <c:pt idx="6">
                  <c:v>0.48231590099564647</c:v>
                </c:pt>
                <c:pt idx="7">
                  <c:v>0.54448388447384266</c:v>
                </c:pt>
                <c:pt idx="8">
                  <c:v>0.60249391401788099</c:v>
                </c:pt>
                <c:pt idx="9">
                  <c:v>0.6556620776426314</c:v>
                </c:pt>
                <c:pt idx="10">
                  <c:v>0.70365585138940701</c:v>
                </c:pt>
                <c:pt idx="11">
                  <c:v>0.74641976679143052</c:v>
                </c:pt>
                <c:pt idx="12">
                  <c:v>0.78410275921225248</c:v>
                </c:pt>
                <c:pt idx="13">
                  <c:v>0.81699370064357868</c:v>
                </c:pt>
                <c:pt idx="14">
                  <c:v>0.84546800175065795</c:v>
                </c:pt>
                <c:pt idx="15">
                  <c:v>0.86994580030636615</c:v>
                </c:pt>
                <c:pt idx="16">
                  <c:v>0.89086087651205026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EE-450F-8AD5-3CA14D4CC361}"/>
            </c:ext>
          </c:extLst>
        </c:ser>
        <c:ser>
          <c:idx val="12"/>
          <c:order val="12"/>
          <c:tx>
            <c:strRef>
              <c:f>call!$R$10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call!$R$11:$R$27</c:f>
              <c:numCache>
                <c:formatCode>General</c:formatCode>
                <c:ptCount val="17"/>
                <c:pt idx="0">
                  <c:v>0.16426871972840887</c:v>
                </c:pt>
                <c:pt idx="1">
                  <c:v>0.21859198446496683</c:v>
                </c:pt>
                <c:pt idx="2">
                  <c:v>0.27702998118727484</c:v>
                </c:pt>
                <c:pt idx="3">
                  <c:v>0.33753309294546507</c:v>
                </c:pt>
                <c:pt idx="4">
                  <c:v>0.39825791110296049</c:v>
                </c:pt>
                <c:pt idx="5">
                  <c:v>0.45767322745215844</c:v>
                </c:pt>
                <c:pt idx="6">
                  <c:v>0.51459751428423428</c:v>
                </c:pt>
                <c:pt idx="7">
                  <c:v>0.56818955220522305</c:v>
                </c:pt>
                <c:pt idx="8">
                  <c:v>0.61791142218895267</c:v>
                </c:pt>
                <c:pt idx="9">
                  <c:v>0.66347851713393957</c:v>
                </c:pt>
                <c:pt idx="10">
                  <c:v>0.70480655105134737</c:v>
                </c:pt>
                <c:pt idx="11">
                  <c:v>0.74196163694002004</c:v>
                </c:pt>
                <c:pt idx="12">
                  <c:v>0.77511660853638908</c:v>
                </c:pt>
                <c:pt idx="13">
                  <c:v>0.80451480332788361</c:v>
                </c:pt>
                <c:pt idx="14">
                  <c:v>0.83044131386615572</c:v>
                </c:pt>
                <c:pt idx="15">
                  <c:v>0.85320104521339801</c:v>
                </c:pt>
                <c:pt idx="16">
                  <c:v>0.87310261037867953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EE-450F-8AD5-3CA14D4CC361}"/>
            </c:ext>
          </c:extLst>
        </c:ser>
        <c:ser>
          <c:idx val="13"/>
          <c:order val="13"/>
          <c:tx>
            <c:strRef>
              <c:f>call!$S$10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call!$E$11:$E$27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call!$S$11:$S$27</c:f>
              <c:numCache>
                <c:formatCode>General</c:formatCode>
                <c:ptCount val="17"/>
                <c:pt idx="0">
                  <c:v>0.20988203686100165</c:v>
                </c:pt>
                <c:pt idx="1">
                  <c:v>0.26505120645503799</c:v>
                </c:pt>
                <c:pt idx="2">
                  <c:v>0.32199074177395015</c:v>
                </c:pt>
                <c:pt idx="3">
                  <c:v>0.37909196897565967</c:v>
                </c:pt>
                <c:pt idx="4">
                  <c:v>0.4350411483736476</c:v>
                </c:pt>
                <c:pt idx="5">
                  <c:v>0.48883379634600066</c:v>
                </c:pt>
                <c:pt idx="6">
                  <c:v>0.53975516312316763</c:v>
                </c:pt>
                <c:pt idx="7">
                  <c:v>0.58734278687654107</c:v>
                </c:pt>
                <c:pt idx="8">
                  <c:v>0.63134216139179089</c:v>
                </c:pt>
                <c:pt idx="9">
                  <c:v>0.67166244266164088</c:v>
                </c:pt>
                <c:pt idx="10">
                  <c:v>0.70833606363246282</c:v>
                </c:pt>
                <c:pt idx="11">
                  <c:v>0.74148404620256403</c:v>
                </c:pt>
                <c:pt idx="12">
                  <c:v>0.77128749032735988</c:v>
                </c:pt>
                <c:pt idx="13">
                  <c:v>0.79796496558691377</c:v>
                </c:pt>
                <c:pt idx="14">
                  <c:v>0.82175514850703979</c:v>
                </c:pt>
                <c:pt idx="15">
                  <c:v>0.8429039016580514</c:v>
                </c:pt>
                <c:pt idx="16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EE-450F-8AD5-3CA14D4CC36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893224416"/>
        <c:axId val="893238336"/>
        <c:axId val="1925296992"/>
      </c:surface3DChart>
      <c:catAx>
        <c:axId val="89322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aseline="0"/>
                  <a:t>price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  <c:auto val="1"/>
        <c:lblAlgn val="ctr"/>
        <c:lblOffset val="100"/>
        <c:noMultiLvlLbl val="0"/>
      </c:catAx>
      <c:valAx>
        <c:axId val="8932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24416"/>
        <c:crosses val="autoZero"/>
        <c:crossBetween val="midCat"/>
      </c:valAx>
      <c:serAx>
        <c:axId val="1925296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time</a:t>
                </a:r>
                <a:r>
                  <a:rPr lang="it-IT" baseline="0"/>
                  <a:t> at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Delta,</a:t>
            </a:r>
            <a:r>
              <a:rPr lang="it-IT" baseline="0"/>
              <a:t> volatility = 0,1</a:t>
            </a:r>
          </a:p>
        </c:rich>
      </c:tx>
      <c:layout>
        <c:manualLayout>
          <c:xMode val="edge"/>
          <c:yMode val="edge"/>
          <c:x val="0.36749300087489067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call!$X$10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call!$X$11:$X$27</c:f>
              <c:numCache>
                <c:formatCode>General</c:formatCode>
                <c:ptCount val="17"/>
                <c:pt idx="0">
                  <c:v>1.152199866581175E-58</c:v>
                </c:pt>
                <c:pt idx="1">
                  <c:v>2.8126612880569749E-42</c:v>
                </c:pt>
                <c:pt idx="2">
                  <c:v>1.4260381787834196E-29</c:v>
                </c:pt>
                <c:pt idx="3">
                  <c:v>7.1568181094979558E-20</c:v>
                </c:pt>
                <c:pt idx="4">
                  <c:v>1.2002701474206063E-12</c:v>
                </c:pt>
                <c:pt idx="5">
                  <c:v>1.7727866846205845E-7</c:v>
                </c:pt>
                <c:pt idx="6">
                  <c:v>5.1107517146906892E-4</c:v>
                </c:pt>
                <c:pt idx="7">
                  <c:v>5.7674144516076838E-2</c:v>
                </c:pt>
                <c:pt idx="8">
                  <c:v>0.51891639999929629</c:v>
                </c:pt>
                <c:pt idx="9">
                  <c:v>0.94411804837488877</c:v>
                </c:pt>
                <c:pt idx="10">
                  <c:v>0.99889850177275419</c:v>
                </c:pt>
                <c:pt idx="11">
                  <c:v>0.99999603555087258</c:v>
                </c:pt>
                <c:pt idx="12">
                  <c:v>0.99999999693089381</c:v>
                </c:pt>
                <c:pt idx="13">
                  <c:v>0.99999999999939337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F-49F2-9912-DE5F53B8C077}"/>
            </c:ext>
          </c:extLst>
        </c:ser>
        <c:ser>
          <c:idx val="1"/>
          <c:order val="1"/>
          <c:tx>
            <c:strRef>
              <c:f>call!$Y$10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call!$Y$11:$Y$27</c:f>
              <c:numCache>
                <c:formatCode>General</c:formatCode>
                <c:ptCount val="17"/>
                <c:pt idx="0">
                  <c:v>3.4889502026674058E-30</c:v>
                </c:pt>
                <c:pt idx="1">
                  <c:v>5.5821144851585946E-22</c:v>
                </c:pt>
                <c:pt idx="2">
                  <c:v>1.3034623767509508E-15</c:v>
                </c:pt>
                <c:pt idx="3">
                  <c:v>9.7210253802256359E-11</c:v>
                </c:pt>
                <c:pt idx="4">
                  <c:v>4.2709800292238633E-7</c:v>
                </c:pt>
                <c:pt idx="5">
                  <c:v>1.8057900763335621E-4</c:v>
                </c:pt>
                <c:pt idx="6">
                  <c:v>1.1044013907594808E-2</c:v>
                </c:pt>
                <c:pt idx="7">
                  <c:v>0.14009983864577802</c:v>
                </c:pt>
                <c:pt idx="8">
                  <c:v>0.5267418038869226</c:v>
                </c:pt>
                <c:pt idx="9">
                  <c:v>0.87658089249568349</c:v>
                </c:pt>
                <c:pt idx="10">
                  <c:v>0.98603550784275051</c:v>
                </c:pt>
                <c:pt idx="11">
                  <c:v>0.99929416451516662</c:v>
                </c:pt>
                <c:pt idx="12">
                  <c:v>0.9999829287565416</c:v>
                </c:pt>
                <c:pt idx="13">
                  <c:v>0.99999978673956835</c:v>
                </c:pt>
                <c:pt idx="14">
                  <c:v>0.99999999851931465</c:v>
                </c:pt>
                <c:pt idx="15">
                  <c:v>0.99999999999389166</c:v>
                </c:pt>
                <c:pt idx="16">
                  <c:v>0.99999999999998412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F-49F2-9912-DE5F53B8C077}"/>
            </c:ext>
          </c:extLst>
        </c:ser>
        <c:ser>
          <c:idx val="2"/>
          <c:order val="2"/>
          <c:tx>
            <c:strRef>
              <c:f>call!$Z$10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call!$Z$11:$Z$27</c:f>
              <c:numCache>
                <c:formatCode>General</c:formatCode>
                <c:ptCount val="17"/>
                <c:pt idx="0">
                  <c:v>1.1850476086013734E-20</c:v>
                </c:pt>
                <c:pt idx="1">
                  <c:v>3.5461176703588463E-15</c:v>
                </c:pt>
                <c:pt idx="2">
                  <c:v>6.388371919908438E-11</c:v>
                </c:pt>
                <c:pt idx="3">
                  <c:v>1.1693829518833767E-7</c:v>
                </c:pt>
                <c:pt idx="4">
                  <c:v>3.2777591453569919E-5</c:v>
                </c:pt>
                <c:pt idx="5">
                  <c:v>1.9569580318317685E-3</c:v>
                </c:pt>
                <c:pt idx="6">
                  <c:v>3.2777626460408049E-2</c:v>
                </c:pt>
                <c:pt idx="7">
                  <c:v>0.19646253524083446</c:v>
                </c:pt>
                <c:pt idx="8">
                  <c:v>0.53273961671267711</c:v>
                </c:pt>
                <c:pt idx="9">
                  <c:v>0.83470864554501067</c:v>
                </c:pt>
                <c:pt idx="10">
                  <c:v>0.96579345861513155</c:v>
                </c:pt>
                <c:pt idx="11">
                  <c:v>0.99577886954542294</c:v>
                </c:pt>
                <c:pt idx="12">
                  <c:v>0.99967623132709926</c:v>
                </c:pt>
                <c:pt idx="13">
                  <c:v>0.99998381961018046</c:v>
                </c:pt>
                <c:pt idx="14">
                  <c:v>0.99999944833507226</c:v>
                </c:pt>
                <c:pt idx="15">
                  <c:v>0.9999999866108833</c:v>
                </c:pt>
                <c:pt idx="16">
                  <c:v>0.99999999975964071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F-49F2-9912-DE5F53B8C077}"/>
            </c:ext>
          </c:extLst>
        </c:ser>
        <c:ser>
          <c:idx val="3"/>
          <c:order val="3"/>
          <c:tx>
            <c:strRef>
              <c:f>call!$AA$10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call!$AA$11:$AA$27</c:f>
              <c:numCache>
                <c:formatCode>General</c:formatCode>
                <c:ptCount val="17"/>
                <c:pt idx="0">
                  <c:v>7.1994037560856956E-16</c:v>
                </c:pt>
                <c:pt idx="1">
                  <c:v>9.3129642843240566E-12</c:v>
                </c:pt>
                <c:pt idx="2">
                  <c:v>1.4726488482514407E-8</c:v>
                </c:pt>
                <c:pt idx="3">
                  <c:v>4.2184867637814504E-6</c:v>
                </c:pt>
                <c:pt idx="4">
                  <c:v>2.9809587513643615E-4</c:v>
                </c:pt>
                <c:pt idx="5">
                  <c:v>6.6658842436191712E-3</c:v>
                </c:pt>
                <c:pt idx="6">
                  <c:v>5.8088107987320343E-2</c:v>
                </c:pt>
                <c:pt idx="7">
                  <c:v>0.23694940812133697</c:v>
                </c:pt>
                <c:pt idx="8">
                  <c:v>0.53779029390666466</c:v>
                </c:pt>
                <c:pt idx="9">
                  <c:v>0.80683951354982253</c:v>
                </c:pt>
                <c:pt idx="10">
                  <c:v>0.94540611613468872</c:v>
                </c:pt>
                <c:pt idx="11">
                  <c:v>0.98940827229066197</c:v>
                </c:pt>
                <c:pt idx="12">
                  <c:v>0.99854754541412227</c:v>
                </c:pt>
                <c:pt idx="13">
                  <c:v>0.99985444081884667</c:v>
                </c:pt>
                <c:pt idx="14">
                  <c:v>0.99998898282504689</c:v>
                </c:pt>
                <c:pt idx="15">
                  <c:v>0.99999935060366185</c:v>
                </c:pt>
                <c:pt idx="16">
                  <c:v>0.99999996934905533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8F-49F2-9912-DE5F53B8C077}"/>
            </c:ext>
          </c:extLst>
        </c:ser>
        <c:ser>
          <c:idx val="4"/>
          <c:order val="4"/>
          <c:tx>
            <c:strRef>
              <c:f>call!$AB$10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call!$AB$11:$AB$27</c:f>
              <c:numCache>
                <c:formatCode>General</c:formatCode>
                <c:ptCount val="17"/>
                <c:pt idx="0">
                  <c:v>5.4712789718468615E-13</c:v>
                </c:pt>
                <c:pt idx="1">
                  <c:v>1.0745001039870842E-9</c:v>
                </c:pt>
                <c:pt idx="2">
                  <c:v>3.9447858056893467E-7</c:v>
                </c:pt>
                <c:pt idx="3">
                  <c:v>3.7104262232348042E-5</c:v>
                </c:pt>
                <c:pt idx="4">
                  <c:v>1.1455014907192074E-3</c:v>
                </c:pt>
                <c:pt idx="5">
                  <c:v>1.4178971876106417E-2</c:v>
                </c:pt>
                <c:pt idx="6">
                  <c:v>8.3185859132694412E-2</c:v>
                </c:pt>
                <c:pt idx="7">
                  <c:v>0.26784925915213059</c:v>
                </c:pt>
                <c:pt idx="8">
                  <c:v>0.54223501331161406</c:v>
                </c:pt>
                <c:pt idx="9">
                  <c:v>0.7870023302677005</c:v>
                </c:pt>
                <c:pt idx="10">
                  <c:v>0.9270206788480384</c:v>
                </c:pt>
                <c:pt idx="11">
                  <c:v>0.98135607564044858</c:v>
                </c:pt>
                <c:pt idx="12">
                  <c:v>0.99636788743791604</c:v>
                </c:pt>
                <c:pt idx="13">
                  <c:v>0.99944644902317548</c:v>
                </c:pt>
                <c:pt idx="14">
                  <c:v>0.99993230917992704</c:v>
                </c:pt>
                <c:pt idx="15">
                  <c:v>0.99999319889057736</c:v>
                </c:pt>
                <c:pt idx="16">
                  <c:v>0.99999942627332528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8F-49F2-9912-DE5F53B8C077}"/>
            </c:ext>
          </c:extLst>
        </c:ser>
        <c:ser>
          <c:idx val="5"/>
          <c:order val="5"/>
          <c:tx>
            <c:strRef>
              <c:f>call!$AC$10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call!$AC$11:$AC$27</c:f>
              <c:numCache>
                <c:formatCode>General</c:formatCode>
                <c:ptCount val="17"/>
                <c:pt idx="0">
                  <c:v>4.6306900470662182E-11</c:v>
                </c:pt>
                <c:pt idx="1">
                  <c:v>2.5874472084445203E-8</c:v>
                </c:pt>
                <c:pt idx="2">
                  <c:v>3.5869233961988741E-6</c:v>
                </c:pt>
                <c:pt idx="3">
                  <c:v>1.6047856986437615E-4</c:v>
                </c:pt>
                <c:pt idx="4">
                  <c:v>2.8497945838167173E-3</c:v>
                </c:pt>
                <c:pt idx="5">
                  <c:v>2.3744049559651273E-2</c:v>
                </c:pt>
                <c:pt idx="6">
                  <c:v>0.10674814223186854</c:v>
                </c:pt>
                <c:pt idx="7">
                  <c:v>0.29253156538610559</c:v>
                </c:pt>
                <c:pt idx="8">
                  <c:v>0.54624882106468031</c:v>
                </c:pt>
                <c:pt idx="9">
                  <c:v>0.77218677368637101</c:v>
                </c:pt>
                <c:pt idx="10">
                  <c:v>0.910951676948353</c:v>
                </c:pt>
                <c:pt idx="11">
                  <c:v>0.97260314455363983</c:v>
                </c:pt>
                <c:pt idx="12">
                  <c:v>0.99324341588079323</c:v>
                </c:pt>
                <c:pt idx="13">
                  <c:v>0.99863656915944365</c:v>
                </c:pt>
                <c:pt idx="14">
                  <c:v>0.99977023212247085</c:v>
                </c:pt>
                <c:pt idx="15">
                  <c:v>0.99996703614043125</c:v>
                </c:pt>
                <c:pt idx="16">
                  <c:v>0.99999590254116577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8F-49F2-9912-DE5F53B8C077}"/>
            </c:ext>
          </c:extLst>
        </c:ser>
        <c:ser>
          <c:idx val="6"/>
          <c:order val="6"/>
          <c:tx>
            <c:strRef>
              <c:f>call!$AD$10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call!$AD$11:$AD$27</c:f>
              <c:numCache>
                <c:formatCode>General</c:formatCode>
                <c:ptCount val="17"/>
                <c:pt idx="0">
                  <c:v>1.1154484392717851E-9</c:v>
                </c:pt>
                <c:pt idx="1">
                  <c:v>2.5390046836316603E-7</c:v>
                </c:pt>
                <c:pt idx="2">
                  <c:v>1.7549254029347776E-5</c:v>
                </c:pt>
                <c:pt idx="3">
                  <c:v>4.6157184850289515E-4</c:v>
                </c:pt>
                <c:pt idx="4">
                  <c:v>5.5176887334378597E-3</c:v>
                </c:pt>
                <c:pt idx="5">
                  <c:v>3.4610567414057034E-2</c:v>
                </c:pt>
                <c:pt idx="6">
                  <c:v>0.12843922086837081</c:v>
                </c:pt>
                <c:pt idx="7">
                  <c:v>0.31292611764332445</c:v>
                </c:pt>
                <c:pt idx="8">
                  <c:v>0.54993574324296035</c:v>
                </c:pt>
                <c:pt idx="9">
                  <c:v>0.760730082505234</c:v>
                </c:pt>
                <c:pt idx="10">
                  <c:v>0.8970058106562373</c:v>
                </c:pt>
                <c:pt idx="11">
                  <c:v>0.96375065198429899</c:v>
                </c:pt>
                <c:pt idx="12">
                  <c:v>0.98940714410148023</c:v>
                </c:pt>
                <c:pt idx="13">
                  <c:v>0.9973854793151351</c:v>
                </c:pt>
                <c:pt idx="14">
                  <c:v>0.99944558802202021</c:v>
                </c:pt>
                <c:pt idx="15">
                  <c:v>0.99989736258573836</c:v>
                </c:pt>
                <c:pt idx="16">
                  <c:v>0.99998316518966346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8F-49F2-9912-DE5F53B8C077}"/>
            </c:ext>
          </c:extLst>
        </c:ser>
        <c:ser>
          <c:idx val="7"/>
          <c:order val="7"/>
          <c:tx>
            <c:strRef>
              <c:f>call!$AE$10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call!$AE$11:$AE$27</c:f>
              <c:numCache>
                <c:formatCode>General</c:formatCode>
                <c:ptCount val="17"/>
                <c:pt idx="0">
                  <c:v>1.2232280237899387E-8</c:v>
                </c:pt>
                <c:pt idx="1">
                  <c:v>1.4195096494921114E-6</c:v>
                </c:pt>
                <c:pt idx="2">
                  <c:v>5.820088365787128E-5</c:v>
                </c:pt>
                <c:pt idx="3">
                  <c:v>1.0273171406440292E-3</c:v>
                </c:pt>
                <c:pt idx="4">
                  <c:v>9.1213054737095019E-3</c:v>
                </c:pt>
                <c:pt idx="5">
                  <c:v>4.6201796215212594E-2</c:v>
                </c:pt>
                <c:pt idx="6">
                  <c:v>0.14828843430084723</c:v>
                </c:pt>
                <c:pt idx="7">
                  <c:v>0.33021760012856716</c:v>
                </c:pt>
                <c:pt idx="8">
                  <c:v>0.55336358492889404</c:v>
                </c:pt>
                <c:pt idx="9">
                  <c:v>0.75163843630541693</c:v>
                </c:pt>
                <c:pt idx="10">
                  <c:v>0.88488455046683934</c:v>
                </c:pt>
                <c:pt idx="11">
                  <c:v>0.95512804158206499</c:v>
                </c:pt>
                <c:pt idx="12">
                  <c:v>0.98509406838389901</c:v>
                </c:pt>
                <c:pt idx="13">
                  <c:v>0.99571799089194879</c:v>
                </c:pt>
                <c:pt idx="14">
                  <c:v>0.99892066116278744</c:v>
                </c:pt>
                <c:pt idx="15">
                  <c:v>0.99975797900363672</c:v>
                </c:pt>
                <c:pt idx="16">
                  <c:v>0.99995111048223762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8F-49F2-9912-DE5F53B8C077}"/>
            </c:ext>
          </c:extLst>
        </c:ser>
        <c:ser>
          <c:idx val="8"/>
          <c:order val="8"/>
          <c:tx>
            <c:strRef>
              <c:f>call!$AF$10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call!$AF$11:$AF$27</c:f>
              <c:numCache>
                <c:formatCode>General</c:formatCode>
                <c:ptCount val="17"/>
                <c:pt idx="0">
                  <c:v>7.9305503738124766E-8</c:v>
                </c:pt>
                <c:pt idx="1">
                  <c:v>5.4488726576165721E-6</c:v>
                </c:pt>
                <c:pt idx="2">
                  <c:v>1.4879923588186921E-4</c:v>
                </c:pt>
                <c:pt idx="3">
                  <c:v>1.9253955209529885E-3</c:v>
                </c:pt>
                <c:pt idx="4">
                  <c:v>1.3558236229164227E-2</c:v>
                </c:pt>
                <c:pt idx="5">
                  <c:v>5.8114853573404297E-2</c:v>
                </c:pt>
                <c:pt idx="6">
                  <c:v>0.1664485667707323</c:v>
                </c:pt>
                <c:pt idx="7">
                  <c:v>0.34517641190667869</c:v>
                </c:pt>
                <c:pt idx="8">
                  <c:v>0.55657946195545982</c:v>
                </c:pt>
                <c:pt idx="9">
                  <c:v>0.74427963343394432</c:v>
                </c:pt>
                <c:pt idx="10">
                  <c:v>0.87430092401455395</c:v>
                </c:pt>
                <c:pt idx="11">
                  <c:v>0.94690122807155452</c:v>
                </c:pt>
                <c:pt idx="12">
                  <c:v>0.98049779905589118</c:v>
                </c:pt>
                <c:pt idx="13">
                  <c:v>0.99369223383243865</c:v>
                </c:pt>
                <c:pt idx="14">
                  <c:v>0.99818047109526631</c:v>
                </c:pt>
                <c:pt idx="15">
                  <c:v>0.99952627336039468</c:v>
                </c:pt>
                <c:pt idx="16">
                  <c:v>0.99988744523010076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8F-49F2-9912-DE5F53B8C077}"/>
            </c:ext>
          </c:extLst>
        </c:ser>
        <c:ser>
          <c:idx val="9"/>
          <c:order val="9"/>
          <c:tx>
            <c:strRef>
              <c:f>call!$AG$10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call!$AG$11:$AG$27</c:f>
              <c:numCache>
                <c:formatCode>General</c:formatCode>
                <c:ptCount val="17"/>
                <c:pt idx="0">
                  <c:v>3.5564355541459468E-7</c:v>
                </c:pt>
                <c:pt idx="1">
                  <c:v>1.6064307266339584E-5</c:v>
                </c:pt>
                <c:pt idx="2">
                  <c:v>3.1686788675612439E-4</c:v>
                </c:pt>
                <c:pt idx="3">
                  <c:v>3.1973886164727056E-3</c:v>
                </c:pt>
                <c:pt idx="4">
                  <c:v>1.8697030468110387E-2</c:v>
                </c:pt>
                <c:pt idx="5">
                  <c:v>7.0080829341433351E-2</c:v>
                </c:pt>
                <c:pt idx="6">
                  <c:v>0.18310240300676622</c:v>
                </c:pt>
                <c:pt idx="7">
                  <c:v>0.35832748828828453</c:v>
                </c:pt>
                <c:pt idx="8">
                  <c:v>0.5596176923702425</c:v>
                </c:pt>
                <c:pt idx="9">
                  <c:v>0.73823114549048119</c:v>
                </c:pt>
                <c:pt idx="10">
                  <c:v>0.86500851994546202</c:v>
                </c:pt>
                <c:pt idx="11">
                  <c:v>0.9391430239591263</c:v>
                </c:pt>
                <c:pt idx="12">
                  <c:v>0.9757644962341846</c:v>
                </c:pt>
                <c:pt idx="13">
                  <c:v>0.9913773450413681</c:v>
                </c:pt>
                <c:pt idx="14">
                  <c:v>0.99722837337629622</c:v>
                </c:pt>
                <c:pt idx="15">
                  <c:v>0.99918656546080542</c:v>
                </c:pt>
                <c:pt idx="16">
                  <c:v>0.99977989302522097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8F-49F2-9912-DE5F53B8C077}"/>
            </c:ext>
          </c:extLst>
        </c:ser>
        <c:ser>
          <c:idx val="10"/>
          <c:order val="10"/>
          <c:tx>
            <c:strRef>
              <c:f>call!$AH$10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call!$AH$11:$AH$27</c:f>
              <c:numCache>
                <c:formatCode>General</c:formatCode>
                <c:ptCount val="17"/>
                <c:pt idx="0">
                  <c:v>3.3699015309893697E-4</c:v>
                </c:pt>
                <c:pt idx="1">
                  <c:v>2.2987314592982327E-3</c:v>
                </c:pt>
                <c:pt idx="2">
                  <c:v>1.0445719216560184E-2</c:v>
                </c:pt>
                <c:pt idx="3">
                  <c:v>3.4220862001572698E-2</c:v>
                </c:pt>
                <c:pt idx="4">
                  <c:v>8.6011681908250856E-2</c:v>
                </c:pt>
                <c:pt idx="5">
                  <c:v>0.17436633291241277</c:v>
                </c:pt>
                <c:pt idx="6">
                  <c:v>0.29705856189617313</c:v>
                </c:pt>
                <c:pt idx="7">
                  <c:v>0.44015891222205472</c:v>
                </c:pt>
                <c:pt idx="8">
                  <c:v>0.58399798571368178</c:v>
                </c:pt>
                <c:pt idx="9">
                  <c:v>0.71128089691736807</c:v>
                </c:pt>
                <c:pt idx="10">
                  <c:v>0.81221192244611107</c:v>
                </c:pt>
                <c:pt idx="11">
                  <c:v>0.88500763743571798</c:v>
                </c:pt>
                <c:pt idx="12">
                  <c:v>0.93336619424077227</c:v>
                </c:pt>
                <c:pt idx="13">
                  <c:v>0.96327265988008681</c:v>
                </c:pt>
                <c:pt idx="14">
                  <c:v>0.9806483495408157</c:v>
                </c:pt>
                <c:pt idx="15">
                  <c:v>0.99020716359662175</c:v>
                </c:pt>
                <c:pt idx="16">
                  <c:v>0.99521999012116835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8F-49F2-9912-DE5F53B8C077}"/>
            </c:ext>
          </c:extLst>
        </c:ser>
        <c:ser>
          <c:idx val="11"/>
          <c:order val="11"/>
          <c:tx>
            <c:strRef>
              <c:f>call!$AI$10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call!$AI$11:$AI$27</c:f>
              <c:numCache>
                <c:formatCode>General</c:formatCode>
                <c:ptCount val="17"/>
                <c:pt idx="0">
                  <c:v>3.5785417129918693E-3</c:v>
                </c:pt>
                <c:pt idx="1">
                  <c:v>1.2962990657514536E-2</c:v>
                </c:pt>
                <c:pt idx="2">
                  <c:v>3.5973278929724156E-2</c:v>
                </c:pt>
                <c:pt idx="3">
                  <c:v>8.0588258967957058E-2</c:v>
                </c:pt>
                <c:pt idx="4">
                  <c:v>0.15185446032881006</c:v>
                </c:pt>
                <c:pt idx="5">
                  <c:v>0.24872867527518139</c:v>
                </c:pt>
                <c:pt idx="6">
                  <c:v>0.36373551072271876</c:v>
                </c:pt>
                <c:pt idx="7">
                  <c:v>0.48550787950516516</c:v>
                </c:pt>
                <c:pt idx="8">
                  <c:v>0.60249391401788088</c:v>
                </c:pt>
                <c:pt idx="9">
                  <c:v>0.70591773123367962</c:v>
                </c:pt>
                <c:pt idx="10">
                  <c:v>0.79105324594553816</c:v>
                </c:pt>
                <c:pt idx="11">
                  <c:v>0.85695166013778001</c:v>
                </c:pt>
                <c:pt idx="12">
                  <c:v>0.90531441414396252</c:v>
                </c:pt>
                <c:pt idx="13">
                  <c:v>0.9392042006984751</c:v>
                </c:pt>
                <c:pt idx="14">
                  <c:v>0.96201541129490264</c:v>
                </c:pt>
                <c:pt idx="15">
                  <c:v>0.97683982081086107</c:v>
                </c:pt>
                <c:pt idx="16">
                  <c:v>0.98618256040797059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8F-49F2-9912-DE5F53B8C077}"/>
            </c:ext>
          </c:extLst>
        </c:ser>
        <c:ser>
          <c:idx val="12"/>
          <c:order val="12"/>
          <c:tx>
            <c:strRef>
              <c:f>call!$AJ$10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call!$AJ$11:$AJ$27</c:f>
              <c:numCache>
                <c:formatCode>General</c:formatCode>
                <c:ptCount val="17"/>
                <c:pt idx="0">
                  <c:v>1.2094054588474413E-2</c:v>
                </c:pt>
                <c:pt idx="1">
                  <c:v>3.1875690795675732E-2</c:v>
                </c:pt>
                <c:pt idx="2">
                  <c:v>6.8987440114615495E-2</c:v>
                </c:pt>
                <c:pt idx="3">
                  <c:v>0.127474584567597</c:v>
                </c:pt>
                <c:pt idx="4">
                  <c:v>0.20733079045218472</c:v>
                </c:pt>
                <c:pt idx="5">
                  <c:v>0.30411744905751403</c:v>
                </c:pt>
                <c:pt idx="6">
                  <c:v>0.4102886293803284</c:v>
                </c:pt>
                <c:pt idx="7">
                  <c:v>0.51736188083892132</c:v>
                </c:pt>
                <c:pt idx="8">
                  <c:v>0.61791142218895267</c:v>
                </c:pt>
                <c:pt idx="9">
                  <c:v>0.70676234221741052</c:v>
                </c:pt>
                <c:pt idx="10">
                  <c:v>0.78128810999478626</c:v>
                </c:pt>
                <c:pt idx="11">
                  <c:v>0.84105655977843707</c:v>
                </c:pt>
                <c:pt idx="12">
                  <c:v>0.88716872324765816</c:v>
                </c:pt>
                <c:pt idx="13">
                  <c:v>0.9215709212989972</c:v>
                </c:pt>
                <c:pt idx="14">
                  <c:v>0.94649958655795841</c:v>
                </c:pt>
                <c:pt idx="15">
                  <c:v>0.9641109494110095</c:v>
                </c:pt>
                <c:pt idx="16">
                  <c:v>0.97628058460472156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8F-49F2-9912-DE5F53B8C077}"/>
            </c:ext>
          </c:extLst>
        </c:ser>
        <c:ser>
          <c:idx val="13"/>
          <c:order val="13"/>
          <c:tx>
            <c:strRef>
              <c:f>call!$AK$10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call!$AK$11:$AK$27</c:f>
              <c:numCache>
                <c:formatCode>General</c:formatCode>
                <c:ptCount val="17"/>
                <c:pt idx="0">
                  <c:v>2.564344677496205E-2</c:v>
                </c:pt>
                <c:pt idx="1">
                  <c:v>5.5792459445646918E-2</c:v>
                </c:pt>
                <c:pt idx="2">
                  <c:v>0.10389085170754279</c:v>
                </c:pt>
                <c:pt idx="3">
                  <c:v>0.17076585813219761</c:v>
                </c:pt>
                <c:pt idx="4">
                  <c:v>0.25381961865942948</c:v>
                </c:pt>
                <c:pt idx="5">
                  <c:v>0.34775207052445578</c:v>
                </c:pt>
                <c:pt idx="6">
                  <c:v>0.44599904247550076</c:v>
                </c:pt>
                <c:pt idx="7">
                  <c:v>0.54221660354441636</c:v>
                </c:pt>
                <c:pt idx="8">
                  <c:v>0.63134216139179089</c:v>
                </c:pt>
                <c:pt idx="9">
                  <c:v>0.71007589254163683</c:v>
                </c:pt>
                <c:pt idx="10">
                  <c:v>0.77686562090211797</c:v>
                </c:pt>
                <c:pt idx="11">
                  <c:v>0.83158425080253329</c:v>
                </c:pt>
                <c:pt idx="12">
                  <c:v>0.87508800250645269</c:v>
                </c:pt>
                <c:pt idx="13">
                  <c:v>0.90878962693226017</c:v>
                </c:pt>
                <c:pt idx="14">
                  <c:v>0.93431723431540992</c:v>
                </c:pt>
                <c:pt idx="15">
                  <c:v>0.9532794554679479</c:v>
                </c:pt>
                <c:pt idx="16">
                  <c:v>0.96712760884191817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8F-49F2-9912-DE5F53B8C077}"/>
            </c:ext>
          </c:extLst>
        </c:ser>
        <c:bandFmts/>
        <c:axId val="893224416"/>
        <c:axId val="893238336"/>
        <c:axId val="1925296992"/>
      </c:surface3DChart>
      <c:catAx>
        <c:axId val="89322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aseline="0"/>
                  <a:t>price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  <c:auto val="1"/>
        <c:lblAlgn val="ctr"/>
        <c:lblOffset val="100"/>
        <c:noMultiLvlLbl val="0"/>
      </c:catAx>
      <c:valAx>
        <c:axId val="8932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24416"/>
        <c:crosses val="autoZero"/>
        <c:crossBetween val="midCat"/>
      </c:valAx>
      <c:serAx>
        <c:axId val="1925296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time</a:t>
                </a:r>
                <a:r>
                  <a:rPr lang="it-IT" baseline="0"/>
                  <a:t> at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9525">
      <a:solidFill>
        <a:schemeClr val="bg2"/>
      </a:solidFill>
    </a:ln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Delta,</a:t>
            </a:r>
            <a:r>
              <a:rPr lang="it-IT" baseline="0"/>
              <a:t> volatility = 0,3</a:t>
            </a:r>
          </a:p>
        </c:rich>
      </c:tx>
      <c:layout>
        <c:manualLayout>
          <c:xMode val="edge"/>
          <c:yMode val="edge"/>
          <c:x val="0.36749300087489067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call!$AP$10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call!$AP$11:$AP$27</c:f>
              <c:numCache>
                <c:formatCode>General</c:formatCode>
                <c:ptCount val="17"/>
                <c:pt idx="0">
                  <c:v>5.0034162369055407E-8</c:v>
                </c:pt>
                <c:pt idx="1">
                  <c:v>3.6821940892309305E-6</c:v>
                </c:pt>
                <c:pt idx="2">
                  <c:v>1.0707610281507444E-4</c:v>
                </c:pt>
                <c:pt idx="3">
                  <c:v>1.4675225785184831E-3</c:v>
                </c:pt>
                <c:pt idx="4">
                  <c:v>1.0890526735845741E-2</c:v>
                </c:pt>
                <c:pt idx="5">
                  <c:v>4.8949588230018437E-2</c:v>
                </c:pt>
                <c:pt idx="6">
                  <c:v>0.14625707559799994</c:v>
                </c:pt>
                <c:pt idx="7">
                  <c:v>0.31465306570218488</c:v>
                </c:pt>
                <c:pt idx="8">
                  <c:v>0.52311576495136336</c:v>
                </c:pt>
                <c:pt idx="9">
                  <c:v>0.71642998296826488</c:v>
                </c:pt>
                <c:pt idx="10">
                  <c:v>0.85602570106502918</c:v>
                </c:pt>
                <c:pt idx="11">
                  <c:v>0.9371394361344666</c:v>
                </c:pt>
                <c:pt idx="12">
                  <c:v>0.97613772992890591</c:v>
                </c:pt>
                <c:pt idx="13">
                  <c:v>0.99202624587419741</c:v>
                </c:pt>
                <c:pt idx="14">
                  <c:v>0.9976251547967403</c:v>
                </c:pt>
                <c:pt idx="15">
                  <c:v>0.99936207053892745</c:v>
                </c:pt>
                <c:pt idx="16">
                  <c:v>0.99984374547949573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0F6-BB0C-A0647ACA4112}"/>
            </c:ext>
          </c:extLst>
        </c:ser>
        <c:ser>
          <c:idx val="1"/>
          <c:order val="1"/>
          <c:tx>
            <c:strRef>
              <c:f>call!$AQ$10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call!$AQ$11:$AQ$27</c:f>
              <c:numCache>
                <c:formatCode>General</c:formatCode>
                <c:ptCount val="17"/>
                <c:pt idx="0">
                  <c:v>9.7471862538906133E-5</c:v>
                </c:pt>
                <c:pt idx="1">
                  <c:v>8.7737836912211542E-4</c:v>
                </c:pt>
                <c:pt idx="2">
                  <c:v>4.9901816736536639E-3</c:v>
                </c:pt>
                <c:pt idx="3">
                  <c:v>1.9591189701574866E-2</c:v>
                </c:pt>
                <c:pt idx="4">
                  <c:v>5.6913337986291397E-2</c:v>
                </c:pt>
                <c:pt idx="5">
                  <c:v>0.1293739652284181</c:v>
                </c:pt>
                <c:pt idx="6">
                  <c:v>0.24092762709076576</c:v>
                </c:pt>
                <c:pt idx="7">
                  <c:v>0.3819633040789554</c:v>
                </c:pt>
                <c:pt idx="8">
                  <c:v>0.53267233292182181</c:v>
                </c:pt>
                <c:pt idx="9">
                  <c:v>0.67207480164598299</c:v>
                </c:pt>
                <c:pt idx="10">
                  <c:v>0.78593314054026053</c:v>
                </c:pt>
                <c:pt idx="11">
                  <c:v>0.86943263666792814</c:v>
                </c:pt>
                <c:pt idx="12">
                  <c:v>0.92519830817009863</c:v>
                </c:pt>
                <c:pt idx="13">
                  <c:v>0.95952522958374731</c:v>
                </c:pt>
                <c:pt idx="14">
                  <c:v>0.97920186730211123</c:v>
                </c:pt>
                <c:pt idx="15">
                  <c:v>0.98979805440371849</c:v>
                </c:pt>
                <c:pt idx="16">
                  <c:v>0.99519988085741351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0F6-BB0C-A0647ACA4112}"/>
            </c:ext>
          </c:extLst>
        </c:ser>
        <c:ser>
          <c:idx val="2"/>
          <c:order val="2"/>
          <c:tx>
            <c:strRef>
              <c:f>call!$AR$10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call!$AR$11:$AR$27</c:f>
              <c:numCache>
                <c:formatCode>General</c:formatCode>
                <c:ptCount val="17"/>
                <c:pt idx="0">
                  <c:v>1.3132659794663313E-3</c:v>
                </c:pt>
                <c:pt idx="1">
                  <c:v>5.8470110440321642E-3</c:v>
                </c:pt>
                <c:pt idx="2">
                  <c:v>1.9214994632873059E-2</c:v>
                </c:pt>
                <c:pt idx="3">
                  <c:v>4.9434506570869341E-2</c:v>
                </c:pt>
                <c:pt idx="4">
                  <c:v>0.10426956463923276</c:v>
                </c:pt>
                <c:pt idx="5">
                  <c:v>0.18709751221137358</c:v>
                </c:pt>
                <c:pt idx="6">
                  <c:v>0.29432689998056172</c:v>
                </c:pt>
                <c:pt idx="7">
                  <c:v>0.4161528933790935</c:v>
                </c:pt>
                <c:pt idx="8">
                  <c:v>0.53999288758705544</c:v>
                </c:pt>
                <c:pt idx="9">
                  <c:v>0.65444283411208759</c:v>
                </c:pt>
                <c:pt idx="10">
                  <c:v>0.75189182389050946</c:v>
                </c:pt>
                <c:pt idx="11">
                  <c:v>0.82919270948748747</c:v>
                </c:pt>
                <c:pt idx="12">
                  <c:v>0.88685853170876361</c:v>
                </c:pt>
                <c:pt idx="13">
                  <c:v>0.92763817410360494</c:v>
                </c:pt>
                <c:pt idx="14">
                  <c:v>0.95516243259384059</c:v>
                </c:pt>
                <c:pt idx="15">
                  <c:v>0.97299735807546184</c:v>
                </c:pt>
                <c:pt idx="16">
                  <c:v>0.98414791288614301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13-40F6-BB0C-A0647ACA4112}"/>
            </c:ext>
          </c:extLst>
        </c:ser>
        <c:ser>
          <c:idx val="3"/>
          <c:order val="3"/>
          <c:tx>
            <c:strRef>
              <c:f>call!$AS$10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call!$AS$11:$AS$27</c:f>
              <c:numCache>
                <c:formatCode>General</c:formatCode>
                <c:ptCount val="17"/>
                <c:pt idx="0">
                  <c:v>4.992660033900336E-3</c:v>
                </c:pt>
                <c:pt idx="1">
                  <c:v>1.5601464786896047E-2</c:v>
                </c:pt>
                <c:pt idx="2">
                  <c:v>3.8875096230606622E-2</c:v>
                </c:pt>
                <c:pt idx="3">
                  <c:v>8.0716619021007047E-2</c:v>
                </c:pt>
                <c:pt idx="4">
                  <c:v>0.14454509647225661</c:v>
                </c:pt>
                <c:pt idx="5">
                  <c:v>0.22946806891671254</c:v>
                </c:pt>
                <c:pt idx="6">
                  <c:v>0.33020452050949323</c:v>
                </c:pt>
                <c:pt idx="7">
                  <c:v>0.43865142750198133</c:v>
                </c:pt>
                <c:pt idx="8">
                  <c:v>0.54615398735857779</c:v>
                </c:pt>
                <c:pt idx="9">
                  <c:v>0.64546184621426217</c:v>
                </c:pt>
                <c:pt idx="10">
                  <c:v>0.7318042573881709</c:v>
                </c:pt>
                <c:pt idx="11">
                  <c:v>0.80304840536517041</c:v>
                </c:pt>
                <c:pt idx="12">
                  <c:v>0.85923063815805933</c:v>
                </c:pt>
                <c:pt idx="13">
                  <c:v>0.90182488378357173</c:v>
                </c:pt>
                <c:pt idx="14">
                  <c:v>0.93302831921275364</c:v>
                </c:pt>
                <c:pt idx="15">
                  <c:v>0.95521216048553548</c:v>
                </c:pt>
                <c:pt idx="16">
                  <c:v>0.97057515521784565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13-40F6-BB0C-A0647ACA4112}"/>
            </c:ext>
          </c:extLst>
        </c:ser>
        <c:ser>
          <c:idx val="4"/>
          <c:order val="4"/>
          <c:tx>
            <c:strRef>
              <c:f>call!$AT$10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call!$AT$11:$AT$27</c:f>
              <c:numCache>
                <c:formatCode>General</c:formatCode>
                <c:ptCount val="17"/>
                <c:pt idx="0">
                  <c:v>1.1350817464731676E-2</c:v>
                </c:pt>
                <c:pt idx="1">
                  <c:v>2.8644857358513225E-2</c:v>
                </c:pt>
                <c:pt idx="2">
                  <c:v>6.0361557489523619E-2</c:v>
                </c:pt>
                <c:pt idx="3">
                  <c:v>0.11000339750396831</c:v>
                </c:pt>
                <c:pt idx="4">
                  <c:v>0.17819321540160804</c:v>
                </c:pt>
                <c:pt idx="5">
                  <c:v>0.26223006736843324</c:v>
                </c:pt>
                <c:pt idx="6">
                  <c:v>0.35679534006601854</c:v>
                </c:pt>
                <c:pt idx="7">
                  <c:v>0.45534721551467583</c:v>
                </c:pt>
                <c:pt idx="8">
                  <c:v>0.55157288637548119</c:v>
                </c:pt>
                <c:pt idx="9">
                  <c:v>0.64044005264399373</c:v>
                </c:pt>
                <c:pt idx="10">
                  <c:v>0.71868272096314856</c:v>
                </c:pt>
                <c:pt idx="11">
                  <c:v>0.78479210831011448</c:v>
                </c:pt>
                <c:pt idx="12">
                  <c:v>0.83869492248144772</c:v>
                </c:pt>
                <c:pt idx="13">
                  <c:v>0.8813068623898227</c:v>
                </c:pt>
                <c:pt idx="14">
                  <c:v>0.91409849026161683</c:v>
                </c:pt>
                <c:pt idx="15">
                  <c:v>0.93874735257652986</c:v>
                </c:pt>
                <c:pt idx="16">
                  <c:v>0.95689898642329607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13-40F6-BB0C-A0647ACA4112}"/>
            </c:ext>
          </c:extLst>
        </c:ser>
        <c:ser>
          <c:idx val="5"/>
          <c:order val="5"/>
          <c:tx>
            <c:strRef>
              <c:f>call!$AU$10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call!$AU$11:$AU$27</c:f>
              <c:numCache>
                <c:formatCode>General</c:formatCode>
                <c:ptCount val="17"/>
                <c:pt idx="0">
                  <c:v>1.9879978802043376E-2</c:v>
                </c:pt>
                <c:pt idx="1">
                  <c:v>4.3468137473605249E-2</c:v>
                </c:pt>
                <c:pt idx="2">
                  <c:v>8.1828768636166921E-2</c:v>
                </c:pt>
                <c:pt idx="3">
                  <c:v>0.13654438951976758</c:v>
                </c:pt>
                <c:pt idx="4">
                  <c:v>0.20660792036453604</c:v>
                </c:pt>
                <c:pt idx="5">
                  <c:v>0.28864049524186719</c:v>
                </c:pt>
                <c:pt idx="6">
                  <c:v>0.37775204713439936</c:v>
                </c:pt>
                <c:pt idx="7">
                  <c:v>0.46862695070489663</c:v>
                </c:pt>
                <c:pt idx="8">
                  <c:v>0.55646370539182832</c:v>
                </c:pt>
                <c:pt idx="9">
                  <c:v>0.6375691792945577</c:v>
                </c:pt>
                <c:pt idx="10">
                  <c:v>0.70958032306564656</c:v>
                </c:pt>
                <c:pt idx="11">
                  <c:v>0.77139506484411136</c:v>
                </c:pt>
                <c:pt idx="12">
                  <c:v>0.82293195018806276</c:v>
                </c:pt>
                <c:pt idx="13">
                  <c:v>0.86482705141973804</c:v>
                </c:pt>
                <c:pt idx="14">
                  <c:v>0.89814375452956496</c:v>
                </c:pt>
                <c:pt idx="15">
                  <c:v>0.92413592245152854</c:v>
                </c:pt>
                <c:pt idx="16">
                  <c:v>0.94407756560009015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13-40F6-BB0C-A0647ACA4112}"/>
            </c:ext>
          </c:extLst>
        </c:ser>
        <c:ser>
          <c:idx val="6"/>
          <c:order val="6"/>
          <c:tx>
            <c:strRef>
              <c:f>call!$AV$10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call!$AV$11:$AV$27</c:f>
              <c:numCache>
                <c:formatCode>General</c:formatCode>
                <c:ptCount val="17"/>
                <c:pt idx="0">
                  <c:v>2.9932244764737284E-2</c:v>
                </c:pt>
                <c:pt idx="1">
                  <c:v>5.9038935425869576E-2</c:v>
                </c:pt>
                <c:pt idx="2">
                  <c:v>0.10246339188434647</c:v>
                </c:pt>
                <c:pt idx="3">
                  <c:v>0.16041221101185985</c:v>
                </c:pt>
                <c:pt idx="4">
                  <c:v>0.23097566222627239</c:v>
                </c:pt>
                <c:pt idx="5">
                  <c:v>0.31061663415168483</c:v>
                </c:pt>
                <c:pt idx="6">
                  <c:v>0.39497379522555537</c:v>
                </c:pt>
                <c:pt idx="7">
                  <c:v>0.47967483058661126</c:v>
                </c:pt>
                <c:pt idx="8">
                  <c:v>0.56095371673383299</c:v>
                </c:pt>
                <c:pt idx="9">
                  <c:v>0.63599441741087059</c:v>
                </c:pt>
                <c:pt idx="10">
                  <c:v>0.70302215257089251</c:v>
                </c:pt>
                <c:pt idx="11">
                  <c:v>0.76121383901599127</c:v>
                </c:pt>
                <c:pt idx="12">
                  <c:v>0.81050916202186163</c:v>
                </c:pt>
                <c:pt idx="13">
                  <c:v>0.85138984659601924</c:v>
                </c:pt>
                <c:pt idx="14">
                  <c:v>0.8846722298971994</c:v>
                </c:pt>
                <c:pt idx="15">
                  <c:v>0.91133681457196536</c:v>
                </c:pt>
                <c:pt idx="16">
                  <c:v>0.93240240791875728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13-40F6-BB0C-A0647ACA4112}"/>
            </c:ext>
          </c:extLst>
        </c:ser>
        <c:ser>
          <c:idx val="7"/>
          <c:order val="7"/>
          <c:tx>
            <c:strRef>
              <c:f>call!$AW$10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call!$AW$11:$AW$27</c:f>
              <c:numCache>
                <c:formatCode>General</c:formatCode>
                <c:ptCount val="17"/>
                <c:pt idx="0">
                  <c:v>4.0950902335764483E-2</c:v>
                </c:pt>
                <c:pt idx="1">
                  <c:v>7.4728116021825122E-2</c:v>
                </c:pt>
                <c:pt idx="2">
                  <c:v>0.12195471445596062</c:v>
                </c:pt>
                <c:pt idx="3">
                  <c:v>0.18189962970104831</c:v>
                </c:pt>
                <c:pt idx="4">
                  <c:v>0.2521853492329863</c:v>
                </c:pt>
                <c:pt idx="5">
                  <c:v>0.32935533629557545</c:v>
                </c:pt>
                <c:pt idx="6">
                  <c:v>0.4095599317357414</c:v>
                </c:pt>
                <c:pt idx="7">
                  <c:v>0.48915788300334873</c:v>
                </c:pt>
                <c:pt idx="8">
                  <c:v>0.56512589389530654</c:v>
                </c:pt>
                <c:pt idx="9">
                  <c:v>0.63525669084775627</c:v>
                </c:pt>
                <c:pt idx="10">
                  <c:v>0.69818182521677907</c:v>
                </c:pt>
                <c:pt idx="11">
                  <c:v>0.75327765691030435</c:v>
                </c:pt>
                <c:pt idx="12">
                  <c:v>0.80051177059449707</c:v>
                </c:pt>
                <c:pt idx="13">
                  <c:v>0.84027414396084255</c:v>
                </c:pt>
                <c:pt idx="14">
                  <c:v>0.87322148228571717</c:v>
                </c:pt>
                <c:pt idx="15">
                  <c:v>0.90014918606468963</c:v>
                </c:pt>
                <c:pt idx="16">
                  <c:v>0.92189531953464121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13-40F6-BB0C-A0647ACA4112}"/>
            </c:ext>
          </c:extLst>
        </c:ser>
        <c:ser>
          <c:idx val="8"/>
          <c:order val="8"/>
          <c:tx>
            <c:strRef>
              <c:f>call!$AX$10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call!$AX$11:$AX$27</c:f>
              <c:numCache>
                <c:formatCode>General</c:formatCode>
                <c:ptCount val="17"/>
                <c:pt idx="0">
                  <c:v>5.2516002614189643E-2</c:v>
                </c:pt>
                <c:pt idx="1">
                  <c:v>9.0172813400075422E-2</c:v>
                </c:pt>
                <c:pt idx="2">
                  <c:v>0.1402263966706617</c:v>
                </c:pt>
                <c:pt idx="3">
                  <c:v>0.20132818570829822</c:v>
                </c:pt>
                <c:pt idx="4">
                  <c:v>0.27089074616784536</c:v>
                </c:pt>
                <c:pt idx="5">
                  <c:v>0.3456438956868198</c:v>
                </c:pt>
                <c:pt idx="6">
                  <c:v>0.42219791583544131</c:v>
                </c:pt>
                <c:pt idx="7">
                  <c:v>0.49748628363861275</c:v>
                </c:pt>
                <c:pt idx="8">
                  <c:v>0.56903790416143729</c:v>
                </c:pt>
                <c:pt idx="9">
                  <c:v>0.63508678730440149</c:v>
                </c:pt>
                <c:pt idx="10">
                  <c:v>0.69455768345693381</c:v>
                </c:pt>
                <c:pt idx="11">
                  <c:v>0.74697433142683922</c:v>
                </c:pt>
                <c:pt idx="12">
                  <c:v>0.79233157169098423</c:v>
                </c:pt>
                <c:pt idx="13">
                  <c:v>0.83096150825161674</c:v>
                </c:pt>
                <c:pt idx="14">
                  <c:v>0.86341232176687477</c:v>
                </c:pt>
                <c:pt idx="15">
                  <c:v>0.89034882296294016</c:v>
                </c:pt>
                <c:pt idx="16">
                  <c:v>0.9124771715221327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13-40F6-BB0C-A0647ACA4112}"/>
            </c:ext>
          </c:extLst>
        </c:ser>
        <c:ser>
          <c:idx val="9"/>
          <c:order val="9"/>
          <c:tx>
            <c:strRef>
              <c:f>call!$AY$10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call!$AY$11:$AY$27</c:f>
              <c:numCache>
                <c:formatCode>General</c:formatCode>
                <c:ptCount val="17"/>
                <c:pt idx="0">
                  <c:v>6.4328563178374959E-2</c:v>
                </c:pt>
                <c:pt idx="1">
                  <c:v>0.10517388780770233</c:v>
                </c:pt>
                <c:pt idx="2">
                  <c:v>0.1573080672154468</c:v>
                </c:pt>
                <c:pt idx="3">
                  <c:v>0.21899056011833215</c:v>
                </c:pt>
                <c:pt idx="4">
                  <c:v>0.28757654881407335</c:v>
                </c:pt>
                <c:pt idx="5">
                  <c:v>0.36002333083467092</c:v>
                </c:pt>
                <c:pt idx="6">
                  <c:v>0.43334341092094791</c:v>
                </c:pt>
                <c:pt idx="7">
                  <c:v>0.50492907988438374</c:v>
                </c:pt>
                <c:pt idx="8">
                  <c:v>0.57273175930304054</c:v>
                </c:pt>
                <c:pt idx="9">
                  <c:v>0.63531632275589001</c:v>
                </c:pt>
                <c:pt idx="10">
                  <c:v>0.69182637898167587</c:v>
                </c:pt>
                <c:pt idx="11">
                  <c:v>0.74189753633829758</c:v>
                </c:pt>
                <c:pt idx="12">
                  <c:v>0.78554896929810647</c:v>
                </c:pt>
                <c:pt idx="13">
                  <c:v>0.82307441711333773</c:v>
                </c:pt>
                <c:pt idx="14">
                  <c:v>0.85494512380940124</c:v>
                </c:pt>
                <c:pt idx="15">
                  <c:v>0.88173051157264637</c:v>
                </c:pt>
                <c:pt idx="16">
                  <c:v>0.90403781886513113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13-40F6-BB0C-A0647ACA4112}"/>
            </c:ext>
          </c:extLst>
        </c:ser>
        <c:ser>
          <c:idx val="10"/>
          <c:order val="10"/>
          <c:tx>
            <c:strRef>
              <c:f>call!$AZ$10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call!$AZ$11:$AZ$27</c:f>
              <c:numCache>
                <c:formatCode>General</c:formatCode>
                <c:ptCount val="17"/>
                <c:pt idx="0">
                  <c:v>0.17239197114368851</c:v>
                </c:pt>
                <c:pt idx="1">
                  <c:v>0.22479684393807561</c:v>
                </c:pt>
                <c:pt idx="2">
                  <c:v>0.28047924339879649</c:v>
                </c:pt>
                <c:pt idx="3">
                  <c:v>0.33768091083242541</c:v>
                </c:pt>
                <c:pt idx="4">
                  <c:v>0.39485704248118841</c:v>
                </c:pt>
                <c:pt idx="5">
                  <c:v>0.45074144633462454</c:v>
                </c:pt>
                <c:pt idx="6">
                  <c:v>0.50436249428511837</c:v>
                </c:pt>
                <c:pt idx="7">
                  <c:v>0.55502719539571732</c:v>
                </c:pt>
                <c:pt idx="8">
                  <c:v>0.60228749680470339</c:v>
                </c:pt>
                <c:pt idx="9">
                  <c:v>0.64589902155139922</c:v>
                </c:pt>
                <c:pt idx="10">
                  <c:v>0.68577893776060739</c:v>
                </c:pt>
                <c:pt idx="11">
                  <c:v>0.72196690064701641</c:v>
                </c:pt>
                <c:pt idx="12">
                  <c:v>0.754591046066726</c:v>
                </c:pt>
                <c:pt idx="13">
                  <c:v>0.78383972120701739</c:v>
                </c:pt>
                <c:pt idx="14">
                  <c:v>0.80993885351262629</c:v>
                </c:pt>
                <c:pt idx="15">
                  <c:v>0.83313443249219921</c:v>
                </c:pt>
                <c:pt idx="16">
                  <c:v>0.85367938888663453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13-40F6-BB0C-A0647ACA4112}"/>
            </c:ext>
          </c:extLst>
        </c:ser>
        <c:ser>
          <c:idx val="11"/>
          <c:order val="11"/>
          <c:tx>
            <c:strRef>
              <c:f>call!$BA$10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call!$BA$11:$BA$27</c:f>
              <c:numCache>
                <c:formatCode>General</c:formatCode>
                <c:ptCount val="17"/>
                <c:pt idx="0">
                  <c:v>0.25285203319023192</c:v>
                </c:pt>
                <c:pt idx="1">
                  <c:v>0.3045006830407393</c:v>
                </c:pt>
                <c:pt idx="2">
                  <c:v>0.35610910688425379</c:v>
                </c:pt>
                <c:pt idx="3">
                  <c:v>0.40667685470200449</c:v>
                </c:pt>
                <c:pt idx="4">
                  <c:v>0.45545241211238541</c:v>
                </c:pt>
                <c:pt idx="5">
                  <c:v>0.50190487130170336</c:v>
                </c:pt>
                <c:pt idx="6">
                  <c:v>0.54568875929400229</c:v>
                </c:pt>
                <c:pt idx="7">
                  <c:v>0.58660823860191547</c:v>
                </c:pt>
                <c:pt idx="8">
                  <c:v>0.62458405795544159</c:v>
                </c:pt>
                <c:pt idx="9">
                  <c:v>0.65962480217204278</c:v>
                </c:pt>
                <c:pt idx="10">
                  <c:v>0.69180288754629138</c:v>
                </c:pt>
                <c:pt idx="11">
                  <c:v>0.72123513401713546</c:v>
                </c:pt>
                <c:pt idx="12">
                  <c:v>0.74806744044833073</c:v>
                </c:pt>
                <c:pt idx="13">
                  <c:v>0.77246297183665924</c:v>
                </c:pt>
                <c:pt idx="14">
                  <c:v>0.79459325631183764</c:v>
                </c:pt>
                <c:pt idx="15">
                  <c:v>0.81463163438593589</c:v>
                </c:pt>
                <c:pt idx="16">
                  <c:v>0.83274857213885123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13-40F6-BB0C-A0647ACA4112}"/>
            </c:ext>
          </c:extLst>
        </c:ser>
        <c:ser>
          <c:idx val="12"/>
          <c:order val="12"/>
          <c:tx>
            <c:strRef>
              <c:f>call!$BB$10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call!$BB$11:$BB$27</c:f>
              <c:numCache>
                <c:formatCode>General</c:formatCode>
                <c:ptCount val="17"/>
                <c:pt idx="0">
                  <c:v>0.31394125841594145</c:v>
                </c:pt>
                <c:pt idx="1">
                  <c:v>0.36267982457804149</c:v>
                </c:pt>
                <c:pt idx="2">
                  <c:v>0.40990413904026235</c:v>
                </c:pt>
                <c:pt idx="3">
                  <c:v>0.45509318992994574</c:v>
                </c:pt>
                <c:pt idx="4">
                  <c:v>0.49790985034594043</c:v>
                </c:pt>
                <c:pt idx="5">
                  <c:v>0.53816099984174448</c:v>
                </c:pt>
                <c:pt idx="6">
                  <c:v>0.57576298201651444</c:v>
                </c:pt>
                <c:pt idx="7">
                  <c:v>0.61071300082010072</c:v>
                </c:pt>
                <c:pt idx="8">
                  <c:v>0.64306616326250143</c:v>
                </c:pt>
                <c:pt idx="9">
                  <c:v>0.67291748622828185</c:v>
                </c:pt>
                <c:pt idx="10">
                  <c:v>0.70038806898924744</c:v>
                </c:pt>
                <c:pt idx="11">
                  <c:v>0.72561465541937875</c:v>
                </c:pt>
                <c:pt idx="12">
                  <c:v>0.74874189438577665</c:v>
                </c:pt>
                <c:pt idx="13">
                  <c:v>0.76991671192728905</c:v>
                </c:pt>
                <c:pt idx="14">
                  <c:v>0.78928431354169604</c:v>
                </c:pt>
                <c:pt idx="15">
                  <c:v>0.80698542949219532</c:v>
                </c:pt>
                <c:pt idx="16">
                  <c:v>0.82315449700674104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B13-40F6-BB0C-A0647ACA4112}"/>
            </c:ext>
          </c:extLst>
        </c:ser>
        <c:ser>
          <c:idx val="13"/>
          <c:order val="13"/>
          <c:tx>
            <c:strRef>
              <c:f>call!$BC$10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call!$BC$11:$BC$27</c:f>
              <c:numCache>
                <c:formatCode>General</c:formatCode>
                <c:ptCount val="17"/>
                <c:pt idx="0">
                  <c:v>0.3625886029317465</c:v>
                </c:pt>
                <c:pt idx="1">
                  <c:v>0.4081806753100849</c:v>
                </c:pt>
                <c:pt idx="2">
                  <c:v>0.45154699490085998</c:v>
                </c:pt>
                <c:pt idx="3">
                  <c:v>0.49245831881467117</c:v>
                </c:pt>
                <c:pt idx="4">
                  <c:v>0.53080875955769424</c:v>
                </c:pt>
                <c:pt idx="5">
                  <c:v>0.56658125708655704</c:v>
                </c:pt>
                <c:pt idx="6">
                  <c:v>0.59982092332225356</c:v>
                </c:pt>
                <c:pt idx="7">
                  <c:v>0.63061486355917407</c:v>
                </c:pt>
                <c:pt idx="8">
                  <c:v>0.65907714492767744</c:v>
                </c:pt>
                <c:pt idx="9">
                  <c:v>0.68533776358227261</c:v>
                </c:pt>
                <c:pt idx="10">
                  <c:v>0.70953466945632937</c:v>
                </c:pt>
                <c:pt idx="11">
                  <c:v>0.7318081009305093</c:v>
                </c:pt>
                <c:pt idx="12">
                  <c:v>0.75229664733269386</c:v>
                </c:pt>
                <c:pt idx="13">
                  <c:v>0.77113459229413017</c:v>
                </c:pt>
                <c:pt idx="14">
                  <c:v>0.78845019812977468</c:v>
                </c:pt>
                <c:pt idx="15">
                  <c:v>0.80436467483037943</c:v>
                </c:pt>
                <c:pt idx="16">
                  <c:v>0.81899164140300906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B13-40F6-BB0C-A0647ACA4112}"/>
            </c:ext>
          </c:extLst>
        </c:ser>
        <c:bandFmts/>
        <c:axId val="893224416"/>
        <c:axId val="893238336"/>
        <c:axId val="1925296992"/>
      </c:surface3DChart>
      <c:catAx>
        <c:axId val="89322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aseline="0"/>
                  <a:t>price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  <c:auto val="1"/>
        <c:lblAlgn val="ctr"/>
        <c:lblOffset val="100"/>
        <c:noMultiLvlLbl val="0"/>
      </c:catAx>
      <c:valAx>
        <c:axId val="8932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24416"/>
        <c:crosses val="autoZero"/>
        <c:crossBetween val="midCat"/>
      </c:valAx>
      <c:serAx>
        <c:axId val="1925296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time</a:t>
                </a:r>
                <a:r>
                  <a:rPr lang="it-IT" baseline="0"/>
                  <a:t> at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solidFill>
        <a:schemeClr val="bg2"/>
      </a:solidFill>
    </a:ln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Theta,</a:t>
            </a:r>
            <a:r>
              <a:rPr lang="it-IT" baseline="0"/>
              <a:t> volatility = 0,2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call!$F$50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call!$F$51:$F$67</c:f>
              <c:numCache>
                <c:formatCode>General</c:formatCode>
                <c:ptCount val="17"/>
                <c:pt idx="0">
                  <c:v>-2.0824866053344973E-16</c:v>
                </c:pt>
                <c:pt idx="1">
                  <c:v>-2.6248667904048782E-12</c:v>
                </c:pt>
                <c:pt idx="2">
                  <c:v>-3.9404830525703291E-9</c:v>
                </c:pt>
                <c:pt idx="3">
                  <c:v>-1.0397680648206159E-6</c:v>
                </c:pt>
                <c:pt idx="4">
                  <c:v>-6.5223093214192003E-5</c:v>
                </c:pt>
                <c:pt idx="5">
                  <c:v>-1.2340908727128785E-3</c:v>
                </c:pt>
                <c:pt idx="6">
                  <c:v>-8.522520099390616E-3</c:v>
                </c:pt>
                <c:pt idx="7">
                  <c:v>-2.5090681011235426E-2</c:v>
                </c:pt>
                <c:pt idx="8">
                  <c:v>-3.587582727634072E-2</c:v>
                </c:pt>
                <c:pt idx="9">
                  <c:v>-2.8074920944821148E-2</c:v>
                </c:pt>
                <c:pt idx="10">
                  <c:v>-1.390982216942876E-2</c:v>
                </c:pt>
                <c:pt idx="11">
                  <c:v>-5.8093284971568572E-3</c:v>
                </c:pt>
                <c:pt idx="12">
                  <c:v>-3.2980350877409507E-3</c:v>
                </c:pt>
                <c:pt idx="13">
                  <c:v>-2.8086986391150509E-3</c:v>
                </c:pt>
                <c:pt idx="14">
                  <c:v>-2.7436959995603759E-3</c:v>
                </c:pt>
                <c:pt idx="15">
                  <c:v>-2.7374648639591839E-3</c:v>
                </c:pt>
                <c:pt idx="16">
                  <c:v>-2.7370143482358727E-3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E-4C15-B950-2D27A4FE497F}"/>
            </c:ext>
          </c:extLst>
        </c:ser>
        <c:ser>
          <c:idx val="1"/>
          <c:order val="1"/>
          <c:tx>
            <c:strRef>
              <c:f>call!$G$50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call!$G$51:$G$67</c:f>
              <c:numCache>
                <c:formatCode>General</c:formatCode>
                <c:ptCount val="17"/>
                <c:pt idx="0">
                  <c:v>-1.7867609363612641E-9</c:v>
                </c:pt>
                <c:pt idx="1">
                  <c:v>-2.0280984836933173E-7</c:v>
                </c:pt>
                <c:pt idx="2">
                  <c:v>-7.9406924481039188E-6</c:v>
                </c:pt>
                <c:pt idx="3">
                  <c:v>-1.3031085671558085E-4</c:v>
                </c:pt>
                <c:pt idx="4">
                  <c:v>-1.04263926294409E-3</c:v>
                </c:pt>
                <c:pt idx="5">
                  <c:v>-4.5832538113903584E-3</c:v>
                </c:pt>
                <c:pt idx="6">
                  <c:v>-1.2182280442978789E-2</c:v>
                </c:pt>
                <c:pt idx="7">
                  <c:v>-2.1177711703521649E-2</c:v>
                </c:pt>
                <c:pt idx="8">
                  <c:v>-2.5727864909208493E-2</c:v>
                </c:pt>
                <c:pt idx="9">
                  <c:v>-2.3184753682297981E-2</c:v>
                </c:pt>
                <c:pt idx="10">
                  <c:v>-1.648317141010695E-2</c:v>
                </c:pt>
                <c:pt idx="11">
                  <c:v>-1.0014379216774616E-2</c:v>
                </c:pt>
                <c:pt idx="12">
                  <c:v>-5.8706418488279595E-3</c:v>
                </c:pt>
                <c:pt idx="13">
                  <c:v>-3.8635314166789309E-3</c:v>
                </c:pt>
                <c:pt idx="14">
                  <c:v>-3.0818546636658525E-3</c:v>
                </c:pt>
                <c:pt idx="15">
                  <c:v>-2.8275045728677456E-3</c:v>
                </c:pt>
                <c:pt idx="16">
                  <c:v>-2.7564210044982709E-3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0E-4C15-B950-2D27A4FE497F}"/>
            </c:ext>
          </c:extLst>
        </c:ser>
        <c:ser>
          <c:idx val="2"/>
          <c:order val="2"/>
          <c:tx>
            <c:strRef>
              <c:f>call!$H$50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call!$H$51:$H$67</c:f>
              <c:numCache>
                <c:formatCode>General</c:formatCode>
                <c:ptCount val="17"/>
                <c:pt idx="0">
                  <c:v>-3.3577670640289765E-7</c:v>
                </c:pt>
                <c:pt idx="1">
                  <c:v>-7.9321511715336207E-6</c:v>
                </c:pt>
                <c:pt idx="2">
                  <c:v>-9.2140485212822404E-5</c:v>
                </c:pt>
                <c:pt idx="3">
                  <c:v>-5.9937806731496612E-4</c:v>
                </c:pt>
                <c:pt idx="4">
                  <c:v>-2.4154996273794385E-3</c:v>
                </c:pt>
                <c:pt idx="5">
                  <c:v>-6.5319029442229837E-3</c:v>
                </c:pt>
                <c:pt idx="6">
                  <c:v>-1.2638171987152169E-2</c:v>
                </c:pt>
                <c:pt idx="7">
                  <c:v>-1.8442912923839445E-2</c:v>
                </c:pt>
                <c:pt idx="8">
                  <c:v>-2.1223907267268485E-2</c:v>
                </c:pt>
                <c:pt idx="9">
                  <c:v>-2.0039403437062866E-2</c:v>
                </c:pt>
                <c:pt idx="10">
                  <c:v>-1.6135498223984416E-2</c:v>
                </c:pt>
                <c:pt idx="11">
                  <c:v>-1.156850523739634E-2</c:v>
                </c:pt>
                <c:pt idx="12">
                  <c:v>-7.8030659645640281E-3</c:v>
                </c:pt>
                <c:pt idx="13">
                  <c:v>-5.3118725073616844E-3</c:v>
                </c:pt>
                <c:pt idx="14">
                  <c:v>-3.9133995405080772E-3</c:v>
                </c:pt>
                <c:pt idx="15">
                  <c:v>-3.2252351948221258E-3</c:v>
                </c:pt>
                <c:pt idx="16">
                  <c:v>-2.9217319094192152E-3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0E-4C15-B950-2D27A4FE497F}"/>
            </c:ext>
          </c:extLst>
        </c:ser>
        <c:ser>
          <c:idx val="3"/>
          <c:order val="3"/>
          <c:tx>
            <c:strRef>
              <c:f>call!$I$50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call!$I$51:$I$67</c:f>
              <c:numCache>
                <c:formatCode>General</c:formatCode>
                <c:ptCount val="17"/>
                <c:pt idx="0">
                  <c:v>-4.4165655198783056E-6</c:v>
                </c:pt>
                <c:pt idx="1">
                  <c:v>-4.7608365958502972E-5</c:v>
                </c:pt>
                <c:pt idx="2">
                  <c:v>-3.0130195547792748E-4</c:v>
                </c:pt>
                <c:pt idx="3">
                  <c:v>-1.234372742904436E-3</c:v>
                </c:pt>
                <c:pt idx="4">
                  <c:v>-3.5316160394163161E-3</c:v>
                </c:pt>
                <c:pt idx="5">
                  <c:v>-7.4930015931228399E-3</c:v>
                </c:pt>
                <c:pt idx="6">
                  <c:v>-1.2373426930014803E-2</c:v>
                </c:pt>
                <c:pt idx="7">
                  <c:v>-1.6547567498754211E-2</c:v>
                </c:pt>
                <c:pt idx="8">
                  <c:v>-1.8534111296167922E-2</c:v>
                </c:pt>
                <c:pt idx="9">
                  <c:v>-1.7908730655282385E-2</c:v>
                </c:pt>
                <c:pt idx="10">
                  <c:v>-1.5351647729673084E-2</c:v>
                </c:pt>
                <c:pt idx="11">
                  <c:v>-1.2018696753959566E-2</c:v>
                </c:pt>
                <c:pt idx="12">
                  <c:v>-8.8845768479806544E-3</c:v>
                </c:pt>
                <c:pt idx="13">
                  <c:v>-6.4531026694396396E-3</c:v>
                </c:pt>
                <c:pt idx="14">
                  <c:v>-4.8102377432509861E-3</c:v>
                </c:pt>
                <c:pt idx="15">
                  <c:v>-3.81404713846089E-3</c:v>
                </c:pt>
                <c:pt idx="16">
                  <c:v>-3.2611666304648871E-3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0E-4C15-B950-2D27A4FE497F}"/>
            </c:ext>
          </c:extLst>
        </c:ser>
        <c:ser>
          <c:idx val="4"/>
          <c:order val="4"/>
          <c:tx>
            <c:strRef>
              <c:f>call!$J$50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call!$J$51:$J$67</c:f>
              <c:numCache>
                <c:formatCode>General</c:formatCode>
                <c:ptCount val="17"/>
                <c:pt idx="0">
                  <c:v>-2.0225469566983438E-5</c:v>
                </c:pt>
                <c:pt idx="1">
                  <c:v>-1.3618275715220169E-4</c:v>
                </c:pt>
                <c:pt idx="2">
                  <c:v>-5.9878975718341467E-4</c:v>
                </c:pt>
                <c:pt idx="3">
                  <c:v>-1.8591772491187443E-3</c:v>
                </c:pt>
                <c:pt idx="4">
                  <c:v>-4.3318309302801308E-3</c:v>
                </c:pt>
                <c:pt idx="5">
                  <c:v>-7.9475655930915743E-3</c:v>
                </c:pt>
                <c:pt idx="6">
                  <c:v>-1.1936056934393841E-2</c:v>
                </c:pt>
                <c:pt idx="7">
                  <c:v>-1.5149999772640718E-2</c:v>
                </c:pt>
                <c:pt idx="8">
                  <c:v>-1.669513433372764E-2</c:v>
                </c:pt>
                <c:pt idx="9">
                  <c:v>-1.6354709222323478E-2</c:v>
                </c:pt>
                <c:pt idx="10">
                  <c:v>-1.4556288444781544E-2</c:v>
                </c:pt>
                <c:pt idx="11">
                  <c:v>-1.2029245712727305E-2</c:v>
                </c:pt>
                <c:pt idx="12">
                  <c:v>-9.447633656340923E-3</c:v>
                </c:pt>
                <c:pt idx="13">
                  <c:v>-7.2390136516966219E-3</c:v>
                </c:pt>
                <c:pt idx="14">
                  <c:v>-5.568662598532218E-3</c:v>
                </c:pt>
                <c:pt idx="15">
                  <c:v>-4.4192724971741145E-3</c:v>
                </c:pt>
                <c:pt idx="16">
                  <c:v>-3.686374204713105E-3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0E-4C15-B950-2D27A4FE497F}"/>
            </c:ext>
          </c:extLst>
        </c:ser>
        <c:ser>
          <c:idx val="5"/>
          <c:order val="5"/>
          <c:tx>
            <c:strRef>
              <c:f>call!$K$50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call!$K$51:$K$67</c:f>
              <c:numCache>
                <c:formatCode>General</c:formatCode>
                <c:ptCount val="17"/>
                <c:pt idx="0">
                  <c:v>-5.4883488636290301E-5</c:v>
                </c:pt>
                <c:pt idx="1">
                  <c:v>-2.7006423463393585E-4</c:v>
                </c:pt>
                <c:pt idx="2">
                  <c:v>-9.3160424169297287E-4</c:v>
                </c:pt>
                <c:pt idx="3">
                  <c:v>-2.4047647486842693E-3</c:v>
                </c:pt>
                <c:pt idx="4">
                  <c:v>-4.886901600014427E-3</c:v>
                </c:pt>
                <c:pt idx="5">
                  <c:v>-8.1390639478204456E-3</c:v>
                </c:pt>
                <c:pt idx="6">
                  <c:v>-1.147563848433512E-2</c:v>
                </c:pt>
                <c:pt idx="7">
                  <c:v>-1.4067784566544894E-2</c:v>
                </c:pt>
                <c:pt idx="8">
                  <c:v>-1.5335148941544155E-2</c:v>
                </c:pt>
                <c:pt idx="9">
                  <c:v>-1.5159089366178054E-2</c:v>
                </c:pt>
                <c:pt idx="10">
                  <c:v>-1.3833641759089228E-2</c:v>
                </c:pt>
                <c:pt idx="11">
                  <c:v>-1.1856769750037936E-2</c:v>
                </c:pt>
                <c:pt idx="12">
                  <c:v>-9.7151881833421015E-3</c:v>
                </c:pt>
                <c:pt idx="13">
                  <c:v>-7.7560265365973153E-3</c:v>
                </c:pt>
                <c:pt idx="14">
                  <c:v>-6.1568434917161751E-3</c:v>
                </c:pt>
                <c:pt idx="15">
                  <c:v>-4.9586398490184145E-3</c:v>
                </c:pt>
                <c:pt idx="16">
                  <c:v>-4.1200040547638827E-3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0E-4C15-B950-2D27A4FE497F}"/>
            </c:ext>
          </c:extLst>
        </c:ser>
        <c:ser>
          <c:idx val="6"/>
          <c:order val="6"/>
          <c:tx>
            <c:strRef>
              <c:f>call!$L$50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call!$L$51:$L$67</c:f>
              <c:numCache>
                <c:formatCode>General</c:formatCode>
                <c:ptCount val="17"/>
                <c:pt idx="0">
                  <c:v>-1.107015493586071E-4</c:v>
                </c:pt>
                <c:pt idx="1">
                  <c:v>-4.3544627319080443E-4</c:v>
                </c:pt>
                <c:pt idx="2">
                  <c:v>-1.2631773869274513E-3</c:v>
                </c:pt>
                <c:pt idx="3">
                  <c:v>-2.8579845943357499E-3</c:v>
                </c:pt>
                <c:pt idx="4">
                  <c:v>-5.2679667427073381E-3</c:v>
                </c:pt>
                <c:pt idx="5">
                  <c:v>-8.1885639235653052E-3</c:v>
                </c:pt>
                <c:pt idx="6">
                  <c:v>-1.1037011543744306E-2</c:v>
                </c:pt>
                <c:pt idx="7">
                  <c:v>-1.3198563756395727E-2</c:v>
                </c:pt>
                <c:pt idx="8">
                  <c:v>-1.42762030354927E-2</c:v>
                </c:pt>
                <c:pt idx="9">
                  <c:v>-1.420289106003131E-2</c:v>
                </c:pt>
                <c:pt idx="10">
                  <c:v>-1.3193788050821954E-2</c:v>
                </c:pt>
                <c:pt idx="11">
                  <c:v>-1.1608721153305197E-2</c:v>
                </c:pt>
                <c:pt idx="12">
                  <c:v>-9.8125531154694967E-3</c:v>
                </c:pt>
                <c:pt idx="13">
                  <c:v>-8.0860834412880053E-3</c:v>
                </c:pt>
                <c:pt idx="14">
                  <c:v>-6.5964348968812203E-3</c:v>
                </c:pt>
                <c:pt idx="15">
                  <c:v>-5.4095217113988795E-3</c:v>
                </c:pt>
                <c:pt idx="16">
                  <c:v>-4.5211713226629997E-3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E-4C15-B950-2D27A4FE497F}"/>
            </c:ext>
          </c:extLst>
        </c:ser>
        <c:ser>
          <c:idx val="7"/>
          <c:order val="7"/>
          <c:tx>
            <c:strRef>
              <c:f>call!$M$50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call!$M$51:$M$67</c:f>
              <c:numCache>
                <c:formatCode>General</c:formatCode>
                <c:ptCount val="17"/>
                <c:pt idx="0">
                  <c:v>-1.8577586836861511E-4</c:v>
                </c:pt>
                <c:pt idx="1">
                  <c:v>-6.1782905440109872E-4</c:v>
                </c:pt>
                <c:pt idx="2">
                  <c:v>-1.5740008656708259E-3</c:v>
                </c:pt>
                <c:pt idx="3">
                  <c:v>-3.2262609285481081E-3</c:v>
                </c:pt>
                <c:pt idx="4">
                  <c:v>-5.5275294956448687E-3</c:v>
                </c:pt>
                <c:pt idx="5">
                  <c:v>-8.1590863415906181E-3</c:v>
                </c:pt>
                <c:pt idx="6">
                  <c:v>-1.0632526316781011E-2</c:v>
                </c:pt>
                <c:pt idx="7">
                  <c:v>-1.2480713076671431E-2</c:v>
                </c:pt>
                <c:pt idx="8">
                  <c:v>-1.342101472420478E-2</c:v>
                </c:pt>
                <c:pt idx="9">
                  <c:v>-1.341562550892862E-2</c:v>
                </c:pt>
                <c:pt idx="10">
                  <c:v>-1.2629283718799435E-2</c:v>
                </c:pt>
                <c:pt idx="11">
                  <c:v>-1.1333353730275371E-2</c:v>
                </c:pt>
                <c:pt idx="12">
                  <c:v>-9.8100075517420903E-3</c:v>
                </c:pt>
                <c:pt idx="13">
                  <c:v>-8.2882651691811981E-3</c:v>
                </c:pt>
                <c:pt idx="14">
                  <c:v>-6.9182826327776259E-3</c:v>
                </c:pt>
                <c:pt idx="15">
                  <c:v>-5.7745305581735906E-3</c:v>
                </c:pt>
                <c:pt idx="16">
                  <c:v>-4.8739454367226036E-3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0E-4C15-B950-2D27A4FE497F}"/>
            </c:ext>
          </c:extLst>
        </c:ser>
        <c:ser>
          <c:idx val="8"/>
          <c:order val="8"/>
          <c:tx>
            <c:strRef>
              <c:f>call!$N$50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call!$N$51:$N$67</c:f>
              <c:numCache>
                <c:formatCode>General</c:formatCode>
                <c:ptCount val="17"/>
                <c:pt idx="0">
                  <c:v>-2.7605758779448086E-4</c:v>
                </c:pt>
                <c:pt idx="1">
                  <c:v>-8.05754417427621E-4</c:v>
                </c:pt>
                <c:pt idx="2">
                  <c:v>-1.8556840243722011E-3</c:v>
                </c:pt>
                <c:pt idx="3">
                  <c:v>-3.5225471584751761E-3</c:v>
                </c:pt>
                <c:pt idx="4">
                  <c:v>-5.7018629445087735E-3</c:v>
                </c:pt>
                <c:pt idx="5">
                  <c:v>-8.0850577561104031E-3</c:v>
                </c:pt>
                <c:pt idx="6">
                  <c:v>-1.0263570156163148E-2</c:v>
                </c:pt>
                <c:pt idx="7">
                  <c:v>-1.187483186946591E-2</c:v>
                </c:pt>
                <c:pt idx="8">
                  <c:v>-1.2711318100461774E-2</c:v>
                </c:pt>
                <c:pt idx="9">
                  <c:v>-1.2752687748023357E-2</c:v>
                </c:pt>
                <c:pt idx="10">
                  <c:v>-1.2129489096126657E-2</c:v>
                </c:pt>
                <c:pt idx="11">
                  <c:v>-1.1053299709237146E-2</c:v>
                </c:pt>
                <c:pt idx="12">
                  <c:v>-9.7480496592227111E-3</c:v>
                </c:pt>
                <c:pt idx="13">
                  <c:v>-8.4027176497207014E-3</c:v>
                </c:pt>
                <c:pt idx="14">
                  <c:v>-7.1498751882786279E-3</c:v>
                </c:pt>
                <c:pt idx="15">
                  <c:v>-6.0646568044938082E-3</c:v>
                </c:pt>
                <c:pt idx="16">
                  <c:v>-5.1754408148985426E-3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0E-4C15-B950-2D27A4FE497F}"/>
            </c:ext>
          </c:extLst>
        </c:ser>
        <c:ser>
          <c:idx val="9"/>
          <c:order val="9"/>
          <c:tx>
            <c:strRef>
              <c:f>call!$O$50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call!$O$51:$O$67</c:f>
              <c:numCache>
                <c:formatCode>General</c:formatCode>
                <c:ptCount val="17"/>
                <c:pt idx="0">
                  <c:v>-3.769889628874361E-4</c:v>
                </c:pt>
                <c:pt idx="1">
                  <c:v>-9.9131500388700074E-4</c:v>
                </c:pt>
                <c:pt idx="2">
                  <c:v>-2.1060358663825907E-3</c:v>
                </c:pt>
                <c:pt idx="3">
                  <c:v>-3.7598067009455686E-3</c:v>
                </c:pt>
                <c:pt idx="4">
                  <c:v>-5.8157635441449815E-3</c:v>
                </c:pt>
                <c:pt idx="5">
                  <c:v>-7.9860677844929163E-3</c:v>
                </c:pt>
                <c:pt idx="6">
                  <c:v>-9.9278329449124306E-3</c:v>
                </c:pt>
                <c:pt idx="7">
                  <c:v>-1.135446597700572E-2</c:v>
                </c:pt>
                <c:pt idx="8">
                  <c:v>-1.2109802231638456E-2</c:v>
                </c:pt>
                <c:pt idx="9">
                  <c:v>-1.2184345158928892E-2</c:v>
                </c:pt>
                <c:pt idx="10">
                  <c:v>-1.168437661360913E-2</c:v>
                </c:pt>
                <c:pt idx="11">
                  <c:v>-1.0779311000986972E-2</c:v>
                </c:pt>
                <c:pt idx="12">
                  <c:v>-9.6507315410033576E-3</c:v>
                </c:pt>
                <c:pt idx="13">
                  <c:v>-8.4564873480231836E-3</c:v>
                </c:pt>
                <c:pt idx="14">
                  <c:v>-7.3129897318547996E-3</c:v>
                </c:pt>
                <c:pt idx="15">
                  <c:v>-6.2923558653274116E-3</c:v>
                </c:pt>
                <c:pt idx="16">
                  <c:v>-5.4286855774456962E-3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E0E-4C15-B950-2D27A4FE497F}"/>
            </c:ext>
          </c:extLst>
        </c:ser>
        <c:ser>
          <c:idx val="10"/>
          <c:order val="10"/>
          <c:tx>
            <c:strRef>
              <c:f>call!$P$50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call!$P$51:$P$67</c:f>
              <c:numCache>
                <c:formatCode>General</c:formatCode>
                <c:ptCount val="17"/>
                <c:pt idx="0">
                  <c:v>-1.3832148881930421E-3</c:v>
                </c:pt>
                <c:pt idx="1">
                  <c:v>-2.2764255882806923E-3</c:v>
                </c:pt>
                <c:pt idx="2">
                  <c:v>-3.3666522687759771E-3</c:v>
                </c:pt>
                <c:pt idx="3">
                  <c:v>-4.5638212258901963E-3</c:v>
                </c:pt>
                <c:pt idx="4">
                  <c:v>-5.7590243652999194E-3</c:v>
                </c:pt>
                <c:pt idx="5">
                  <c:v>-6.84819091805745E-3</c:v>
                </c:pt>
                <c:pt idx="6">
                  <c:v>-7.7498814871130887E-3</c:v>
                </c:pt>
                <c:pt idx="7">
                  <c:v>-8.4142414389325373E-3</c:v>
                </c:pt>
                <c:pt idx="8">
                  <c:v>-8.8237172174144667E-3</c:v>
                </c:pt>
                <c:pt idx="9">
                  <c:v>-8.9880449596982763E-3</c:v>
                </c:pt>
                <c:pt idx="10">
                  <c:v>-8.9364167225769418E-3</c:v>
                </c:pt>
                <c:pt idx="11">
                  <c:v>-8.7092091503845944E-3</c:v>
                </c:pt>
                <c:pt idx="12">
                  <c:v>-8.350801728961613E-3</c:v>
                </c:pt>
                <c:pt idx="13">
                  <c:v>-7.9041967874178519E-3</c:v>
                </c:pt>
                <c:pt idx="14">
                  <c:v>-7.4075538194628169E-3</c:v>
                </c:pt>
                <c:pt idx="15">
                  <c:v>-6.8923957750537911E-3</c:v>
                </c:pt>
                <c:pt idx="16">
                  <c:v>-6.383090959449147E-3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0E-4C15-B950-2D27A4FE497F}"/>
            </c:ext>
          </c:extLst>
        </c:ser>
        <c:ser>
          <c:idx val="11"/>
          <c:order val="11"/>
          <c:tx>
            <c:strRef>
              <c:f>call!$Q$50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call!$Q$51:$Q$67</c:f>
              <c:numCache>
                <c:formatCode>General</c:formatCode>
                <c:ptCount val="17"/>
                <c:pt idx="0">
                  <c:v>-1.9677685366328093E-3</c:v>
                </c:pt>
                <c:pt idx="1">
                  <c:v>-2.7721439412935851E-3</c:v>
                </c:pt>
                <c:pt idx="2">
                  <c:v>-3.635864637664292E-3</c:v>
                </c:pt>
                <c:pt idx="3">
                  <c:v>-4.4990305615206011E-3</c:v>
                </c:pt>
                <c:pt idx="4">
                  <c:v>-5.3069289492333055E-3</c:v>
                </c:pt>
                <c:pt idx="5">
                  <c:v>-6.0164633372898129E-3</c:v>
                </c:pt>
                <c:pt idx="6">
                  <c:v>-6.59899592315612E-3</c:v>
                </c:pt>
                <c:pt idx="7">
                  <c:v>-7.0402965731493055E-3</c:v>
                </c:pt>
                <c:pt idx="8">
                  <c:v>-7.3386071640610647E-3</c:v>
                </c:pt>
                <c:pt idx="9">
                  <c:v>-7.5017763946196806E-3</c:v>
                </c:pt>
                <c:pt idx="10">
                  <c:v>-7.5441944644311183E-3</c:v>
                </c:pt>
                <c:pt idx="11">
                  <c:v>-7.4839946665865523E-3</c:v>
                </c:pt>
                <c:pt idx="12">
                  <c:v>-7.3407620671237187E-3</c:v>
                </c:pt>
                <c:pt idx="13">
                  <c:v>-7.1338242309086537E-3</c:v>
                </c:pt>
                <c:pt idx="14">
                  <c:v>-6.8810951640177172E-3</c:v>
                </c:pt>
                <c:pt idx="15">
                  <c:v>-6.5983892910574807E-3</c:v>
                </c:pt>
                <c:pt idx="16">
                  <c:v>-6.2991025416910826E-3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E0E-4C15-B950-2D27A4FE497F}"/>
            </c:ext>
          </c:extLst>
        </c:ser>
        <c:ser>
          <c:idx val="12"/>
          <c:order val="12"/>
          <c:tx>
            <c:strRef>
              <c:f>call!$R$50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call!$R$51:$R$67</c:f>
              <c:numCache>
                <c:formatCode>General</c:formatCode>
                <c:ptCount val="17"/>
                <c:pt idx="0">
                  <c:v>-2.2561687563191169E-3</c:v>
                </c:pt>
                <c:pt idx="1">
                  <c:v>-2.941578372976773E-3</c:v>
                </c:pt>
                <c:pt idx="2">
                  <c:v>-3.6341149755855307E-3</c:v>
                </c:pt>
                <c:pt idx="3">
                  <c:v>-4.2970851982288083E-3</c:v>
                </c:pt>
                <c:pt idx="4">
                  <c:v>-4.9010750454576753E-3</c:v>
                </c:pt>
                <c:pt idx="5">
                  <c:v>-5.425385421020462E-3</c:v>
                </c:pt>
                <c:pt idx="6">
                  <c:v>-5.8579384639842105E-3</c:v>
                </c:pt>
                <c:pt idx="7">
                  <c:v>-6.194227730312701E-3</c:v>
                </c:pt>
                <c:pt idx="8">
                  <c:v>-6.4358017299691378E-3</c:v>
                </c:pt>
                <c:pt idx="9">
                  <c:v>-6.5886360410569323E-3</c:v>
                </c:pt>
                <c:pt idx="10">
                  <c:v>-6.6616174157512103E-3</c:v>
                </c:pt>
                <c:pt idx="11">
                  <c:v>-6.6652572065179546E-3</c:v>
                </c:pt>
                <c:pt idx="12">
                  <c:v>-6.6106764762045777E-3</c:v>
                </c:pt>
                <c:pt idx="13">
                  <c:v>-6.5088579908130937E-3</c:v>
                </c:pt>
                <c:pt idx="14">
                  <c:v>-6.370134502225463E-3</c:v>
                </c:pt>
                <c:pt idx="15">
                  <c:v>-6.2038717217347446E-3</c:v>
                </c:pt>
                <c:pt idx="16">
                  <c:v>-6.0183026684676438E-3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E0E-4C15-B950-2D27A4FE497F}"/>
            </c:ext>
          </c:extLst>
        </c:ser>
        <c:ser>
          <c:idx val="13"/>
          <c:order val="13"/>
          <c:tx>
            <c:strRef>
              <c:f>call!$S$50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call!$E$51:$E$67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call!$S$51:$S$67</c:f>
              <c:numCache>
                <c:formatCode>General</c:formatCode>
                <c:ptCount val="17"/>
                <c:pt idx="0">
                  <c:v>-2.3914141658243899E-3</c:v>
                </c:pt>
                <c:pt idx="1">
                  <c:v>-2.9767508290865787E-3</c:v>
                </c:pt>
                <c:pt idx="2">
                  <c:v>-3.5482817080170629E-3</c:v>
                </c:pt>
                <c:pt idx="3">
                  <c:v>-4.0829616890457558E-3</c:v>
                </c:pt>
                <c:pt idx="4">
                  <c:v>-4.5638685371750427E-3</c:v>
                </c:pt>
                <c:pt idx="5">
                  <c:v>-4.9801516860839574E-3</c:v>
                </c:pt>
                <c:pt idx="6">
                  <c:v>-5.3263546065456507E-3</c:v>
                </c:pt>
                <c:pt idx="7">
                  <c:v>-5.6014346113472564E-3</c:v>
                </c:pt>
                <c:pt idx="8">
                  <c:v>-5.8077058687701147E-3</c:v>
                </c:pt>
                <c:pt idx="9">
                  <c:v>-5.9498445110405746E-3</c:v>
                </c:pt>
                <c:pt idx="10">
                  <c:v>-6.034028601944851E-3</c:v>
                </c:pt>
                <c:pt idx="11">
                  <c:v>-6.0672405076638474E-3</c:v>
                </c:pt>
                <c:pt idx="12">
                  <c:v>-6.0567311998251843E-3</c:v>
                </c:pt>
                <c:pt idx="13">
                  <c:v>-6.0096306381540324E-3</c:v>
                </c:pt>
                <c:pt idx="14">
                  <c:v>-5.93268151671765E-3</c:v>
                </c:pt>
                <c:pt idx="15">
                  <c:v>-5.8320720963131508E-3</c:v>
                </c:pt>
                <c:pt idx="16">
                  <c:v>-5.7133452857681512E-3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E0E-4C15-B950-2D27A4FE497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layout>
            <c:manualLayout>
              <c:xMode val="edge"/>
              <c:yMode val="edge"/>
              <c:x val="0.8829618499983054"/>
              <c:y val="0.33191745226603231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Theta,</a:t>
            </a:r>
            <a:r>
              <a:rPr lang="it-IT" baseline="0"/>
              <a:t> volatility = 0,1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call!$X$50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call!$X$51:$X$67</c:f>
              <c:numCache>
                <c:formatCode>General</c:formatCode>
                <c:ptCount val="17"/>
                <c:pt idx="0">
                  <c:v>-4.8607391233108838E-59</c:v>
                </c:pt>
                <c:pt idx="1">
                  <c:v>-1.08587626406211E-42</c:v>
                </c:pt>
                <c:pt idx="2">
                  <c:v>-4.9219683121509843E-30</c:v>
                </c:pt>
                <c:pt idx="3">
                  <c:v>-2.1440234195109654E-20</c:v>
                </c:pt>
                <c:pt idx="4">
                  <c:v>-2.9987587661495556E-13</c:v>
                </c:pt>
                <c:pt idx="5">
                  <c:v>-3.484615224356023E-8</c:v>
                </c:pt>
                <c:pt idx="6">
                  <c:v>-7.1956503233977506E-5</c:v>
                </c:pt>
                <c:pt idx="7">
                  <c:v>-4.9006030079422874E-3</c:v>
                </c:pt>
                <c:pt idx="8">
                  <c:v>-1.8648056161643271E-2</c:v>
                </c:pt>
                <c:pt idx="9">
                  <c:v>-7.6978079919565413E-3</c:v>
                </c:pt>
                <c:pt idx="10">
                  <c:v>-2.9089580427955277E-3</c:v>
                </c:pt>
                <c:pt idx="11">
                  <c:v>-2.7378979367510933E-3</c:v>
                </c:pt>
                <c:pt idx="12">
                  <c:v>-2.7369886140532376E-3</c:v>
                </c:pt>
                <c:pt idx="13">
                  <c:v>-2.736987671012089E-3</c:v>
                </c:pt>
                <c:pt idx="14">
                  <c:v>-2.7369876707763869E-3</c:v>
                </c:pt>
                <c:pt idx="15">
                  <c:v>-2.73698767077637E-3</c:v>
                </c:pt>
                <c:pt idx="16">
                  <c:v>-2.73698767077637E-3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7-44F7-A6D7-30CB566222A4}"/>
            </c:ext>
          </c:extLst>
        </c:ser>
        <c:ser>
          <c:idx val="1"/>
          <c:order val="1"/>
          <c:tx>
            <c:strRef>
              <c:f>call!$Y$50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call!$Y$51:$Y$67</c:f>
              <c:numCache>
                <c:formatCode>General</c:formatCode>
                <c:ptCount val="17"/>
                <c:pt idx="0">
                  <c:v>-7.394036773880533E-31</c:v>
                </c:pt>
                <c:pt idx="1">
                  <c:v>-1.084394209613217E-22</c:v>
                </c:pt>
                <c:pt idx="2">
                  <c:v>-2.2694361220867503E-16</c:v>
                </c:pt>
                <c:pt idx="3">
                  <c:v>-1.4749846893202475E-11</c:v>
                </c:pt>
                <c:pt idx="4">
                  <c:v>-5.4426425665660641E-8</c:v>
                </c:pt>
                <c:pt idx="5">
                  <c:v>-1.8350671934921964E-5</c:v>
                </c:pt>
                <c:pt idx="6">
                  <c:v>-8.2797370478681644E-4</c:v>
                </c:pt>
                <c:pt idx="7">
                  <c:v>-6.8365065413363742E-3</c:v>
                </c:pt>
                <c:pt idx="8">
                  <c:v>-1.3584079256396245E-2</c:v>
                </c:pt>
                <c:pt idx="9">
                  <c:v>-8.9332989803460796E-3</c:v>
                </c:pt>
                <c:pt idx="10">
                  <c:v>-3.8913061596230723E-3</c:v>
                </c:pt>
                <c:pt idx="11">
                  <c:v>-2.818087327364811E-3</c:v>
                </c:pt>
                <c:pt idx="12">
                  <c:v>-2.7369331127422283E-3</c:v>
                </c:pt>
                <c:pt idx="13">
                  <c:v>-2.7342941132561414E-3</c:v>
                </c:pt>
                <c:pt idx="14">
                  <c:v>-2.7342524051318456E-3</c:v>
                </c:pt>
                <c:pt idx="15">
                  <c:v>-2.7342520528684244E-3</c:v>
                </c:pt>
                <c:pt idx="16">
                  <c:v>-2.7342520511485771E-3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77-44F7-A6D7-30CB566222A4}"/>
            </c:ext>
          </c:extLst>
        </c:ser>
        <c:ser>
          <c:idx val="2"/>
          <c:order val="2"/>
          <c:tx>
            <c:strRef>
              <c:f>call!$Z$50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call!$Z$51:$Z$67</c:f>
              <c:numCache>
                <c:formatCode>General</c:formatCode>
                <c:ptCount val="17"/>
                <c:pt idx="0">
                  <c:v>-1.6820692697282176E-21</c:v>
                </c:pt>
                <c:pt idx="1">
                  <c:v>-4.6211580497309133E-16</c:v>
                </c:pt>
                <c:pt idx="2">
                  <c:v>-7.4791430571018037E-12</c:v>
                </c:pt>
                <c:pt idx="3">
                  <c:v>-1.1975842083892231E-8</c:v>
                </c:pt>
                <c:pt idx="4">
                  <c:v>-2.8371084775912358E-6</c:v>
                </c:pt>
                <c:pt idx="5">
                  <c:v>-1.3663281919535562E-4</c:v>
                </c:pt>
                <c:pt idx="6">
                  <c:v>-1.7270312440617181E-3</c:v>
                </c:pt>
                <c:pt idx="7">
                  <c:v>-7.0767071554018396E-3</c:v>
                </c:pt>
                <c:pt idx="8">
                  <c:v>-1.1339592584775316E-2</c:v>
                </c:pt>
                <c:pt idx="9">
                  <c:v>-8.7680662048319081E-3</c:v>
                </c:pt>
                <c:pt idx="10">
                  <c:v>-4.7122847712180215E-3</c:v>
                </c:pt>
                <c:pt idx="11">
                  <c:v>-3.0755397384419742E-3</c:v>
                </c:pt>
                <c:pt idx="12">
                  <c:v>-2.7660761012858214E-3</c:v>
                </c:pt>
                <c:pt idx="13">
                  <c:v>-2.7336759993008739E-3</c:v>
                </c:pt>
                <c:pt idx="14">
                  <c:v>-2.7316079925956542E-3</c:v>
                </c:pt>
                <c:pt idx="15">
                  <c:v>-2.7315217065746297E-3</c:v>
                </c:pt>
                <c:pt idx="16">
                  <c:v>-2.7315192185145614E-3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77-44F7-A6D7-30CB566222A4}"/>
            </c:ext>
          </c:extLst>
        </c:ser>
        <c:ser>
          <c:idx val="3"/>
          <c:order val="3"/>
          <c:tx>
            <c:strRef>
              <c:f>call!$AA$50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call!$AA$51:$AA$67</c:f>
              <c:numCache>
                <c:formatCode>General</c:formatCode>
                <c:ptCount val="17"/>
                <c:pt idx="0">
                  <c:v>-7.6992724938714466E-17</c:v>
                </c:pt>
                <c:pt idx="1">
                  <c:v>-9.1578871538016226E-13</c:v>
                </c:pt>
                <c:pt idx="2">
                  <c:v>-1.3039335518015704E-9</c:v>
                </c:pt>
                <c:pt idx="3">
                  <c:v>-3.278888743849616E-7</c:v>
                </c:pt>
                <c:pt idx="4">
                  <c:v>-1.9695489009571748E-5</c:v>
                </c:pt>
                <c:pt idx="5">
                  <c:v>-3.5880637288301833E-4</c:v>
                </c:pt>
                <c:pt idx="6">
                  <c:v>-2.4033185999368196E-3</c:v>
                </c:pt>
                <c:pt idx="7">
                  <c:v>-6.9465581228966731E-3</c:v>
                </c:pt>
                <c:pt idx="8">
                  <c:v>-1.0000882518242171E-2</c:v>
                </c:pt>
                <c:pt idx="9">
                  <c:v>-8.387281922969652E-3</c:v>
                </c:pt>
                <c:pt idx="10">
                  <c:v>-5.1946370335550817E-3</c:v>
                </c:pt>
                <c:pt idx="11">
                  <c:v>-3.3926715988255767E-3</c:v>
                </c:pt>
                <c:pt idx="12">
                  <c:v>-2.8470825557422789E-3</c:v>
                </c:pt>
                <c:pt idx="13">
                  <c:v>-2.743524708830351E-3</c:v>
                </c:pt>
                <c:pt idx="14">
                  <c:v>-2.7301321563579272E-3</c:v>
                </c:pt>
                <c:pt idx="15">
                  <c:v>-2.7288821272296883E-3</c:v>
                </c:pt>
                <c:pt idx="16">
                  <c:v>-2.7287940874309588E-3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77-44F7-A6D7-30CB566222A4}"/>
            </c:ext>
          </c:extLst>
        </c:ser>
        <c:ser>
          <c:idx val="4"/>
          <c:order val="4"/>
          <c:tx>
            <c:strRef>
              <c:f>call!$AB$50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call!$AB$51:$AB$67</c:f>
              <c:numCache>
                <c:formatCode>General</c:formatCode>
                <c:ptCount val="17"/>
                <c:pt idx="0">
                  <c:v>-4.70206042936716E-14</c:v>
                </c:pt>
                <c:pt idx="1">
                  <c:v>-8.503599422603399E-11</c:v>
                </c:pt>
                <c:pt idx="2">
                  <c:v>-2.8171504015769907E-8</c:v>
                </c:pt>
                <c:pt idx="3">
                  <c:v>-2.333768996237393E-6</c:v>
                </c:pt>
                <c:pt idx="4">
                  <c:v>-6.1567719232975506E-5</c:v>
                </c:pt>
                <c:pt idx="5">
                  <c:v>-6.2633483265583673E-4</c:v>
                </c:pt>
                <c:pt idx="6">
                  <c:v>-2.86820697129312E-3</c:v>
                </c:pt>
                <c:pt idx="7">
                  <c:v>-6.7289781339823261E-3</c:v>
                </c:pt>
                <c:pt idx="8">
                  <c:v>-9.0867461332547108E-3</c:v>
                </c:pt>
                <c:pt idx="9">
                  <c:v>-7.9991241585501693E-3</c:v>
                </c:pt>
                <c:pt idx="10">
                  <c:v>-5.4532532806975649E-3</c:v>
                </c:pt>
                <c:pt idx="11">
                  <c:v>-3.6819872392782455E-3</c:v>
                </c:pt>
                <c:pt idx="12">
                  <c:v>-2.9664502842081759E-3</c:v>
                </c:pt>
                <c:pt idx="13">
                  <c:v>-2.7714142243693103E-3</c:v>
                </c:pt>
                <c:pt idx="14">
                  <c:v>-2.732722349661286E-3</c:v>
                </c:pt>
                <c:pt idx="15">
                  <c:v>-2.7268472305600894E-3</c:v>
                </c:pt>
                <c:pt idx="16">
                  <c:v>-2.7261380231119355E-3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77-44F7-A6D7-30CB566222A4}"/>
            </c:ext>
          </c:extLst>
        </c:ser>
        <c:ser>
          <c:idx val="5"/>
          <c:order val="5"/>
          <c:tx>
            <c:strRef>
              <c:f>call!$AC$50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call!$AC$51:$AC$67</c:f>
              <c:numCache>
                <c:formatCode>General</c:formatCode>
                <c:ptCount val="17"/>
                <c:pt idx="0">
                  <c:v>-3.3311438102539535E-12</c:v>
                </c:pt>
                <c:pt idx="1">
                  <c:v>-1.7164793217520011E-9</c:v>
                </c:pt>
                <c:pt idx="2">
                  <c:v>-2.1516966274240728E-7</c:v>
                </c:pt>
                <c:pt idx="3">
                  <c:v>-8.5050236349412051E-6</c:v>
                </c:pt>
                <c:pt idx="4">
                  <c:v>-1.2968848286531008E-4</c:v>
                </c:pt>
                <c:pt idx="5">
                  <c:v>-8.9507303836912409E-4</c:v>
                </c:pt>
                <c:pt idx="6">
                  <c:v>-3.1826508680168749E-3</c:v>
                </c:pt>
                <c:pt idx="7">
                  <c:v>-6.5000392338948861E-3</c:v>
                </c:pt>
                <c:pt idx="8">
                  <c:v>-8.4115102039457497E-3</c:v>
                </c:pt>
                <c:pt idx="9">
                  <c:v>-7.6457252709511538E-3</c:v>
                </c:pt>
                <c:pt idx="10">
                  <c:v>-5.5792069205201321E-3</c:v>
                </c:pt>
                <c:pt idx="11">
                  <c:v>-3.9175885994299749E-3</c:v>
                </c:pt>
                <c:pt idx="12">
                  <c:v>-3.1013726684467648E-3</c:v>
                </c:pt>
                <c:pt idx="13">
                  <c:v>-2.8174307433527055E-3</c:v>
                </c:pt>
                <c:pt idx="14">
                  <c:v>-2.7423352226375757E-3</c:v>
                </c:pt>
                <c:pt idx="15">
                  <c:v>-2.7265312280787012E-3</c:v>
                </c:pt>
                <c:pt idx="16">
                  <c:v>-2.7237942649291774E-3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77-44F7-A6D7-30CB566222A4}"/>
            </c:ext>
          </c:extLst>
        </c:ser>
        <c:ser>
          <c:idx val="6"/>
          <c:order val="6"/>
          <c:tx>
            <c:strRef>
              <c:f>call!$AD$50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call!$AD$51:$AD$67</c:f>
              <c:numCache>
                <c:formatCode>General</c:formatCode>
                <c:ptCount val="17"/>
                <c:pt idx="0">
                  <c:v>-6.9080303501675964E-11</c:v>
                </c:pt>
                <c:pt idx="1">
                  <c:v>-1.4520814292739796E-8</c:v>
                </c:pt>
                <c:pt idx="2">
                  <c:v>-9.0937510122591557E-7</c:v>
                </c:pt>
                <c:pt idx="3">
                  <c:v>-2.119349141272701E-5</c:v>
                </c:pt>
                <c:pt idx="4">
                  <c:v>-2.1852655736779805E-4</c:v>
                </c:pt>
                <c:pt idx="5">
                  <c:v>-1.1435497472532126E-3</c:v>
                </c:pt>
                <c:pt idx="6">
                  <c:v>-3.3952024638746522E-3</c:v>
                </c:pt>
                <c:pt idx="7">
                  <c:v>-6.2822853527534283E-3</c:v>
                </c:pt>
                <c:pt idx="8">
                  <c:v>-7.8863417080290536E-3</c:v>
                </c:pt>
                <c:pt idx="9">
                  <c:v>-7.3325007234308391E-3</c:v>
                </c:pt>
                <c:pt idx="10">
                  <c:v>-5.6268353354807675E-3</c:v>
                </c:pt>
                <c:pt idx="11">
                  <c:v>-4.0998343963390216E-3</c:v>
                </c:pt>
                <c:pt idx="12">
                  <c:v>-3.2353896287977677E-3</c:v>
                </c:pt>
                <c:pt idx="13">
                  <c:v>-2.876830587230414E-3</c:v>
                </c:pt>
                <c:pt idx="14">
                  <c:v>-2.7602165367608218E-3</c:v>
                </c:pt>
                <c:pt idx="15">
                  <c:v>-2.7291937836389614E-3</c:v>
                </c:pt>
                <c:pt idx="16">
                  <c:v>-2.7222339511491331E-3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77-44F7-A6D7-30CB566222A4}"/>
            </c:ext>
          </c:extLst>
        </c:ser>
        <c:ser>
          <c:idx val="7"/>
          <c:order val="7"/>
          <c:tx>
            <c:strRef>
              <c:f>call!$AE$50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call!$AE$51:$AE$67</c:f>
              <c:numCache>
                <c:formatCode>General</c:formatCode>
                <c:ptCount val="17"/>
                <c:pt idx="0">
                  <c:v>-6.6573166634795337E-10</c:v>
                </c:pt>
                <c:pt idx="1">
                  <c:v>-7.1439472848684185E-8</c:v>
                </c:pt>
                <c:pt idx="2">
                  <c:v>-2.6589967230020451E-6</c:v>
                </c:pt>
                <c:pt idx="3">
                  <c:v>-4.1704733289099132E-5</c:v>
                </c:pt>
                <c:pt idx="4">
                  <c:v>-3.207334895425356E-4</c:v>
                </c:pt>
                <c:pt idx="5">
                  <c:v>-1.36412973646698E-3</c:v>
                </c:pt>
                <c:pt idx="6">
                  <c:v>-3.538718453343772E-3</c:v>
                </c:pt>
                <c:pt idx="7">
                  <c:v>-6.0818261522560787E-3</c:v>
                </c:pt>
                <c:pt idx="8">
                  <c:v>-7.4626929861352376E-3</c:v>
                </c:pt>
                <c:pt idx="9">
                  <c:v>-7.0560378776292655E-3</c:v>
                </c:pt>
                <c:pt idx="10">
                  <c:v>-5.6276410487643485E-3</c:v>
                </c:pt>
                <c:pt idx="11">
                  <c:v>-4.2367889185774615E-3</c:v>
                </c:pt>
                <c:pt idx="12">
                  <c:v>-3.3595434629207685E-3</c:v>
                </c:pt>
                <c:pt idx="13">
                  <c:v>-2.9438719975859004E-3</c:v>
                </c:pt>
                <c:pt idx="14">
                  <c:v>-2.7858561465016387E-3</c:v>
                </c:pt>
                <c:pt idx="15">
                  <c:v>-2.735702078658283E-3</c:v>
                </c:pt>
                <c:pt idx="16">
                  <c:v>-2.7220300049986446E-3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77-44F7-A6D7-30CB566222A4}"/>
            </c:ext>
          </c:extLst>
        </c:ser>
        <c:ser>
          <c:idx val="8"/>
          <c:order val="8"/>
          <c:tx>
            <c:strRef>
              <c:f>call!$AF$50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call!$AF$51:$AF$67</c:f>
              <c:numCache>
                <c:formatCode>General</c:formatCode>
                <c:ptCount val="17"/>
                <c:pt idx="0">
                  <c:v>-3.8529870723675087E-9</c:v>
                </c:pt>
                <c:pt idx="1">
                  <c:v>-2.4511925227671841E-7</c:v>
                </c:pt>
                <c:pt idx="2">
                  <c:v>-6.0877951498852109E-6</c:v>
                </c:pt>
                <c:pt idx="3">
                  <c:v>-7.0182114445786222E-5</c:v>
                </c:pt>
                <c:pt idx="4">
                  <c:v>-4.2975710045097979E-4</c:v>
                </c:pt>
                <c:pt idx="5">
                  <c:v>-1.5559486729817653E-3</c:v>
                </c:pt>
                <c:pt idx="6">
                  <c:v>-3.6348243433050815E-3</c:v>
                </c:pt>
                <c:pt idx="7">
                  <c:v>-5.899276831986414E-3</c:v>
                </c:pt>
                <c:pt idx="8">
                  <c:v>-7.1114959516656931E-3</c:v>
                </c:pt>
                <c:pt idx="9">
                  <c:v>-6.8112371711487648E-3</c:v>
                </c:pt>
                <c:pt idx="10">
                  <c:v>-5.6001813999779493E-3</c:v>
                </c:pt>
                <c:pt idx="11">
                  <c:v>-4.3374413426835959E-3</c:v>
                </c:pt>
                <c:pt idx="12">
                  <c:v>-3.4699713884223408E-3</c:v>
                </c:pt>
                <c:pt idx="13">
                  <c:v>-3.0136947476325578E-3</c:v>
                </c:pt>
                <c:pt idx="14">
                  <c:v>-2.8177307946140435E-3</c:v>
                </c:pt>
                <c:pt idx="15">
                  <c:v>-2.7463367452608455E-3</c:v>
                </c:pt>
                <c:pt idx="16">
                  <c:v>-2.7236795785183059E-3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77-44F7-A6D7-30CB566222A4}"/>
            </c:ext>
          </c:extLst>
        </c:ser>
        <c:ser>
          <c:idx val="9"/>
          <c:order val="9"/>
          <c:tx>
            <c:strRef>
              <c:f>call!$AG$50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call!$AG$51:$AG$67</c:f>
              <c:numCache>
                <c:formatCode>General</c:formatCode>
                <c:ptCount val="17"/>
                <c:pt idx="0">
                  <c:v>-1.5616486625209357E-8</c:v>
                </c:pt>
                <c:pt idx="1">
                  <c:v>-6.539723525880598E-7</c:v>
                </c:pt>
                <c:pt idx="2">
                  <c:v>-1.1752640499261435E-5</c:v>
                </c:pt>
                <c:pt idx="3">
                  <c:v>-1.0592549484760876E-4</c:v>
                </c:pt>
                <c:pt idx="4">
                  <c:v>-5.4062403596464139E-4</c:v>
                </c:pt>
                <c:pt idx="5">
                  <c:v>-1.7210375065471273E-3</c:v>
                </c:pt>
                <c:pt idx="6">
                  <c:v>-3.6978399638639176E-3</c:v>
                </c:pt>
                <c:pt idx="7">
                  <c:v>-5.7334209143317183E-3</c:v>
                </c:pt>
                <c:pt idx="8">
                  <c:v>-6.8141424186834703E-3</c:v>
                </c:pt>
                <c:pt idx="9">
                  <c:v>-6.5932393812371632E-3</c:v>
                </c:pt>
                <c:pt idx="10">
                  <c:v>-5.5556579677754564E-3</c:v>
                </c:pt>
                <c:pt idx="11">
                  <c:v>-4.4096540404070178E-3</c:v>
                </c:pt>
                <c:pt idx="12">
                  <c:v>-3.5657097047538805E-3</c:v>
                </c:pt>
                <c:pt idx="13">
                  <c:v>-3.082789852781783E-3</c:v>
                </c:pt>
                <c:pt idx="14">
                  <c:v>-2.8539929876243157E-3</c:v>
                </c:pt>
                <c:pt idx="15">
                  <c:v>-2.7608771112304633E-3</c:v>
                </c:pt>
                <c:pt idx="16">
                  <c:v>-2.7274934864203472E-3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777-44F7-A6D7-30CB566222A4}"/>
            </c:ext>
          </c:extLst>
        </c:ser>
        <c:ser>
          <c:idx val="10"/>
          <c:order val="10"/>
          <c:tx>
            <c:strRef>
              <c:f>call!$AH$50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call!$AH$51:$AH$67</c:f>
              <c:numCache>
                <c:formatCode>General</c:formatCode>
                <c:ptCount val="17"/>
                <c:pt idx="0">
                  <c:v>-7.6971390871607689E-6</c:v>
                </c:pt>
                <c:pt idx="1">
                  <c:v>-4.9218966358370517E-5</c:v>
                </c:pt>
                <c:pt idx="2">
                  <c:v>-2.0682932881957742E-4</c:v>
                </c:pt>
                <c:pt idx="3">
                  <c:v>-6.1764905407730715E-4</c:v>
                </c:pt>
                <c:pt idx="4">
                  <c:v>-1.393497328409217E-3</c:v>
                </c:pt>
                <c:pt idx="5">
                  <c:v>-2.494565685701439E-3</c:v>
                </c:pt>
                <c:pt idx="6">
                  <c:v>-3.6890735961092476E-3</c:v>
                </c:pt>
                <c:pt idx="7">
                  <c:v>-4.6640249678363745E-3</c:v>
                </c:pt>
                <c:pt idx="8">
                  <c:v>-5.1967667503864771E-3</c:v>
                </c:pt>
                <c:pt idx="9">
                  <c:v>-5.2498490762077988E-3</c:v>
                </c:pt>
                <c:pt idx="10">
                  <c:v>-4.9431622584815245E-3</c:v>
                </c:pt>
                <c:pt idx="11">
                  <c:v>-4.4586785901714167E-3</c:v>
                </c:pt>
                <c:pt idx="12">
                  <c:v>-3.9544788770340747E-3</c:v>
                </c:pt>
                <c:pt idx="13">
                  <c:v>-3.5254793804016605E-3</c:v>
                </c:pt>
                <c:pt idx="14">
                  <c:v>-3.2056859635034209E-3</c:v>
                </c:pt>
                <c:pt idx="15">
                  <c:v>-2.9896518167240559E-3</c:v>
                </c:pt>
                <c:pt idx="16">
                  <c:v>-2.8546706477409903E-3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77-44F7-A6D7-30CB566222A4}"/>
            </c:ext>
          </c:extLst>
        </c:ser>
        <c:ser>
          <c:idx val="11"/>
          <c:order val="11"/>
          <c:tx>
            <c:strRef>
              <c:f>call!$AI$50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call!$AI$51:$AI$67</c:f>
              <c:numCache>
                <c:formatCode>General</c:formatCode>
                <c:ptCount val="17"/>
                <c:pt idx="0">
                  <c:v>-5.6462471820863381E-5</c:v>
                </c:pt>
                <c:pt idx="1">
                  <c:v>-1.9342981188610103E-4</c:v>
                </c:pt>
                <c:pt idx="2">
                  <c:v>-5.0203494188602073E-4</c:v>
                </c:pt>
                <c:pt idx="3">
                  <c:v>-1.0401613305351381E-3</c:v>
                </c:pt>
                <c:pt idx="4">
                  <c:v>-1.7923956660358823E-3</c:v>
                </c:pt>
                <c:pt idx="5">
                  <c:v>-2.6547740949320045E-3</c:v>
                </c:pt>
                <c:pt idx="6">
                  <c:v>-3.4725023557419634E-3</c:v>
                </c:pt>
                <c:pt idx="7">
                  <c:v>-4.1041967805758922E-3</c:v>
                </c:pt>
                <c:pt idx="8">
                  <c:v>-4.4716079014028923E-3</c:v>
                </c:pt>
                <c:pt idx="9">
                  <c:v>-4.5725396202247869E-3</c:v>
                </c:pt>
                <c:pt idx="10">
                  <c:v>-4.4617749510637277E-3</c:v>
                </c:pt>
                <c:pt idx="11">
                  <c:v>-4.218938209286577E-3</c:v>
                </c:pt>
                <c:pt idx="12">
                  <c:v>-3.9204775417341292E-3</c:v>
                </c:pt>
                <c:pt idx="13">
                  <c:v>-3.6237548794847097E-3</c:v>
                </c:pt>
                <c:pt idx="14">
                  <c:v>-3.3629384444224812E-3</c:v>
                </c:pt>
                <c:pt idx="15">
                  <c:v>-3.1524002957230659E-3</c:v>
                </c:pt>
                <c:pt idx="16">
                  <c:v>-2.9930375106576039E-3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777-44F7-A6D7-30CB566222A4}"/>
            </c:ext>
          </c:extLst>
        </c:ser>
        <c:ser>
          <c:idx val="12"/>
          <c:order val="12"/>
          <c:tx>
            <c:strRef>
              <c:f>call!$AJ$50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call!$AJ$51:$AJ$67</c:f>
              <c:numCache>
                <c:formatCode>General</c:formatCode>
                <c:ptCount val="17"/>
                <c:pt idx="0">
                  <c:v>-1.4781744530698417E-4</c:v>
                </c:pt>
                <c:pt idx="1">
                  <c:v>-3.7114411583880655E-4</c:v>
                </c:pt>
                <c:pt idx="2">
                  <c:v>-7.5805134587510507E-4</c:v>
                </c:pt>
                <c:pt idx="3">
                  <c:v>-1.3099246585766978E-3</c:v>
                </c:pt>
                <c:pt idx="4">
                  <c:v>-1.9750182600096898E-3</c:v>
                </c:pt>
                <c:pt idx="5">
                  <c:v>-2.6632813499454658E-3</c:v>
                </c:pt>
                <c:pt idx="6">
                  <c:v>-3.2779817587708549E-3</c:v>
                </c:pt>
                <c:pt idx="7">
                  <c:v>-3.7459055472475462E-3</c:v>
                </c:pt>
                <c:pt idx="8">
                  <c:v>-4.0332340374452562E-3</c:v>
                </c:pt>
                <c:pt idx="9">
                  <c:v>-4.1448990624083316E-3</c:v>
                </c:pt>
                <c:pt idx="10">
                  <c:v>-4.1129984667138755E-3</c:v>
                </c:pt>
                <c:pt idx="11">
                  <c:v>-3.9819272089589375E-3</c:v>
                </c:pt>
                <c:pt idx="12">
                  <c:v>-3.7958881130957635E-3</c:v>
                </c:pt>
                <c:pt idx="13">
                  <c:v>-3.5912186818333729E-3</c:v>
                </c:pt>
                <c:pt idx="14">
                  <c:v>-3.3934233108399718E-3</c:v>
                </c:pt>
                <c:pt idx="15">
                  <c:v>-3.2175359166484005E-3</c:v>
                </c:pt>
                <c:pt idx="16">
                  <c:v>-3.0702242762499269E-3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777-44F7-A6D7-30CB566222A4}"/>
            </c:ext>
          </c:extLst>
        </c:ser>
        <c:ser>
          <c:idx val="13"/>
          <c:order val="13"/>
          <c:tx>
            <c:strRef>
              <c:f>call!$AK$50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call!$AK$51:$AK$67</c:f>
              <c:numCache>
                <c:formatCode>General</c:formatCode>
                <c:ptCount val="17"/>
                <c:pt idx="0">
                  <c:v>-2.5828777230125691E-4</c:v>
                </c:pt>
                <c:pt idx="1">
                  <c:v>-5.3865140524796259E-4</c:v>
                </c:pt>
                <c:pt idx="2">
                  <c:v>-9.5361421913977456E-4</c:v>
                </c:pt>
                <c:pt idx="3">
                  <c:v>-1.4789037362070367E-3</c:v>
                </c:pt>
                <c:pt idx="4">
                  <c:v>-2.0592901027797787E-3</c:v>
                </c:pt>
                <c:pt idx="5">
                  <c:v>-2.6259889649814889E-3</c:v>
                </c:pt>
                <c:pt idx="6">
                  <c:v>-3.1167209253369476E-3</c:v>
                </c:pt>
                <c:pt idx="7">
                  <c:v>-3.4898745462750205E-3</c:v>
                </c:pt>
                <c:pt idx="8">
                  <c:v>-3.729378121756278E-3</c:v>
                </c:pt>
                <c:pt idx="9">
                  <c:v>-3.8416324918737858E-3</c:v>
                </c:pt>
                <c:pt idx="10">
                  <c:v>-3.8481179638850107E-3</c:v>
                </c:pt>
                <c:pt idx="11">
                  <c:v>-3.777226487345011E-3</c:v>
                </c:pt>
                <c:pt idx="12">
                  <c:v>-3.6576166478524815E-3</c:v>
                </c:pt>
                <c:pt idx="13">
                  <c:v>-3.5139854855894379E-3</c:v>
                </c:pt>
                <c:pt idx="14">
                  <c:v>-3.3651475756269395E-3</c:v>
                </c:pt>
                <c:pt idx="15">
                  <c:v>-3.2238207807185355E-3</c:v>
                </c:pt>
                <c:pt idx="16">
                  <c:v>-3.0974201768739838E-3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777-44F7-A6D7-30CB566222A4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Theta,</a:t>
            </a:r>
            <a:r>
              <a:rPr lang="it-IT" baseline="0"/>
              <a:t> volatility = 0,3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call!$AP$50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call!$AP$51:$AP$67</c:f>
              <c:numCache>
                <c:formatCode>General</c:formatCode>
                <c:ptCount val="17"/>
                <c:pt idx="0">
                  <c:v>-2.1549990018490184E-8</c:v>
                </c:pt>
                <c:pt idx="1">
                  <c:v>-1.4645521225796432E-6</c:v>
                </c:pt>
                <c:pt idx="2">
                  <c:v>-3.8599251798747767E-5</c:v>
                </c:pt>
                <c:pt idx="3">
                  <c:v>-4.6914242652264476E-4</c:v>
                </c:pt>
                <c:pt idx="4">
                  <c:v>-3.0078894605649669E-3</c:v>
                </c:pt>
                <c:pt idx="5">
                  <c:v>-1.1310878555330526E-2</c:v>
                </c:pt>
                <c:pt idx="6">
                  <c:v>-2.7156950482848472E-2</c:v>
                </c:pt>
                <c:pt idx="7">
                  <c:v>-4.4607745574303262E-2</c:v>
                </c:pt>
                <c:pt idx="8">
                  <c:v>-5.3086352499986597E-2</c:v>
                </c:pt>
                <c:pt idx="9">
                  <c:v>-4.8085728141050374E-2</c:v>
                </c:pt>
                <c:pt idx="10">
                  <c:v>-3.4707632288424835E-2</c:v>
                </c:pt>
                <c:pt idx="11">
                  <c:v>-2.0993022448244823E-2</c:v>
                </c:pt>
                <c:pt idx="12">
                  <c:v>-1.1420537071774158E-2</c:v>
                </c:pt>
                <c:pt idx="13">
                  <c:v>-6.2592652884108022E-3</c:v>
                </c:pt>
                <c:pt idx="14">
                  <c:v>-3.9799132950344585E-3</c:v>
                </c:pt>
                <c:pt idx="15">
                  <c:v>-3.1251171514154962E-3</c:v>
                </c:pt>
                <c:pt idx="16">
                  <c:v>-2.8458324659119817E-3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A-46F9-9D63-81366E77D8B4}"/>
            </c:ext>
          </c:extLst>
        </c:ser>
        <c:ser>
          <c:idx val="1"/>
          <c:order val="1"/>
          <c:tx>
            <c:strRef>
              <c:f>call!$AQ$50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call!$AQ$51:$AQ$67</c:f>
              <c:numCache>
                <c:formatCode>General</c:formatCode>
                <c:ptCount val="17"/>
                <c:pt idx="0">
                  <c:v>-2.1461836222321897E-5</c:v>
                </c:pt>
                <c:pt idx="1">
                  <c:v>-1.79852789003481E-4</c:v>
                </c:pt>
                <c:pt idx="2">
                  <c:v>-9.3767928080001135E-4</c:v>
                </c:pt>
                <c:pt idx="3">
                  <c:v>-3.3173520135102042E-3</c:v>
                </c:pt>
                <c:pt idx="4">
                  <c:v>-8.5194390350108885E-3</c:v>
                </c:pt>
                <c:pt idx="5">
                  <c:v>-1.6750650645336353E-2</c:v>
                </c:pt>
                <c:pt idx="6">
                  <c:v>-2.631451405539716E-2</c:v>
                </c:pt>
                <c:pt idx="7">
                  <c:v>-3.4198995521248339E-2</c:v>
                </c:pt>
                <c:pt idx="8">
                  <c:v>-3.7847311782787982E-2</c:v>
                </c:pt>
                <c:pt idx="9">
                  <c:v>-3.6555796803420887E-2</c:v>
                </c:pt>
                <c:pt idx="10">
                  <c:v>-3.1497214078068235E-2</c:v>
                </c:pt>
                <c:pt idx="11">
                  <c:v>-2.4716444860907769E-2</c:v>
                </c:pt>
                <c:pt idx="12">
                  <c:v>-1.8050816178209569E-2</c:v>
                </c:pt>
                <c:pt idx="13">
                  <c:v>-1.2581540060979456E-2</c:v>
                </c:pt>
                <c:pt idx="14">
                  <c:v>-8.6354632068481995E-3</c:v>
                </c:pt>
                <c:pt idx="15">
                  <c:v>-6.05926458561364E-3</c:v>
                </c:pt>
                <c:pt idx="16">
                  <c:v>-4.5088672563004771E-3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9A-46F9-9D63-81366E77D8B4}"/>
            </c:ext>
          </c:extLst>
        </c:ser>
        <c:ser>
          <c:idx val="2"/>
          <c:order val="2"/>
          <c:tx>
            <c:strRef>
              <c:f>call!$AR$50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call!$AR$51:$AR$67</c:f>
              <c:numCache>
                <c:formatCode>General</c:formatCode>
                <c:ptCount val="17"/>
                <c:pt idx="0">
                  <c:v>-1.9662281836474357E-4</c:v>
                </c:pt>
                <c:pt idx="1">
                  <c:v>-8.2033851045462951E-4</c:v>
                </c:pt>
                <c:pt idx="2">
                  <c:v>-2.4927261695394526E-3</c:v>
                </c:pt>
                <c:pt idx="3">
                  <c:v>-5.8463285736070399E-3</c:v>
                </c:pt>
                <c:pt idx="4">
                  <c:v>-1.1071292666040015E-2</c:v>
                </c:pt>
                <c:pt idx="5">
                  <c:v>-1.7542361876317809E-2</c:v>
                </c:pt>
                <c:pt idx="6">
                  <c:v>-2.393134700814065E-2</c:v>
                </c:pt>
                <c:pt idx="7">
                  <c:v>-2.8771216792948941E-2</c:v>
                </c:pt>
                <c:pt idx="8">
                  <c:v>-3.1078475009673045E-2</c:v>
                </c:pt>
                <c:pt idx="9">
                  <c:v>-3.0661221492058428E-2</c:v>
                </c:pt>
                <c:pt idx="10">
                  <c:v>-2.80256443620811E-2</c:v>
                </c:pt>
                <c:pt idx="11">
                  <c:v>-2.4043315710470518E-2</c:v>
                </c:pt>
                <c:pt idx="12">
                  <c:v>-1.9602300787189136E-2</c:v>
                </c:pt>
                <c:pt idx="13">
                  <c:v>-1.5382044332691506E-2</c:v>
                </c:pt>
                <c:pt idx="14">
                  <c:v>-1.1778948066319059E-2</c:v>
                </c:pt>
                <c:pt idx="15">
                  <c:v>-8.9391523402815917E-3</c:v>
                </c:pt>
                <c:pt idx="16">
                  <c:v>-6.8382049078783789E-3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9A-46F9-9D63-81366E77D8B4}"/>
            </c:ext>
          </c:extLst>
        </c:ser>
        <c:ser>
          <c:idx val="3"/>
          <c:order val="3"/>
          <c:tx>
            <c:strRef>
              <c:f>call!$AS$50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call!$AS$51:$AS$67</c:f>
              <c:numCache>
                <c:formatCode>General</c:formatCode>
                <c:ptCount val="17"/>
                <c:pt idx="0">
                  <c:v>-5.7074558651204542E-4</c:v>
                </c:pt>
                <c:pt idx="1">
                  <c:v>-1.6804353520095858E-3</c:v>
                </c:pt>
                <c:pt idx="2">
                  <c:v>-3.8989224445752516E-3</c:v>
                </c:pt>
                <c:pt idx="3">
                  <c:v>-7.4466314730471418E-3</c:v>
                </c:pt>
                <c:pt idx="4">
                  <c:v>-1.2111342052952891E-2</c:v>
                </c:pt>
                <c:pt idx="5">
                  <c:v>-1.7229760863557639E-2</c:v>
                </c:pt>
                <c:pt idx="6">
                  <c:v>-2.1906052910039862E-2</c:v>
                </c:pt>
                <c:pt idx="7">
                  <c:v>-2.5331741635614542E-2</c:v>
                </c:pt>
                <c:pt idx="8">
                  <c:v>-2.7033062564040269E-2</c:v>
                </c:pt>
                <c:pt idx="9">
                  <c:v>-2.6951599885263414E-2</c:v>
                </c:pt>
                <c:pt idx="10">
                  <c:v>-2.5370907369909487E-2</c:v>
                </c:pt>
                <c:pt idx="11">
                  <c:v>-2.2763646779957413E-2</c:v>
                </c:pt>
                <c:pt idx="12">
                  <c:v>-1.9637025412135738E-2</c:v>
                </c:pt>
                <c:pt idx="13">
                  <c:v>-1.6423692824762755E-2</c:v>
                </c:pt>
                <c:pt idx="14">
                  <c:v>-1.3430239007566954E-2</c:v>
                </c:pt>
                <c:pt idx="15">
                  <c:v>-1.0832454422994962E-2</c:v>
                </c:pt>
                <c:pt idx="16">
                  <c:v>-8.6981935800516056E-3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9A-46F9-9D63-81366E77D8B4}"/>
            </c:ext>
          </c:extLst>
        </c:ser>
        <c:ser>
          <c:idx val="4"/>
          <c:order val="4"/>
          <c:tx>
            <c:strRef>
              <c:f>call!$AT$50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call!$AT$51:$AT$67</c:f>
              <c:numCache>
                <c:formatCode>General</c:formatCode>
                <c:ptCount val="17"/>
                <c:pt idx="0">
                  <c:v>-1.0552037640840729E-3</c:v>
                </c:pt>
                <c:pt idx="1">
                  <c:v>-2.5207520927682326E-3</c:v>
                </c:pt>
                <c:pt idx="2">
                  <c:v>-4.9750887751915211E-3</c:v>
                </c:pt>
                <c:pt idx="3">
                  <c:v>-8.4012195500086009E-3</c:v>
                </c:pt>
                <c:pt idx="4">
                  <c:v>-1.247280983828359E-2</c:v>
                </c:pt>
                <c:pt idx="5">
                  <c:v>-1.6634225491545772E-2</c:v>
                </c:pt>
                <c:pt idx="6">
                  <c:v>-2.0274661940088017E-2</c:v>
                </c:pt>
                <c:pt idx="7">
                  <c:v>-2.2904894607282324E-2</c:v>
                </c:pt>
                <c:pt idx="8">
                  <c:v>-2.4265278685206906E-2</c:v>
                </c:pt>
                <c:pt idx="9">
                  <c:v>-2.434348836131367E-2</c:v>
                </c:pt>
                <c:pt idx="10">
                  <c:v>-2.3322491459122675E-2</c:v>
                </c:pt>
                <c:pt idx="11">
                  <c:v>-2.1496615638537202E-2</c:v>
                </c:pt>
                <c:pt idx="12">
                  <c:v>-1.918950913711176E-2</c:v>
                </c:pt>
                <c:pt idx="13">
                  <c:v>-1.6693740318528959E-2</c:v>
                </c:pt>
                <c:pt idx="14">
                  <c:v>-1.423763110362297E-2</c:v>
                </c:pt>
                <c:pt idx="15">
                  <c:v>-1.1975568197908664E-2</c:v>
                </c:pt>
                <c:pt idx="16">
                  <c:v>-9.9940950730608505E-3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9A-46F9-9D63-81366E77D8B4}"/>
            </c:ext>
          </c:extLst>
        </c:ser>
        <c:ser>
          <c:idx val="5"/>
          <c:order val="5"/>
          <c:tx>
            <c:strRef>
              <c:f>call!$AU$50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call!$AU$51:$AU$67</c:f>
              <c:numCache>
                <c:formatCode>General</c:formatCode>
                <c:ptCount val="17"/>
                <c:pt idx="0">
                  <c:v>-1.5635260002588606E-3</c:v>
                </c:pt>
                <c:pt idx="1">
                  <c:v>-3.2494106581974483E-3</c:v>
                </c:pt>
                <c:pt idx="2">
                  <c:v>-5.7579697874939008E-3</c:v>
                </c:pt>
                <c:pt idx="3">
                  <c:v>-8.9575430478272353E-3</c:v>
                </c:pt>
                <c:pt idx="4">
                  <c:v>-1.2514917545781391E-2</c:v>
                </c:pt>
                <c:pt idx="5">
                  <c:v>-1.5987706934550008E-2</c:v>
                </c:pt>
                <c:pt idx="6">
                  <c:v>-1.8946385688934309E-2</c:v>
                </c:pt>
                <c:pt idx="7">
                  <c:v>-2.1074262063025324E-2</c:v>
                </c:pt>
                <c:pt idx="8">
                  <c:v>-2.2216980654532561E-2</c:v>
                </c:pt>
                <c:pt idx="9">
                  <c:v>-2.238047288208864E-2</c:v>
                </c:pt>
                <c:pt idx="10">
                  <c:v>-2.1693675166703747E-2</c:v>
                </c:pt>
                <c:pt idx="11">
                  <c:v>-2.0356990609438245E-2</c:v>
                </c:pt>
                <c:pt idx="12">
                  <c:v>-1.8593371902651753E-2</c:v>
                </c:pt>
                <c:pt idx="13">
                  <c:v>-1.6611519700124928E-2</c:v>
                </c:pt>
                <c:pt idx="14">
                  <c:v>-1.4583936041926969E-2</c:v>
                </c:pt>
                <c:pt idx="15">
                  <c:v>-1.2638151562723944E-2</c:v>
                </c:pt>
                <c:pt idx="16">
                  <c:v>-1.0857448283959788E-2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9A-46F9-9D63-81366E77D8B4}"/>
            </c:ext>
          </c:extLst>
        </c:ser>
        <c:ser>
          <c:idx val="6"/>
          <c:order val="6"/>
          <c:tx>
            <c:strRef>
              <c:f>call!$AV$50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call!$AV$51:$AV$67</c:f>
              <c:numCache>
                <c:formatCode>General</c:formatCode>
                <c:ptCount val="17"/>
                <c:pt idx="0">
                  <c:v>-2.0463456463499924E-3</c:v>
                </c:pt>
                <c:pt idx="1">
                  <c:v>-3.8502540749068654E-3</c:v>
                </c:pt>
                <c:pt idx="2">
                  <c:v>-6.3174464964430178E-3</c:v>
                </c:pt>
                <c:pt idx="3">
                  <c:v>-9.269051285118025E-3</c:v>
                </c:pt>
                <c:pt idx="4">
                  <c:v>-1.2400669864055774E-2</c:v>
                </c:pt>
                <c:pt idx="5">
                  <c:v>-1.5362860266520348E-2</c:v>
                </c:pt>
                <c:pt idx="6">
                  <c:v>-1.7844179087973727E-2</c:v>
                </c:pt>
                <c:pt idx="7">
                  <c:v>-1.9629166791495723E-2</c:v>
                </c:pt>
                <c:pt idx="8">
                  <c:v>-2.0621001433829628E-2</c:v>
                </c:pt>
                <c:pt idx="9">
                  <c:v>-2.0833222335717817E-2</c:v>
                </c:pt>
                <c:pt idx="10">
                  <c:v>-2.0362290842882595E-2</c:v>
                </c:pt>
                <c:pt idx="11">
                  <c:v>-1.9353426783239924E-2</c:v>
                </c:pt>
                <c:pt idx="12">
                  <c:v>-1.7968986904518695E-2</c:v>
                </c:pt>
                <c:pt idx="13">
                  <c:v>-1.6364402414983971E-2</c:v>
                </c:pt>
                <c:pt idx="14">
                  <c:v>-1.467308185158127E-2</c:v>
                </c:pt>
                <c:pt idx="15">
                  <c:v>-1.299936099003276E-2</c:v>
                </c:pt>
                <c:pt idx="16">
                  <c:v>-1.1417497527996139E-2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9A-46F9-9D63-81366E77D8B4}"/>
            </c:ext>
          </c:extLst>
        </c:ser>
        <c:ser>
          <c:idx val="7"/>
          <c:order val="7"/>
          <c:tx>
            <c:strRef>
              <c:f>call!$AW$50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call!$AW$51:$AW$67</c:f>
              <c:numCache>
                <c:formatCode>General</c:formatCode>
                <c:ptCount val="17"/>
                <c:pt idx="0">
                  <c:v>-2.4820405101908015E-3</c:v>
                </c:pt>
                <c:pt idx="1">
                  <c:v>-4.3345416160164435E-3</c:v>
                </c:pt>
                <c:pt idx="2">
                  <c:v>-6.7135247272137799E-3</c:v>
                </c:pt>
                <c:pt idx="3">
                  <c:v>-9.4273139905304212E-3</c:v>
                </c:pt>
                <c:pt idx="4">
                  <c:v>-1.2209181629855972E-2</c:v>
                </c:pt>
                <c:pt idx="5">
                  <c:v>-1.478163582439752E-2</c:v>
                </c:pt>
                <c:pt idx="6">
                  <c:v>-1.6912727096520957E-2</c:v>
                </c:pt>
                <c:pt idx="7">
                  <c:v>-1.845024458345422E-2</c:v>
                </c:pt>
                <c:pt idx="8">
                  <c:v>-1.9331262283486684E-2</c:v>
                </c:pt>
                <c:pt idx="9">
                  <c:v>-1.9572362194803957E-2</c:v>
                </c:pt>
                <c:pt idx="10">
                  <c:v>-1.9248887049009487E-2</c:v>
                </c:pt>
                <c:pt idx="11">
                  <c:v>-1.8470998973509557E-2</c:v>
                </c:pt>
                <c:pt idx="12">
                  <c:v>-1.7361991874474968E-2</c:v>
                </c:pt>
                <c:pt idx="13">
                  <c:v>-1.6041692087433352E-2</c:v>
                </c:pt>
                <c:pt idx="14">
                  <c:v>-1.4615688299595741E-2</c:v>
                </c:pt>
                <c:pt idx="15">
                  <c:v>-1.3169810095521121E-2</c:v>
                </c:pt>
                <c:pt idx="16">
                  <c:v>-1.1768651175255076E-2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9A-46F9-9D63-81366E77D8B4}"/>
            </c:ext>
          </c:extLst>
        </c:ser>
        <c:ser>
          <c:idx val="8"/>
          <c:order val="8"/>
          <c:tx>
            <c:strRef>
              <c:f>call!$AX$50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call!$AX$51:$AX$67</c:f>
              <c:numCache>
                <c:formatCode>General</c:formatCode>
                <c:ptCount val="17"/>
                <c:pt idx="0">
                  <c:v>-2.8643976252613942E-3</c:v>
                </c:pt>
                <c:pt idx="1">
                  <c:v>-4.7206112946230235E-3</c:v>
                </c:pt>
                <c:pt idx="2">
                  <c:v>-6.9909687558181227E-3</c:v>
                </c:pt>
                <c:pt idx="3">
                  <c:v>-9.4877363884708094E-3</c:v>
                </c:pt>
                <c:pt idx="4">
                  <c:v>-1.1981003461584481E-2</c:v>
                </c:pt>
                <c:pt idx="5">
                  <c:v>-1.4248306028145802E-2</c:v>
                </c:pt>
                <c:pt idx="6">
                  <c:v>-1.6112934908725979E-2</c:v>
                </c:pt>
                <c:pt idx="7">
                  <c:v>-1.746418605453473E-2</c:v>
                </c:pt>
                <c:pt idx="8">
                  <c:v>-1.8260255886732128E-2</c:v>
                </c:pt>
                <c:pt idx="9">
                  <c:v>-1.8518670613121766E-2</c:v>
                </c:pt>
                <c:pt idx="10">
                  <c:v>-1.830021611928747E-2</c:v>
                </c:pt>
                <c:pt idx="11">
                  <c:v>-1.769143699034063E-2</c:v>
                </c:pt>
                <c:pt idx="12">
                  <c:v>-1.678907539949432E-2</c:v>
                </c:pt>
                <c:pt idx="13">
                  <c:v>-1.568813039382631E-2</c:v>
                </c:pt>
                <c:pt idx="14">
                  <c:v>-1.4473928393117159E-2</c:v>
                </c:pt>
                <c:pt idx="15">
                  <c:v>-1.3217798413972104E-2</c:v>
                </c:pt>
                <c:pt idx="16">
                  <c:v>-1.1975570207334521E-2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9A-46F9-9D63-81366E77D8B4}"/>
            </c:ext>
          </c:extLst>
        </c:ser>
        <c:ser>
          <c:idx val="9"/>
          <c:order val="9"/>
          <c:tx>
            <c:strRef>
              <c:f>call!$AY$50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call!$AY$51:$AY$67</c:f>
              <c:numCache>
                <c:formatCode>General</c:formatCode>
                <c:ptCount val="17"/>
                <c:pt idx="0">
                  <c:v>-3.1946917066473708E-3</c:v>
                </c:pt>
                <c:pt idx="1">
                  <c:v>-5.026524094306325E-3</c:v>
                </c:pt>
                <c:pt idx="2">
                  <c:v>-7.1819210348500759E-3</c:v>
                </c:pt>
                <c:pt idx="3">
                  <c:v>-9.4846913015921505E-3</c:v>
                </c:pt>
                <c:pt idx="4">
                  <c:v>-1.1737745850549732E-2</c:v>
                </c:pt>
                <c:pt idx="5">
                  <c:v>-1.3760849356365786E-2</c:v>
                </c:pt>
                <c:pt idx="6">
                  <c:v>-1.5416779554245644E-2</c:v>
                </c:pt>
                <c:pt idx="7">
                  <c:v>-1.662316236773562E-2</c:v>
                </c:pt>
                <c:pt idx="8">
                  <c:v>-1.7351936757537507E-2</c:v>
                </c:pt>
                <c:pt idx="9">
                  <c:v>-1.7620573745771147E-2</c:v>
                </c:pt>
                <c:pt idx="10">
                  <c:v>-1.7479366282235294E-2</c:v>
                </c:pt>
                <c:pt idx="11">
                  <c:v>-1.6998205603962136E-2</c:v>
                </c:pt>
                <c:pt idx="12">
                  <c:v>-1.6255012613347667E-2</c:v>
                </c:pt>
                <c:pt idx="13">
                  <c:v>-1.5326855586158964E-2</c:v>
                </c:pt>
                <c:pt idx="14">
                  <c:v>-1.4283952976631936E-2</c:v>
                </c:pt>
                <c:pt idx="15">
                  <c:v>-1.3186256532811455E-2</c:v>
                </c:pt>
                <c:pt idx="16">
                  <c:v>-1.2082075574953957E-2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79A-46F9-9D63-81366E77D8B4}"/>
            </c:ext>
          </c:extLst>
        </c:ser>
        <c:ser>
          <c:idx val="10"/>
          <c:order val="10"/>
          <c:tx>
            <c:strRef>
              <c:f>call!$AZ$50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call!$AZ$51:$AZ$67</c:f>
              <c:numCache>
                <c:formatCode>General</c:formatCode>
                <c:ptCount val="17"/>
                <c:pt idx="0">
                  <c:v>-4.6813137664605499E-3</c:v>
                </c:pt>
                <c:pt idx="1">
                  <c:v>-5.9813696060692575E-3</c:v>
                </c:pt>
                <c:pt idx="2">
                  <c:v>-7.2754572296498624E-3</c:v>
                </c:pt>
                <c:pt idx="3">
                  <c:v>-8.5006918870688866E-3</c:v>
                </c:pt>
                <c:pt idx="4">
                  <c:v>-9.6077555339189359E-3</c:v>
                </c:pt>
                <c:pt idx="5">
                  <c:v>-1.0562482528402098E-2</c:v>
                </c:pt>
                <c:pt idx="6">
                  <c:v>-1.1345229383883113E-2</c:v>
                </c:pt>
                <c:pt idx="7">
                  <c:v>-1.194892693986377E-2</c:v>
                </c:pt>
                <c:pt idx="8">
                  <c:v>-1.2376533644701881E-2</c:v>
                </c:pt>
                <c:pt idx="9">
                  <c:v>-1.2638391494715467E-2</c:v>
                </c:pt>
                <c:pt idx="10">
                  <c:v>-1.2749791611446966E-2</c:v>
                </c:pt>
                <c:pt idx="11">
                  <c:v>-1.2728906636104678E-2</c:v>
                </c:pt>
                <c:pt idx="12">
                  <c:v>-1.2595143753280946E-2</c:v>
                </c:pt>
                <c:pt idx="13">
                  <c:v>-1.236790787697707E-2</c:v>
                </c:pt>
                <c:pt idx="14">
                  <c:v>-1.2065729467039186E-2</c:v>
                </c:pt>
                <c:pt idx="15">
                  <c:v>-1.170569634539052E-2</c:v>
                </c:pt>
                <c:pt idx="16">
                  <c:v>-1.1303126320450829E-2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9A-46F9-9D63-81366E77D8B4}"/>
            </c:ext>
          </c:extLst>
        </c:ser>
        <c:ser>
          <c:idx val="11"/>
          <c:order val="11"/>
          <c:tx>
            <c:strRef>
              <c:f>call!$BA$50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call!$BA$51:$BA$67</c:f>
              <c:numCache>
                <c:formatCode>General</c:formatCode>
                <c:ptCount val="17"/>
                <c:pt idx="0">
                  <c:v>-4.8647554364029642E-3</c:v>
                </c:pt>
                <c:pt idx="1">
                  <c:v>-5.800314684605924E-3</c:v>
                </c:pt>
                <c:pt idx="2">
                  <c:v>-6.6876625701143017E-3</c:v>
                </c:pt>
                <c:pt idx="3">
                  <c:v>-7.5020370957601138E-3</c:v>
                </c:pt>
                <c:pt idx="4">
                  <c:v>-8.2267347934791776E-3</c:v>
                </c:pt>
                <c:pt idx="5">
                  <c:v>-8.852148601048446E-3</c:v>
                </c:pt>
                <c:pt idx="6">
                  <c:v>-9.374520779380115E-3</c:v>
                </c:pt>
                <c:pt idx="7">
                  <c:v>-9.79465000843429E-3</c:v>
                </c:pt>
                <c:pt idx="8">
                  <c:v>-1.0116690749816611E-2</c:v>
                </c:pt>
                <c:pt idx="9">
                  <c:v>-1.0347112839222855E-2</c:v>
                </c:pt>
                <c:pt idx="10">
                  <c:v>-1.049384430549196E-2</c:v>
                </c:pt>
                <c:pt idx="11">
                  <c:v>-1.056559385875621E-2</c:v>
                </c:pt>
                <c:pt idx="12">
                  <c:v>-1.0571335466653783E-2</c:v>
                </c:pt>
                <c:pt idx="13">
                  <c:v>-1.0519931433064563E-2</c:v>
                </c:pt>
                <c:pt idx="14">
                  <c:v>-1.0419869202588826E-2</c:v>
                </c:pt>
                <c:pt idx="15">
                  <c:v>-1.0279088582546081E-2</c:v>
                </c:pt>
                <c:pt idx="16">
                  <c:v>-1.0104878825265185E-2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79A-46F9-9D63-81366E77D8B4}"/>
            </c:ext>
          </c:extLst>
        </c:ser>
        <c:ser>
          <c:idx val="12"/>
          <c:order val="12"/>
          <c:tx>
            <c:strRef>
              <c:f>call!$BB$50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call!$BB$51:$BB$67</c:f>
              <c:numCache>
                <c:formatCode>General</c:formatCode>
                <c:ptCount val="17"/>
                <c:pt idx="0">
                  <c:v>-4.7392880521538129E-3</c:v>
                </c:pt>
                <c:pt idx="1">
                  <c:v>-5.4588780490776694E-3</c:v>
                </c:pt>
                <c:pt idx="2">
                  <c:v>-6.1279613810610641E-3</c:v>
                </c:pt>
                <c:pt idx="3">
                  <c:v>-6.7355356887253475E-3</c:v>
                </c:pt>
                <c:pt idx="4">
                  <c:v>-7.2751933658265393E-3</c:v>
                </c:pt>
                <c:pt idx="5">
                  <c:v>-7.7442022009995065E-3</c:v>
                </c:pt>
                <c:pt idx="6">
                  <c:v>-8.1426436947306634E-3</c:v>
                </c:pt>
                <c:pt idx="7">
                  <c:v>-8.4726606396136588E-3</c:v>
                </c:pt>
                <c:pt idx="8">
                  <c:v>-8.737830637401028E-3</c:v>
                </c:pt>
                <c:pt idx="9">
                  <c:v>-8.942662878222556E-3</c:v>
                </c:pt>
                <c:pt idx="10">
                  <c:v>-9.0922059143302408E-3</c:v>
                </c:pt>
                <c:pt idx="11">
                  <c:v>-9.1917503785103709E-3</c:v>
                </c:pt>
                <c:pt idx="12">
                  <c:v>-9.2466100796593544E-3</c:v>
                </c:pt>
                <c:pt idx="13">
                  <c:v>-9.2619660764550766E-3</c:v>
                </c:pt>
                <c:pt idx="14">
                  <c:v>-9.2427602438595949E-3</c:v>
                </c:pt>
                <c:pt idx="15">
                  <c:v>-9.1936269711699169E-3</c:v>
                </c:pt>
                <c:pt idx="16">
                  <c:v>-9.1188536792843888E-3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79A-46F9-9D63-81366E77D8B4}"/>
            </c:ext>
          </c:extLst>
        </c:ser>
        <c:ser>
          <c:idx val="13"/>
          <c:order val="13"/>
          <c:tx>
            <c:strRef>
              <c:f>call!$BC$50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call!$BC$51:$BC$67</c:f>
              <c:numCache>
                <c:formatCode>General</c:formatCode>
                <c:ptCount val="17"/>
                <c:pt idx="0">
                  <c:v>-4.5351230739948635E-3</c:v>
                </c:pt>
                <c:pt idx="1">
                  <c:v>-5.1165889558534737E-3</c:v>
                </c:pt>
                <c:pt idx="2">
                  <c:v>-5.6522519726966928E-3</c:v>
                </c:pt>
                <c:pt idx="3">
                  <c:v>-6.1370043560337343E-3</c:v>
                </c:pt>
                <c:pt idx="4">
                  <c:v>-6.5684877615526747E-3</c:v>
                </c:pt>
                <c:pt idx="5">
                  <c:v>-6.9464164713146882E-3</c:v>
                </c:pt>
                <c:pt idx="6">
                  <c:v>-7.2720111968502194E-3</c:v>
                </c:pt>
                <c:pt idx="7">
                  <c:v>-7.5475420683820656E-3</c:v>
                </c:pt>
                <c:pt idx="8">
                  <c:v>-7.7759697055117712E-3</c:v>
                </c:pt>
                <c:pt idx="9">
                  <c:v>-7.960669766185785E-3</c:v>
                </c:pt>
                <c:pt idx="10">
                  <c:v>-8.1052261007705812E-3</c:v>
                </c:pt>
                <c:pt idx="11">
                  <c:v>-8.2132789019653176E-3</c:v>
                </c:pt>
                <c:pt idx="12">
                  <c:v>-8.2884161040901686E-3</c:v>
                </c:pt>
                <c:pt idx="13">
                  <c:v>-8.33409825556858E-3</c:v>
                </c:pt>
                <c:pt idx="14">
                  <c:v>-8.3536089273122689E-3</c:v>
                </c:pt>
                <c:pt idx="15">
                  <c:v>-8.3500243280010995E-3</c:v>
                </c:pt>
                <c:pt idx="16">
                  <c:v>-8.3261971497866176E-3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79A-46F9-9D63-81366E77D8B4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Rho,</a:t>
            </a:r>
            <a:r>
              <a:rPr lang="it-IT" baseline="0"/>
              <a:t> volatility = 0,2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call!$F$89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call!$F$90:$F$106</c:f>
              <c:numCache>
                <c:formatCode>General</c:formatCode>
                <c:ptCount val="17"/>
                <c:pt idx="0">
                  <c:v>2.9155373317769776E-17</c:v>
                </c:pt>
                <c:pt idx="1">
                  <c:v>4.3284662987202281E-13</c:v>
                </c:pt>
                <c:pt idx="2">
                  <c:v>7.7692467200589764E-10</c:v>
                </c:pt>
                <c:pt idx="3">
                  <c:v>2.5013539023405383E-7</c:v>
                </c:pt>
                <c:pt idx="4">
                  <c:v>1.9684019476440405E-5</c:v>
                </c:pt>
                <c:pt idx="5">
                  <c:v>4.8575796157643818E-4</c:v>
                </c:pt>
                <c:pt idx="6">
                  <c:v>4.6266505291057552E-3</c:v>
                </c:pt>
                <c:pt idx="7">
                  <c:v>2.0396276517295933E-2</c:v>
                </c:pt>
                <c:pt idx="8">
                  <c:v>4.9319898584384125E-2</c:v>
                </c:pt>
                <c:pt idx="9">
                  <c:v>7.7428944428213187E-2</c:v>
                </c:pt>
                <c:pt idx="10">
                  <c:v>9.3111062933054919E-2</c:v>
                </c:pt>
                <c:pt idx="11">
                  <c:v>9.8489758625579293E-2</c:v>
                </c:pt>
                <c:pt idx="12">
                  <c:v>9.9693029945287864E-2</c:v>
                </c:pt>
                <c:pt idx="13">
                  <c:v>9.9877868050641513E-2</c:v>
                </c:pt>
                <c:pt idx="14">
                  <c:v>9.989825783141762E-2</c:v>
                </c:pt>
                <c:pt idx="15">
                  <c:v>9.9899937425487084E-2</c:v>
                </c:pt>
                <c:pt idx="16">
                  <c:v>9.9900044333117666E-2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C2-441B-923C-4D74738E5D28}"/>
            </c:ext>
          </c:extLst>
        </c:ser>
        <c:ser>
          <c:idx val="1"/>
          <c:order val="1"/>
          <c:tx>
            <c:strRef>
              <c:f>call!$G$89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call!$G$90:$G$106</c:f>
              <c:numCache>
                <c:formatCode>General</c:formatCode>
                <c:ptCount val="17"/>
                <c:pt idx="0">
                  <c:v>9.8144996773923621E-10</c:v>
                </c:pt>
                <c:pt idx="1">
                  <c:v>1.3045620291245923E-7</c:v>
                </c:pt>
                <c:pt idx="2">
                  <c:v>6.0569776566511092E-6</c:v>
                </c:pt>
                <c:pt idx="3">
                  <c:v>1.1981739309242231E-4</c:v>
                </c:pt>
                <c:pt idx="4">
                  <c:v>1.180615367981647E-3</c:v>
                </c:pt>
                <c:pt idx="5">
                  <c:v>6.5728086131009653E-3</c:v>
                </c:pt>
                <c:pt idx="6">
                  <c:v>2.2955278113909659E-2</c:v>
                </c:pt>
                <c:pt idx="7">
                  <c:v>5.5018256030450026E-2</c:v>
                </c:pt>
                <c:pt idx="8">
                  <c:v>9.8019788801767246E-2</c:v>
                </c:pt>
                <c:pt idx="9">
                  <c:v>0.13963207315360487</c:v>
                </c:pt>
                <c:pt idx="10">
                  <c:v>0.16997597069863821</c:v>
                </c:pt>
                <c:pt idx="11">
                  <c:v>0.18727453260072854</c:v>
                </c:pt>
                <c:pt idx="12">
                  <c:v>0.19522974084010128</c:v>
                </c:pt>
                <c:pt idx="13">
                  <c:v>0.19826121374631198</c:v>
                </c:pt>
                <c:pt idx="14">
                  <c:v>0.19924080062887661</c:v>
                </c:pt>
                <c:pt idx="15">
                  <c:v>0.19951462891393384</c:v>
                </c:pt>
                <c:pt idx="16">
                  <c:v>0.19958199888181857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C2-441B-923C-4D74738E5D28}"/>
            </c:ext>
          </c:extLst>
        </c:ser>
        <c:ser>
          <c:idx val="2"/>
          <c:order val="2"/>
          <c:tx>
            <c:strRef>
              <c:f>call!$H$89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call!$H$90:$H$106</c:f>
              <c:numCache>
                <c:formatCode>General</c:formatCode>
                <c:ptCount val="17"/>
                <c:pt idx="0">
                  <c:v>4.0745379654174127E-7</c:v>
                </c:pt>
                <c:pt idx="1">
                  <c:v>1.1214508890306987E-5</c:v>
                </c:pt>
                <c:pt idx="2">
                  <c:v>1.5340110803905882E-4</c:v>
                </c:pt>
                <c:pt idx="3">
                  <c:v>1.1911631216126933E-3</c:v>
                </c:pt>
                <c:pt idx="4">
                  <c:v>5.8294742224801023E-3</c:v>
                </c:pt>
                <c:pt idx="5">
                  <c:v>1.9560484482833908E-2</c:v>
                </c:pt>
                <c:pt idx="6">
                  <c:v>4.8240469025865866E-2</c:v>
                </c:pt>
                <c:pt idx="7">
                  <c:v>9.2744913252504044E-2</c:v>
                </c:pt>
                <c:pt idx="8">
                  <c:v>0.14628325566737621</c:v>
                </c:pt>
                <c:pt idx="9">
                  <c:v>0.19801355879149485</c:v>
                </c:pt>
                <c:pt idx="10">
                  <c:v>0.23936909463006029</c:v>
                </c:pt>
                <c:pt idx="11">
                  <c:v>0.26741714753531926</c:v>
                </c:pt>
                <c:pt idx="12">
                  <c:v>0.28390164223017778</c:v>
                </c:pt>
                <c:pt idx="13">
                  <c:v>0.29245072006046924</c:v>
                </c:pt>
                <c:pt idx="14">
                  <c:v>0.29642425234579134</c:v>
                </c:pt>
                <c:pt idx="15">
                  <c:v>0.2981017221563636</c:v>
                </c:pt>
                <c:pt idx="16">
                  <c:v>0.29875241343482667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C2-441B-923C-4D74738E5D28}"/>
            </c:ext>
          </c:extLst>
        </c:ser>
        <c:ser>
          <c:idx val="3"/>
          <c:order val="3"/>
          <c:tx>
            <c:strRef>
              <c:f>call!$I$89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call!$I$90:$I$106</c:f>
              <c:numCache>
                <c:formatCode>General</c:formatCode>
                <c:ptCount val="17"/>
                <c:pt idx="0">
                  <c:v>9.3629247971002436E-6</c:v>
                </c:pt>
                <c:pt idx="1">
                  <c:v>1.1705675325644336E-4</c:v>
                </c:pt>
                <c:pt idx="2">
                  <c:v>8.671070253851767E-4</c:v>
                </c:pt>
                <c:pt idx="3">
                  <c:v>4.2058365657656558E-3</c:v>
                </c:pt>
                <c:pt idx="4">
                  <c:v>1.4449660567580994E-2</c:v>
                </c:pt>
                <c:pt idx="5">
                  <c:v>3.7454643863001104E-2</c:v>
                </c:pt>
                <c:pt idx="6">
                  <c:v>7.714568152454411E-2</c:v>
                </c:pt>
                <c:pt idx="7">
                  <c:v>0.13187458778736869</c:v>
                </c:pt>
                <c:pt idx="8">
                  <c:v>0.19417631512966549</c:v>
                </c:pt>
                <c:pt idx="9">
                  <c:v>0.25432746553601698</c:v>
                </c:pt>
                <c:pt idx="10">
                  <c:v>0.30470390561626748</c:v>
                </c:pt>
                <c:pt idx="11">
                  <c:v>0.34200126589648211</c:v>
                </c:pt>
                <c:pt idx="12">
                  <c:v>0.36680746478076992</c:v>
                </c:pt>
                <c:pt idx="13">
                  <c:v>0.3818320533555099</c:v>
                </c:pt>
                <c:pt idx="14">
                  <c:v>0.39021658405667159</c:v>
                </c:pt>
                <c:pt idx="15">
                  <c:v>0.39457121776080656</c:v>
                </c:pt>
                <c:pt idx="16">
                  <c:v>0.39669441320637577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C2-441B-923C-4D74738E5D28}"/>
            </c:ext>
          </c:extLst>
        </c:ser>
        <c:ser>
          <c:idx val="4"/>
          <c:order val="4"/>
          <c:tx>
            <c:strRef>
              <c:f>call!$J$89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call!$J$90:$J$106</c:f>
              <c:numCache>
                <c:formatCode>General</c:formatCode>
                <c:ptCount val="17"/>
                <c:pt idx="0">
                  <c:v>6.588679923516248E-5</c:v>
                </c:pt>
                <c:pt idx="1">
                  <c:v>5.124182147004363E-4</c:v>
                </c:pt>
                <c:pt idx="2">
                  <c:v>2.6230859396038069E-3</c:v>
                </c:pt>
                <c:pt idx="3">
                  <c:v>9.5750502791312735E-3</c:v>
                </c:pt>
                <c:pt idx="4">
                  <c:v>2.6541221761137001E-2</c:v>
                </c:pt>
                <c:pt idx="5">
                  <c:v>5.8755556011287499E-2</c:v>
                </c:pt>
                <c:pt idx="6">
                  <c:v>0.10825115598149131</c:v>
                </c:pt>
                <c:pt idx="7">
                  <c:v>0.1717865664850281</c:v>
                </c:pt>
                <c:pt idx="8">
                  <c:v>0.24173738548666898</c:v>
                </c:pt>
                <c:pt idx="9">
                  <c:v>0.30924184743469108</c:v>
                </c:pt>
                <c:pt idx="10">
                  <c:v>0.36738595144398112</c:v>
                </c:pt>
                <c:pt idx="11">
                  <c:v>0.41277215823472962</c:v>
                </c:pt>
                <c:pt idx="12">
                  <c:v>0.44529407145839939</c:v>
                </c:pt>
                <c:pt idx="13">
                  <c:v>0.46692198548977831</c:v>
                </c:pt>
                <c:pt idx="14">
                  <c:v>0.4803961669575153</c:v>
                </c:pt>
                <c:pt idx="15">
                  <c:v>0.4883235563423502</c:v>
                </c:pt>
                <c:pt idx="16">
                  <c:v>0.49275873716227719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C2-441B-923C-4D74738E5D28}"/>
            </c:ext>
          </c:extLst>
        </c:ser>
        <c:ser>
          <c:idx val="5"/>
          <c:order val="5"/>
          <c:tx>
            <c:strRef>
              <c:f>call!$K$89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call!$K$90:$K$106</c:f>
              <c:numCache>
                <c:formatCode>General</c:formatCode>
                <c:ptCount val="17"/>
                <c:pt idx="0">
                  <c:v>2.5336754690401985E-4</c:v>
                </c:pt>
                <c:pt idx="1">
                  <c:v>1.4346745368583711E-3</c:v>
                </c:pt>
                <c:pt idx="2">
                  <c:v>5.7342650040421743E-3</c:v>
                </c:pt>
                <c:pt idx="3">
                  <c:v>1.7295450873604512E-2</c:v>
                </c:pt>
                <c:pt idx="4">
                  <c:v>4.1483206002554972E-2</c:v>
                </c:pt>
                <c:pt idx="5">
                  <c:v>8.2510457333700937E-2</c:v>
                </c:pt>
                <c:pt idx="6">
                  <c:v>0.14082638092999991</c:v>
                </c:pt>
                <c:pt idx="7">
                  <c:v>0.21217661617090136</c:v>
                </c:pt>
                <c:pt idx="8">
                  <c:v>0.28899256857821798</c:v>
                </c:pt>
                <c:pt idx="9">
                  <c:v>0.36309866980005234</c:v>
                </c:pt>
                <c:pt idx="10">
                  <c:v>0.42813919395874578</c:v>
                </c:pt>
                <c:pt idx="11">
                  <c:v>0.4807365212174417</c:v>
                </c:pt>
                <c:pt idx="12">
                  <c:v>0.52035124616342832</c:v>
                </c:pt>
                <c:pt idx="13">
                  <c:v>0.54839430840815317</c:v>
                </c:pt>
                <c:pt idx="14">
                  <c:v>0.56719853041525747</c:v>
                </c:pt>
                <c:pt idx="15">
                  <c:v>0.57922265459566469</c:v>
                </c:pt>
                <c:pt idx="16">
                  <c:v>0.58659707295076824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C2-441B-923C-4D74738E5D28}"/>
            </c:ext>
          </c:extLst>
        </c:ser>
        <c:ser>
          <c:idx val="6"/>
          <c:order val="6"/>
          <c:tx>
            <c:strRef>
              <c:f>call!$L$89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call!$L$90:$L$106</c:f>
              <c:numCache>
                <c:formatCode>General</c:formatCode>
                <c:ptCount val="17"/>
                <c:pt idx="0">
                  <c:v>6.8496313647904098E-4</c:v>
                </c:pt>
                <c:pt idx="1">
                  <c:v>3.0898154554743775E-3</c:v>
                </c:pt>
                <c:pt idx="2">
                  <c:v>1.0340638105047843E-2</c:v>
                </c:pt>
                <c:pt idx="3">
                  <c:v>2.7188766452768527E-2</c:v>
                </c:pt>
                <c:pt idx="4">
                  <c:v>5.8743138124230571E-2</c:v>
                </c:pt>
                <c:pt idx="5">
                  <c:v>0.10810010394461254</c:v>
                </c:pt>
                <c:pt idx="6">
                  <c:v>0.17444422479079946</c:v>
                </c:pt>
                <c:pt idx="7">
                  <c:v>0.25287075576346896</c:v>
                </c:pt>
                <c:pt idx="8">
                  <c:v>0.33596116095735584</c:v>
                </c:pt>
                <c:pt idx="9">
                  <c:v>0.41610220083116067</c:v>
                </c:pt>
                <c:pt idx="10">
                  <c:v>0.48739182226438388</c:v>
                </c:pt>
                <c:pt idx="11">
                  <c:v>0.54652113577166295</c:v>
                </c:pt>
                <c:pt idx="12">
                  <c:v>0.59267237553388952</c:v>
                </c:pt>
                <c:pt idx="13">
                  <c:v>0.62683596450535606</c:v>
                </c:pt>
                <c:pt idx="14">
                  <c:v>0.65098182663181059</c:v>
                </c:pt>
                <c:pt idx="15">
                  <c:v>0.66736921843921537</c:v>
                </c:pt>
                <c:pt idx="16">
                  <c:v>0.67810197543662665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C2-441B-923C-4D74738E5D28}"/>
            </c:ext>
          </c:extLst>
        </c:ser>
        <c:ser>
          <c:idx val="7"/>
          <c:order val="7"/>
          <c:tx>
            <c:strRef>
              <c:f>call!$M$89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call!$M$90:$M$106</c:f>
              <c:numCache>
                <c:formatCode>General</c:formatCode>
                <c:ptCount val="17"/>
                <c:pt idx="0">
                  <c:v>1.479229983212314E-3</c:v>
                </c:pt>
                <c:pt idx="1">
                  <c:v>5.6236751489784883E-3</c:v>
                </c:pt>
                <c:pt idx="2">
                  <c:v>1.6463949579291828E-2</c:v>
                </c:pt>
                <c:pt idx="3">
                  <c:v>3.9025965710024667E-2</c:v>
                </c:pt>
                <c:pt idx="4">
                  <c:v>7.7898920427139709E-2</c:v>
                </c:pt>
                <c:pt idx="5">
                  <c:v>0.13510429218050068</c:v>
                </c:pt>
                <c:pt idx="6">
                  <c:v>0.20883210534016247</c:v>
                </c:pt>
                <c:pt idx="7">
                  <c:v>0.29375944234947265</c:v>
                </c:pt>
                <c:pt idx="8">
                  <c:v>0.3826582197680381</c:v>
                </c:pt>
                <c:pt idx="9">
                  <c:v>0.46838682825452471</c:v>
                </c:pt>
                <c:pt idx="10">
                  <c:v>0.54542150099630138</c:v>
                </c:pt>
                <c:pt idx="11">
                  <c:v>0.61054291488019341</c:v>
                </c:pt>
                <c:pt idx="12">
                  <c:v>0.66275083755870501</c:v>
                </c:pt>
                <c:pt idx="13">
                  <c:v>0.7027170419404063</c:v>
                </c:pt>
                <c:pt idx="14">
                  <c:v>0.73210216289147134</c:v>
                </c:pt>
                <c:pt idx="15">
                  <c:v>0.75295737423125897</c:v>
                </c:pt>
                <c:pt idx="16">
                  <c:v>0.76730661853179061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C2-441B-923C-4D74738E5D28}"/>
            </c:ext>
          </c:extLst>
        </c:ser>
        <c:ser>
          <c:idx val="8"/>
          <c:order val="8"/>
          <c:tx>
            <c:strRef>
              <c:f>call!$N$89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call!$N$90:$N$106</c:f>
              <c:numCache>
                <c:formatCode>General</c:formatCode>
                <c:ptCount val="17"/>
                <c:pt idx="0">
                  <c:v>2.7423139001812426E-3</c:v>
                </c:pt>
                <c:pt idx="1">
                  <c:v>9.1231525678742344E-3</c:v>
                </c:pt>
                <c:pt idx="2">
                  <c:v>2.4057851465664686E-2</c:v>
                </c:pt>
                <c:pt idx="3">
                  <c:v>5.2579361449743289E-2</c:v>
                </c:pt>
                <c:pt idx="4">
                  <c:v>9.862114055816798E-2</c:v>
                </c:pt>
                <c:pt idx="5">
                  <c:v>0.16322605204399807</c:v>
                </c:pt>
                <c:pt idx="6">
                  <c:v>0.24380474754909534</c:v>
                </c:pt>
                <c:pt idx="7">
                  <c:v>0.33476899762460482</c:v>
                </c:pt>
                <c:pt idx="8">
                  <c:v>0.42909594584950778</c:v>
                </c:pt>
                <c:pt idx="9">
                  <c:v>0.52004704799454149</c:v>
                </c:pt>
                <c:pt idx="10">
                  <c:v>0.60242046033683716</c:v>
                </c:pt>
                <c:pt idx="11">
                  <c:v>0.67309416261096167</c:v>
                </c:pt>
                <c:pt idx="12">
                  <c:v>0.73094735333031413</c:v>
                </c:pt>
                <c:pt idx="13">
                  <c:v>0.77640758146235589</c:v>
                </c:pt>
                <c:pt idx="14">
                  <c:v>0.81087590504535034</c:v>
                </c:pt>
                <c:pt idx="15">
                  <c:v>0.83620516746271678</c:v>
                </c:pt>
                <c:pt idx="16">
                  <c:v>0.85431448147951727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C2-441B-923C-4D74738E5D28}"/>
            </c:ext>
          </c:extLst>
        </c:ser>
        <c:ser>
          <c:idx val="9"/>
          <c:order val="9"/>
          <c:tx>
            <c:strRef>
              <c:f>call!$O$89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call!$O$90:$O$106</c:f>
              <c:numCache>
                <c:formatCode>General</c:formatCode>
                <c:ptCount val="17"/>
                <c:pt idx="0">
                  <c:v>4.5595912570109308E-3</c:v>
                </c:pt>
                <c:pt idx="1">
                  <c:v>1.362821018707179E-2</c:v>
                </c:pt>
                <c:pt idx="2">
                  <c:v>3.3041361033821E-2</c:v>
                </c:pt>
                <c:pt idx="3">
                  <c:v>6.7641543932963399E-2</c:v>
                </c:pt>
                <c:pt idx="4">
                  <c:v>0.12065171933845738</c:v>
                </c:pt>
                <c:pt idx="5">
                  <c:v>0.19224806199408714</c:v>
                </c:pt>
                <c:pt idx="6">
                  <c:v>0.2792301046204449</c:v>
                </c:pt>
                <c:pt idx="7">
                  <c:v>0.37584742260070181</c:v>
                </c:pt>
                <c:pt idx="8">
                  <c:v>0.47528450546914641</c:v>
                </c:pt>
                <c:pt idx="9">
                  <c:v>0.57115262574421599</c:v>
                </c:pt>
                <c:pt idx="10">
                  <c:v>0.65852844532273414</c:v>
                </c:pt>
                <c:pt idx="11">
                  <c:v>0.73438858241015226</c:v>
                </c:pt>
                <c:pt idx="12">
                  <c:v>0.79753296736124057</c:v>
                </c:pt>
                <c:pt idx="13">
                  <c:v>0.84819982584634868</c:v>
                </c:pt>
                <c:pt idx="14">
                  <c:v>0.88757319713568394</c:v>
                </c:pt>
                <c:pt idx="15">
                  <c:v>0.91732436651684768</c:v>
                </c:pt>
                <c:pt idx="16">
                  <c:v>0.93925858365570514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C2-441B-923C-4D74738E5D28}"/>
            </c:ext>
          </c:extLst>
        </c:ser>
        <c:ser>
          <c:idx val="10"/>
          <c:order val="10"/>
          <c:tx>
            <c:strRef>
              <c:f>call!$P$89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call!$P$90:$P$106</c:f>
              <c:numCache>
                <c:formatCode>General</c:formatCode>
                <c:ptCount val="17"/>
                <c:pt idx="0">
                  <c:v>5.9353081456012938E-2</c:v>
                </c:pt>
                <c:pt idx="1">
                  <c:v>0.10879243138680189</c:v>
                </c:pt>
                <c:pt idx="2">
                  <c:v>0.17932080685197074</c:v>
                </c:pt>
                <c:pt idx="3">
                  <c:v>0.27119588189475019</c:v>
                </c:pt>
                <c:pt idx="4">
                  <c:v>0.38226402136740828</c:v>
                </c:pt>
                <c:pt idx="5">
                  <c:v>0.50846001160439569</c:v>
                </c:pt>
                <c:pt idx="6">
                  <c:v>0.64458771564347106</c:v>
                </c:pt>
                <c:pt idx="7">
                  <c:v>0.78513403617493838</c:v>
                </c:pt>
                <c:pt idx="8">
                  <c:v>0.92494293545844164</c:v>
                </c:pt>
                <c:pt idx="9">
                  <c:v>1.0596687970369523</c:v>
                </c:pt>
                <c:pt idx="10">
                  <c:v>1.1860034685036835</c:v>
                </c:pt>
                <c:pt idx="11">
                  <c:v>1.301716483822899</c:v>
                </c:pt>
                <c:pt idx="12">
                  <c:v>1.4055657274099254</c:v>
                </c:pt>
                <c:pt idx="13">
                  <c:v>1.4971347861958171</c:v>
                </c:pt>
                <c:pt idx="14">
                  <c:v>1.5766424137341921</c:v>
                </c:pt>
                <c:pt idx="15">
                  <c:v>1.6447556479755494</c:v>
                </c:pt>
                <c:pt idx="16">
                  <c:v>1.7024252108865094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C2-441B-923C-4D74738E5D28}"/>
            </c:ext>
          </c:extLst>
        </c:ser>
        <c:ser>
          <c:idx val="11"/>
          <c:order val="11"/>
          <c:tx>
            <c:strRef>
              <c:f>call!$Q$89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call!$Q$90:$Q$106</c:f>
              <c:numCache>
                <c:formatCode>General</c:formatCode>
                <c:ptCount val="17"/>
                <c:pt idx="0">
                  <c:v>0.17245259544138369</c:v>
                </c:pt>
                <c:pt idx="1">
                  <c:v>0.26706226544028677</c:v>
                </c:pt>
                <c:pt idx="2">
                  <c:v>0.38476487533043752</c:v>
                </c:pt>
                <c:pt idx="3">
                  <c:v>0.52273981099216771</c:v>
                </c:pt>
                <c:pt idx="4">
                  <c:v>0.67677547849775832</c:v>
                </c:pt>
                <c:pt idx="5">
                  <c:v>0.84192775036698542</c:v>
                </c:pt>
                <c:pt idx="6">
                  <c:v>1.0131166738002781</c:v>
                </c:pt>
                <c:pt idx="7">
                  <c:v>1.1855867137549208</c:v>
                </c:pt>
                <c:pt idx="8">
                  <c:v>1.3552089139551935</c:v>
                </c:pt>
                <c:pt idx="9">
                  <c:v>1.5186376940705391</c:v>
                </c:pt>
                <c:pt idx="10">
                  <c:v>1.6733520389609637</c:v>
                </c:pt>
                <c:pt idx="11">
                  <c:v>1.8176154213669029</c:v>
                </c:pt>
                <c:pt idx="12">
                  <c:v>1.9503860096125631</c:v>
                </c:pt>
                <c:pt idx="13">
                  <c:v>2.071202520027601</c:v>
                </c:pt>
                <c:pt idx="14">
                  <c:v>2.1800640774968918</c:v>
                </c:pt>
                <c:pt idx="15">
                  <c:v>2.2773160793645628</c:v>
                </c:pt>
                <c:pt idx="16">
                  <c:v>2.363548932826006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C2-441B-923C-4D74738E5D28}"/>
            </c:ext>
          </c:extLst>
        </c:ser>
        <c:ser>
          <c:idx val="12"/>
          <c:order val="12"/>
          <c:tx>
            <c:strRef>
              <c:f>call!$R$89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call!$R$90:$R$106</c:f>
              <c:numCache>
                <c:formatCode>General</c:formatCode>
                <c:ptCount val="17"/>
                <c:pt idx="0">
                  <c:v>0.32377152020462435</c:v>
                </c:pt>
                <c:pt idx="1">
                  <c:v>0.45966579050016665</c:v>
                </c:pt>
                <c:pt idx="2">
                  <c:v>0.6174994858488011</c:v>
                </c:pt>
                <c:pt idx="3">
                  <c:v>0.79297672467890534</c:v>
                </c:pt>
                <c:pt idx="4">
                  <c:v>0.98121354844747444</c:v>
                </c:pt>
                <c:pt idx="5">
                  <c:v>1.1772513441976242</c:v>
                </c:pt>
                <c:pt idx="6">
                  <c:v>1.3764368253482542</c:v>
                </c:pt>
                <c:pt idx="7">
                  <c:v>1.5746664906933414</c:v>
                </c:pt>
                <c:pt idx="8">
                  <c:v>1.7685142165444596</c:v>
                </c:pt>
                <c:pt idx="9">
                  <c:v>1.9552688246325389</c:v>
                </c:pt>
                <c:pt idx="10">
                  <c:v>2.1329088821197066</c:v>
                </c:pt>
                <c:pt idx="11">
                  <c:v>2.3000383938445146</c:v>
                </c:pt>
                <c:pt idx="12">
                  <c:v>2.4558019526519712</c:v>
                </c:pt>
                <c:pt idx="13">
                  <c:v>2.5997927799092873</c:v>
                </c:pt>
                <c:pt idx="14">
                  <c:v>2.7319626305478524</c:v>
                </c:pt>
                <c:pt idx="15">
                  <c:v>2.8525390074635313</c:v>
                </c:pt>
                <c:pt idx="16">
                  <c:v>2.9619525249901475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9C2-441B-923C-4D74738E5D28}"/>
            </c:ext>
          </c:extLst>
        </c:ser>
        <c:ser>
          <c:idx val="13"/>
          <c:order val="13"/>
          <c:tx>
            <c:strRef>
              <c:f>call!$S$89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call!$S$90:$S$106</c:f>
              <c:numCache>
                <c:formatCode>General</c:formatCode>
                <c:ptCount val="17"/>
                <c:pt idx="0">
                  <c:v>0.4989815054427264</c:v>
                </c:pt>
                <c:pt idx="1">
                  <c:v>0.67144050131601485</c:v>
                </c:pt>
                <c:pt idx="2">
                  <c:v>0.8636305114580537</c:v>
                </c:pt>
                <c:pt idx="3">
                  <c:v>1.070610955886903</c:v>
                </c:pt>
                <c:pt idx="4">
                  <c:v>1.2873783982233833</c:v>
                </c:pt>
                <c:pt idx="5">
                  <c:v>1.509219653951388</c:v>
                </c:pt>
                <c:pt idx="6">
                  <c:v>1.7319351169097623</c:v>
                </c:pt>
                <c:pt idx="7">
                  <c:v>1.9519550649892421</c:v>
                </c:pt>
                <c:pt idx="8">
                  <c:v>2.1663757703673947</c:v>
                </c:pt>
                <c:pt idx="9">
                  <c:v>2.3729405021947212</c:v>
                </c:pt>
                <c:pt idx="10">
                  <c:v>2.5699862244155023</c:v>
                </c:pt>
                <c:pt idx="11">
                  <c:v>2.7563718801831256</c:v>
                </c:pt>
                <c:pt idx="12">
                  <c:v>2.9313996071778941</c:v>
                </c:pt>
                <c:pt idx="13">
                  <c:v>3.0947364560622197</c:v>
                </c:pt>
                <c:pt idx="14">
                  <c:v>3.2463412741759061</c:v>
                </c:pt>
                <c:pt idx="15">
                  <c:v>3.3863992954318465</c:v>
                </c:pt>
                <c:pt idx="16">
                  <c:v>3.5152655093388363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9C2-441B-923C-4D74738E5D28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Rho,</a:t>
            </a:r>
            <a:r>
              <a:rPr lang="it-IT" baseline="0"/>
              <a:t> volatility = 0,1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call!$X$89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call!$X$90:$X$106</c:f>
              <c:numCache>
                <c:formatCode>General</c:formatCode>
                <c:ptCount val="17"/>
                <c:pt idx="0">
                  <c:v>6.8997547428960883E-60</c:v>
                </c:pt>
                <c:pt idx="1">
                  <c:v>1.824025691521059E-43</c:v>
                </c:pt>
                <c:pt idx="2">
                  <c:v>9.954666886739304E-31</c:v>
                </c:pt>
                <c:pt idx="3">
                  <c:v>5.3493516241294045E-21</c:v>
                </c:pt>
                <c:pt idx="4">
                  <c:v>9.5606229748062584E-14</c:v>
                </c:pt>
                <c:pt idx="5">
                  <c:v>1.498171510428129E-8</c:v>
                </c:pt>
                <c:pt idx="6">
                  <c:v>4.5615435801455798E-5</c:v>
                </c:pt>
                <c:pt idx="7">
                  <c:v>5.4058155808872667E-3</c:v>
                </c:pt>
                <c:pt idx="8">
                  <c:v>5.0580151398953388E-2</c:v>
                </c:pt>
                <c:pt idx="9">
                  <c:v>9.3952533892679782E-2</c:v>
                </c:pt>
                <c:pt idx="10">
                  <c:v>9.9777807903598914E-2</c:v>
                </c:pt>
                <c:pt idx="11">
                  <c:v>9.9899591088745576E-2</c:v>
                </c:pt>
                <c:pt idx="12">
                  <c:v>9.9900049613135686E-2</c:v>
                </c:pt>
                <c:pt idx="13">
                  <c:v>9.9900049983261366E-2</c:v>
                </c:pt>
                <c:pt idx="14">
                  <c:v>9.9900049983337513E-2</c:v>
                </c:pt>
                <c:pt idx="15">
                  <c:v>9.9900049983337513E-2</c:v>
                </c:pt>
                <c:pt idx="16">
                  <c:v>9.9900049983337513E-2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2-4021-A479-26211D611E83}"/>
            </c:ext>
          </c:extLst>
        </c:ser>
        <c:ser>
          <c:idx val="1"/>
          <c:order val="1"/>
          <c:tx>
            <c:strRef>
              <c:f>call!$Y$89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call!$Y$90:$Y$106</c:f>
              <c:numCache>
                <c:formatCode>General</c:formatCode>
                <c:ptCount val="17"/>
                <c:pt idx="0">
                  <c:v>4.1705600383653559E-31</c:v>
                </c:pt>
                <c:pt idx="1">
                  <c:v>7.2236755311601088E-23</c:v>
                </c:pt>
                <c:pt idx="2">
                  <c:v>1.8148881916339142E-16</c:v>
                </c:pt>
                <c:pt idx="3">
                  <c:v>1.4484262281308254E-11</c:v>
                </c:pt>
                <c:pt idx="4">
                  <c:v>6.7762571900260923E-8</c:v>
                </c:pt>
                <c:pt idx="5">
                  <c:v>3.0362011070892119E-5</c:v>
                </c:pt>
                <c:pt idx="6">
                  <c:v>1.957894332731875E-3</c:v>
                </c:pt>
                <c:pt idx="7">
                  <c:v>2.6024085650062811E-2</c:v>
                </c:pt>
                <c:pt idx="8">
                  <c:v>0.10158061093169939</c:v>
                </c:pt>
                <c:pt idx="9">
                  <c:v>0.17309729794666578</c:v>
                </c:pt>
                <c:pt idx="10">
                  <c:v>0.19647918755775001</c:v>
                </c:pt>
                <c:pt idx="11">
                  <c:v>0.19943607403579602</c:v>
                </c:pt>
                <c:pt idx="12">
                  <c:v>0.19959626211406123</c:v>
                </c:pt>
                <c:pt idx="13">
                  <c:v>0.19960034597449697</c:v>
                </c:pt>
                <c:pt idx="14">
                  <c:v>0.19960039934571283</c:v>
                </c:pt>
                <c:pt idx="15">
                  <c:v>0.19960039973180685</c:v>
                </c:pt>
                <c:pt idx="16">
                  <c:v>0.19960039973346216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C2-4021-A479-26211D611E83}"/>
            </c:ext>
          </c:extLst>
        </c:ser>
        <c:ser>
          <c:idx val="2"/>
          <c:order val="2"/>
          <c:tx>
            <c:strRef>
              <c:f>call!$Z$89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call!$Z$90:$Z$106</c:f>
              <c:numCache>
                <c:formatCode>General</c:formatCode>
                <c:ptCount val="17"/>
                <c:pt idx="0">
                  <c:v>2.1207973599216593E-21</c:v>
                </c:pt>
                <c:pt idx="1">
                  <c:v>6.8680684372739577E-16</c:v>
                </c:pt>
                <c:pt idx="2">
                  <c:v>1.3307124507183932E-11</c:v>
                </c:pt>
                <c:pt idx="3">
                  <c:v>2.6052631871411224E-8</c:v>
                </c:pt>
                <c:pt idx="4">
                  <c:v>7.7703922274790217E-6</c:v>
                </c:pt>
                <c:pt idx="5">
                  <c:v>4.9117640802576364E-4</c:v>
                </c:pt>
                <c:pt idx="6">
                  <c:v>8.6635170446754152E-3</c:v>
                </c:pt>
                <c:pt idx="7">
                  <c:v>5.4331597927515317E-2</c:v>
                </c:pt>
                <c:pt idx="8">
                  <c:v>0.15281809298363574</c:v>
                </c:pt>
                <c:pt idx="9">
                  <c:v>0.24548285319545807</c:v>
                </c:pt>
                <c:pt idx="10">
                  <c:v>0.28756443180563224</c:v>
                </c:pt>
                <c:pt idx="11">
                  <c:v>0.29761983540617448</c:v>
                </c:pt>
                <c:pt idx="12">
                  <c:v>0.29898313191089138</c:v>
                </c:pt>
                <c:pt idx="13">
                  <c:v>0.29909520753459073</c:v>
                </c:pt>
                <c:pt idx="14">
                  <c:v>0.2991011312306211</c:v>
                </c:pt>
                <c:pt idx="15">
                  <c:v>0.29910134317755122</c:v>
                </c:pt>
                <c:pt idx="16">
                  <c:v>0.29910134854920667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C2-4021-A479-26211D611E83}"/>
            </c:ext>
          </c:extLst>
        </c:ser>
        <c:ser>
          <c:idx val="3"/>
          <c:order val="3"/>
          <c:tx>
            <c:strRef>
              <c:f>call!$AA$89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call!$AA$90:$AA$106</c:f>
              <c:numCache>
                <c:formatCode>General</c:formatCode>
                <c:ptCount val="17"/>
                <c:pt idx="0">
                  <c:v>1.7146657173941722E-16</c:v>
                </c:pt>
                <c:pt idx="1">
                  <c:v>2.3996762916801391E-12</c:v>
                </c:pt>
                <c:pt idx="2">
                  <c:v>4.0794980511215184E-9</c:v>
                </c:pt>
                <c:pt idx="3">
                  <c:v>1.2492523960331803E-6</c:v>
                </c:pt>
                <c:pt idx="4">
                  <c:v>9.387406712177922E-5</c:v>
                </c:pt>
                <c:pt idx="5">
                  <c:v>2.2206863454671427E-3</c:v>
                </c:pt>
                <c:pt idx="6">
                  <c:v>2.0358699772475959E-2</c:v>
                </c:pt>
                <c:pt idx="7">
                  <c:v>8.6801463209930207E-2</c:v>
                </c:pt>
                <c:pt idx="8">
                  <c:v>0.20422688060793115</c:v>
                </c:pt>
                <c:pt idx="9">
                  <c:v>0.31435240865969416</c:v>
                </c:pt>
                <c:pt idx="10">
                  <c:v>0.37372216345157355</c:v>
                </c:pt>
                <c:pt idx="11">
                  <c:v>0.39342380536091404</c:v>
                </c:pt>
                <c:pt idx="12">
                  <c:v>0.39769324894937874</c:v>
                </c:pt>
                <c:pt idx="13">
                  <c:v>0.39832927362661075</c:v>
                </c:pt>
                <c:pt idx="14">
                  <c:v>0.39839738796252955</c:v>
                </c:pt>
                <c:pt idx="15">
                  <c:v>0.3984028407573641</c:v>
                </c:pt>
                <c:pt idx="16">
                  <c:v>0.39840317838234113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C2-4021-A479-26211D611E83}"/>
            </c:ext>
          </c:extLst>
        </c:ser>
        <c:ser>
          <c:idx val="4"/>
          <c:order val="4"/>
          <c:tx>
            <c:strRef>
              <c:f>call!$AB$89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call!$AB$90:$AB$106</c:f>
              <c:numCache>
                <c:formatCode>General</c:formatCode>
                <c:ptCount val="17"/>
                <c:pt idx="0">
                  <c:v>1.6258128709111354E-13</c:v>
                </c:pt>
                <c:pt idx="1">
                  <c:v>3.4533346751725232E-10</c:v>
                </c:pt>
                <c:pt idx="2">
                  <c:v>1.3625021969122364E-7</c:v>
                </c:pt>
                <c:pt idx="3">
                  <c:v>1.3693783854780401E-5</c:v>
                </c:pt>
                <c:pt idx="4">
                  <c:v>4.4930628022144242E-4</c:v>
                </c:pt>
                <c:pt idx="5">
                  <c:v>5.8793072579454864E-3</c:v>
                </c:pt>
                <c:pt idx="6">
                  <c:v>3.6258596069978881E-2</c:v>
                </c:pt>
                <c:pt idx="7">
                  <c:v>0.12193085930105975</c:v>
                </c:pt>
                <c:pt idx="8">
                  <c:v>0.25576885410967215</c:v>
                </c:pt>
                <c:pt idx="9">
                  <c:v>0.38103111573428783</c:v>
                </c:pt>
                <c:pt idx="10">
                  <c:v>0.45606650497595846</c:v>
                </c:pt>
                <c:pt idx="11">
                  <c:v>0.48650344681152441</c:v>
                </c:pt>
                <c:pt idx="12">
                  <c:v>0.49527868282183346</c:v>
                </c:pt>
                <c:pt idx="13">
                  <c:v>0.49715365396356187</c:v>
                </c:pt>
                <c:pt idx="14">
                  <c:v>0.49746149929550426</c:v>
                </c:pt>
                <c:pt idx="15">
                  <c:v>0.49750157959169578</c:v>
                </c:pt>
                <c:pt idx="16">
                  <c:v>0.49750583249072633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2-4021-A479-26211D611E83}"/>
            </c:ext>
          </c:extLst>
        </c:ser>
        <c:ser>
          <c:idx val="5"/>
          <c:order val="5"/>
          <c:tx>
            <c:strRef>
              <c:f>call!$AC$89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call!$AC$90:$AC$106</c:f>
              <c:numCache>
                <c:formatCode>General</c:formatCode>
                <c:ptCount val="17"/>
                <c:pt idx="0">
                  <c:v>1.6481813086334279E-11</c:v>
                </c:pt>
                <c:pt idx="1">
                  <c:v>9.9575989539410699E-9</c:v>
                </c:pt>
                <c:pt idx="2">
                  <c:v>1.4829729609667339E-6</c:v>
                </c:pt>
                <c:pt idx="3">
                  <c:v>7.0864177060534547E-5</c:v>
                </c:pt>
                <c:pt idx="4">
                  <c:v>1.3367272087027218E-3</c:v>
                </c:pt>
                <c:pt idx="5">
                  <c:v>1.1766528591399655E-2</c:v>
                </c:pt>
                <c:pt idx="6">
                  <c:v>5.5569135148285986E-2</c:v>
                </c:pt>
                <c:pt idx="7">
                  <c:v>0.15893745368596146</c:v>
                </c:pt>
                <c:pt idx="8">
                  <c:v>0.30741820985414314</c:v>
                </c:pt>
                <c:pt idx="9">
                  <c:v>0.4461911627338217</c:v>
                </c:pt>
                <c:pt idx="10">
                  <c:v>0.53546438342331992</c:v>
                </c:pt>
                <c:pt idx="11">
                  <c:v>0.5769314379272884</c:v>
                </c:pt>
                <c:pt idx="12">
                  <c:v>0.59142047882605842</c:v>
                </c:pt>
                <c:pt idx="13">
                  <c:v>0.59536529236320235</c:v>
                </c:pt>
                <c:pt idx="14">
                  <c:v>0.59622800656168429</c:v>
                </c:pt>
                <c:pt idx="15">
                  <c:v>0.59638360220830644</c:v>
                </c:pt>
                <c:pt idx="16">
                  <c:v>0.59640728082054484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C2-4021-A479-26211D611E83}"/>
            </c:ext>
          </c:extLst>
        </c:ser>
        <c:ser>
          <c:idx val="6"/>
          <c:order val="6"/>
          <c:tx>
            <c:strRef>
              <c:f>call!$AD$89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call!$AD$90:$AD$106</c:f>
              <c:numCache>
                <c:formatCode>General</c:formatCode>
                <c:ptCount val="17"/>
                <c:pt idx="0">
                  <c:v>4.6233752509654254E-10</c:v>
                </c:pt>
                <c:pt idx="1">
                  <c:v>1.1375608625566583E-7</c:v>
                </c:pt>
                <c:pt idx="2">
                  <c:v>8.4440564273303502E-6</c:v>
                </c:pt>
                <c:pt idx="3">
                  <c:v>2.3711237792182926E-4</c:v>
                </c:pt>
                <c:pt idx="4">
                  <c:v>3.0094142404680354E-3</c:v>
                </c:pt>
                <c:pt idx="5">
                  <c:v>1.9932210842367931E-2</c:v>
                </c:pt>
                <c:pt idx="6">
                  <c:v>7.7653949825830557E-2</c:v>
                </c:pt>
                <c:pt idx="7">
                  <c:v>0.19735680124144059</c:v>
                </c:pt>
                <c:pt idx="8">
                  <c:v>0.35915594909590859</c:v>
                </c:pt>
                <c:pt idx="9">
                  <c:v>0.51022305279995162</c:v>
                </c:pt>
                <c:pt idx="10">
                  <c:v>0.61253729163278892</c:v>
                </c:pt>
                <c:pt idx="11">
                  <c:v>0.66493513401483262</c:v>
                </c:pt>
                <c:pt idx="12">
                  <c:v>0.68595842929360373</c:v>
                </c:pt>
                <c:pt idx="13">
                  <c:v>0.69277091810376734</c:v>
                </c:pt>
                <c:pt idx="14">
                  <c:v>0.69460114005190687</c:v>
                </c:pt>
                <c:pt idx="15">
                  <c:v>0.69501813372831622</c:v>
                </c:pt>
                <c:pt idx="16">
                  <c:v>0.69510030433566872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C2-4021-A479-26211D611E83}"/>
            </c:ext>
          </c:extLst>
        </c:ser>
        <c:ser>
          <c:idx val="7"/>
          <c:order val="7"/>
          <c:tx>
            <c:strRef>
              <c:f>call!$AE$89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call!$AE$90:$AE$106</c:f>
              <c:numCache>
                <c:formatCode>General</c:formatCode>
                <c:ptCount val="17"/>
                <c:pt idx="0">
                  <c:v>5.7838836856354669E-9</c:v>
                </c:pt>
                <c:pt idx="1">
                  <c:v>7.2532656593866103E-7</c:v>
                </c:pt>
                <c:pt idx="2">
                  <c:v>3.1927561083099139E-5</c:v>
                </c:pt>
                <c:pt idx="3">
                  <c:v>6.0144636736595401E-4</c:v>
                </c:pt>
                <c:pt idx="4">
                  <c:v>5.6671524536186409E-3</c:v>
                </c:pt>
                <c:pt idx="5">
                  <c:v>3.0294875417979785E-2</c:v>
                </c:pt>
                <c:pt idx="6">
                  <c:v>0.10202507574836324</c:v>
                </c:pt>
                <c:pt idx="7">
                  <c:v>0.23688743774384433</c:v>
                </c:pt>
                <c:pt idx="8">
                  <c:v>0.41096731210161042</c:v>
                </c:pt>
                <c:pt idx="9">
                  <c:v>0.57337518442883206</c:v>
                </c:pt>
                <c:pt idx="10">
                  <c:v>0.68773188516542394</c:v>
                </c:pt>
                <c:pt idx="11">
                  <c:v>0.75077492898362252</c:v>
                </c:pt>
                <c:pt idx="12">
                  <c:v>0.77884877360331062</c:v>
                </c:pt>
                <c:pt idx="13">
                  <c:v>0.78922100210084156</c:v>
                </c:pt>
                <c:pt idx="14">
                  <c:v>0.79247439679380349</c:v>
                </c:pt>
                <c:pt idx="15">
                  <c:v>0.79335812906789938</c:v>
                </c:pt>
                <c:pt idx="16">
                  <c:v>0.79356962372848672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C2-4021-A479-26211D611E83}"/>
            </c:ext>
          </c:extLst>
        </c:ser>
        <c:ser>
          <c:idx val="8"/>
          <c:order val="8"/>
          <c:tx>
            <c:strRef>
              <c:f>call!$AF$89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call!$AF$90:$AF$106</c:f>
              <c:numCache>
                <c:formatCode>General</c:formatCode>
                <c:ptCount val="17"/>
                <c:pt idx="0">
                  <c:v>4.2109995631038725E-8</c:v>
                </c:pt>
                <c:pt idx="1">
                  <c:v>3.1257694746679374E-6</c:v>
                </c:pt>
                <c:pt idx="2">
                  <c:v>9.1613031212593089E-5</c:v>
                </c:pt>
                <c:pt idx="3">
                  <c:v>1.2646643565367435E-3</c:v>
                </c:pt>
                <c:pt idx="4">
                  <c:v>9.4469788357844902E-3</c:v>
                </c:pt>
                <c:pt idx="5">
                  <c:v>4.2714832976975065E-2</c:v>
                </c:pt>
                <c:pt idx="6">
                  <c:v>0.12830859013377557</c:v>
                </c:pt>
                <c:pt idx="7">
                  <c:v>0.27732073358297105</c:v>
                </c:pt>
                <c:pt idx="8">
                  <c:v>0.46284039504608732</c:v>
                </c:pt>
                <c:pt idx="9">
                  <c:v>0.63581611101087543</c:v>
                </c:pt>
                <c:pt idx="10">
                  <c:v>0.76137581768653773</c:v>
                </c:pt>
                <c:pt idx="11">
                  <c:v>0.83469784716418205</c:v>
                </c:pt>
                <c:pt idx="12">
                  <c:v>0.87011875244291337</c:v>
                </c:pt>
                <c:pt idx="13">
                  <c:v>0.88461614166740543</c:v>
                </c:pt>
                <c:pt idx="14">
                  <c:v>0.88974743056024752</c:v>
                </c:pt>
                <c:pt idx="15">
                  <c:v>0.89134605998743821</c:v>
                </c:pt>
                <c:pt idx="16">
                  <c:v>0.89179120674511392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C2-4021-A479-26211D611E83}"/>
            </c:ext>
          </c:extLst>
        </c:ser>
        <c:ser>
          <c:idx val="9"/>
          <c:order val="9"/>
          <c:tx>
            <c:strRef>
              <c:f>call!$AG$89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call!$AG$90:$AG$106</c:f>
              <c:numCache>
                <c:formatCode>General</c:formatCode>
                <c:ptCount val="17"/>
                <c:pt idx="0">
                  <c:v>2.094488315490244E-7</c:v>
                </c:pt>
                <c:pt idx="1">
                  <c:v>1.0218383303882967E-5</c:v>
                </c:pt>
                <c:pt idx="2">
                  <c:v>2.1625953663559374E-4</c:v>
                </c:pt>
                <c:pt idx="3">
                  <c:v>2.327242790908905E-3</c:v>
                </c:pt>
                <c:pt idx="4">
                  <c:v>1.4430579922614028E-2</c:v>
                </c:pt>
                <c:pt idx="5">
                  <c:v>5.7033185664748569E-2</c:v>
                </c:pt>
                <c:pt idx="6">
                  <c:v>0.15621450219614411</c:v>
                </c:pt>
                <c:pt idx="7">
                  <c:v>0.31850518608360617</c:v>
                </c:pt>
                <c:pt idx="8">
                  <c:v>0.51476532828002164</c:v>
                </c:pt>
                <c:pt idx="9">
                  <c:v>0.69766586400827924</c:v>
                </c:pt>
                <c:pt idx="10">
                  <c:v>0.83371514981554551</c:v>
                </c:pt>
                <c:pt idx="11">
                  <c:v>0.91692301259484643</c:v>
                </c:pt>
                <c:pt idx="12">
                  <c:v>0.959834194269642</c:v>
                </c:pt>
                <c:pt idx="13">
                  <c:v>0.97890054170176677</c:v>
                </c:pt>
                <c:pt idx="14">
                  <c:v>0.98633554504316645</c:v>
                </c:pt>
                <c:pt idx="15">
                  <c:v>0.98892095075464459</c:v>
                </c:pt>
                <c:pt idx="16">
                  <c:v>0.98973377492216585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C2-4021-A479-26211D611E83}"/>
            </c:ext>
          </c:extLst>
        </c:ser>
        <c:ser>
          <c:idx val="10"/>
          <c:order val="10"/>
          <c:tx>
            <c:strRef>
              <c:f>call!$AH$89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call!$AH$90:$AH$106</c:f>
              <c:numCache>
                <c:formatCode>General</c:formatCode>
                <c:ptCount val="17"/>
                <c:pt idx="0">
                  <c:v>3.9017006065321993E-4</c:v>
                </c:pt>
                <c:pt idx="1">
                  <c:v>2.8682719393543542E-3</c:v>
                </c:pt>
                <c:pt idx="2">
                  <c:v>1.3949867109230144E-2</c:v>
                </c:pt>
                <c:pt idx="3">
                  <c:v>4.8605196983075763E-2</c:v>
                </c:pt>
                <c:pt idx="4">
                  <c:v>0.12916231918414769</c:v>
                </c:pt>
                <c:pt idx="5">
                  <c:v>0.27526263359416991</c:v>
                </c:pt>
                <c:pt idx="6">
                  <c:v>0.49021713340295131</c:v>
                </c:pt>
                <c:pt idx="7">
                  <c:v>0.7550431564617397</c:v>
                </c:pt>
                <c:pt idx="8">
                  <c:v>1.0354544111550688</c:v>
                </c:pt>
                <c:pt idx="9">
                  <c:v>1.296192395779916</c:v>
                </c:pt>
                <c:pt idx="10">
                  <c:v>1.5129562033151718</c:v>
                </c:pt>
                <c:pt idx="11">
                  <c:v>1.6765216924491808</c:v>
                </c:pt>
                <c:pt idx="12">
                  <c:v>1.7899842881670318</c:v>
                </c:pt>
                <c:pt idx="13">
                  <c:v>1.8631273632495482</c:v>
                </c:pt>
                <c:pt idx="14">
                  <c:v>1.9073528277688421</c:v>
                </c:pt>
                <c:pt idx="15">
                  <c:v>1.9326342865983208</c:v>
                </c:pt>
                <c:pt idx="16">
                  <c:v>1.9463918255910062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C2-4021-A479-26211D611E83}"/>
            </c:ext>
          </c:extLst>
        </c:ser>
        <c:ser>
          <c:idx val="11"/>
          <c:order val="11"/>
          <c:tx>
            <c:strRef>
              <c:f>call!$AI$89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call!$AI$90:$AI$106</c:f>
              <c:numCache>
                <c:formatCode>General</c:formatCode>
                <c:ptCount val="17"/>
                <c:pt idx="0">
                  <c:v>6.1154603756096351E-3</c:v>
                </c:pt>
                <c:pt idx="1">
                  <c:v>2.3831658067032861E-2</c:v>
                </c:pt>
                <c:pt idx="2">
                  <c:v>7.0649659059548314E-2</c:v>
                </c:pt>
                <c:pt idx="3">
                  <c:v>0.16800016425945097</c:v>
                </c:pt>
                <c:pt idx="4">
                  <c:v>0.33403665227840929</c:v>
                </c:pt>
                <c:pt idx="5">
                  <c:v>0.57408661084024171</c:v>
                </c:pt>
                <c:pt idx="6">
                  <c:v>0.87613987301824248</c:v>
                </c:pt>
                <c:pt idx="7">
                  <c:v>1.2140668920003028</c:v>
                </c:pt>
                <c:pt idx="8">
                  <c:v>1.5561276866903309</c:v>
                </c:pt>
                <c:pt idx="9">
                  <c:v>1.8739472983683121</c:v>
                </c:pt>
                <c:pt idx="10">
                  <c:v>2.1482672152563937</c:v>
                </c:pt>
                <c:pt idx="11">
                  <c:v>2.3704399931886559</c:v>
                </c:pt>
                <c:pt idx="12">
                  <c:v>2.5407168875355404</c:v>
                </c:pt>
                <c:pt idx="13">
                  <c:v>2.6651023114110521</c:v>
                </c:pt>
                <c:pt idx="14">
                  <c:v>2.7522371935526651</c:v>
                </c:pt>
                <c:pt idx="15">
                  <c:v>2.8110815254143624</c:v>
                </c:pt>
                <c:pt idx="16">
                  <c:v>2.8495648996149048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C2-4021-A479-26211D611E83}"/>
            </c:ext>
          </c:extLst>
        </c:ser>
        <c:ser>
          <c:idx val="12"/>
          <c:order val="12"/>
          <c:tx>
            <c:strRef>
              <c:f>call!$AJ$89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call!$AJ$90:$AJ$106</c:f>
              <c:numCache>
                <c:formatCode>General</c:formatCode>
                <c:ptCount val="17"/>
                <c:pt idx="0">
                  <c:v>2.7137815674117115E-2</c:v>
                </c:pt>
                <c:pt idx="1">
                  <c:v>7.6832332776932757E-2</c:v>
                </c:pt>
                <c:pt idx="2">
                  <c:v>0.17736667658110342</c:v>
                </c:pt>
                <c:pt idx="3">
                  <c:v>0.34734979174896125</c:v>
                </c:pt>
                <c:pt idx="4">
                  <c:v>0.5952355943117198</c:v>
                </c:pt>
                <c:pt idx="5">
                  <c:v>0.91485721832214872</c:v>
                </c:pt>
                <c:pt idx="6">
                  <c:v>1.2865415020805311</c:v>
                </c:pt>
                <c:pt idx="7">
                  <c:v>1.6826600318585683</c:v>
                </c:pt>
                <c:pt idx="8">
                  <c:v>2.0746435400648329</c:v>
                </c:pt>
                <c:pt idx="9">
                  <c:v>2.4387078999118197</c:v>
                </c:pt>
                <c:pt idx="10">
                  <c:v>2.7589205627569036</c:v>
                </c:pt>
                <c:pt idx="11">
                  <c:v>3.0276382235568668</c:v>
                </c:pt>
                <c:pt idx="12">
                  <c:v>3.2441523843363722</c:v>
                </c:pt>
                <c:pt idx="13">
                  <c:v>3.4125464232347826</c:v>
                </c:pt>
                <c:pt idx="14">
                  <c:v>3.5395433389541919</c:v>
                </c:pt>
                <c:pt idx="15">
                  <c:v>3.6327782720310542</c:v>
                </c:pt>
                <c:pt idx="16">
                  <c:v>3.6996343552554141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C2-4021-A479-26211D611E83}"/>
            </c:ext>
          </c:extLst>
        </c:ser>
        <c:ser>
          <c:idx val="13"/>
          <c:order val="13"/>
          <c:tx>
            <c:strRef>
              <c:f>call!$AK$89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call!$AK$90:$AK$106</c:f>
              <c:numCache>
                <c:formatCode>General</c:formatCode>
                <c:ptCount val="17"/>
                <c:pt idx="0">
                  <c:v>7.0877394865647217E-2</c:v>
                </c:pt>
                <c:pt idx="1">
                  <c:v>0.16543665197834301</c:v>
                </c:pt>
                <c:pt idx="2">
                  <c:v>0.3281644793147272</c:v>
                </c:pt>
                <c:pt idx="3">
                  <c:v>0.57096303141784466</c:v>
                </c:pt>
                <c:pt idx="4">
                  <c:v>0.89308606477141772</c:v>
                </c:pt>
                <c:pt idx="5">
                  <c:v>1.2807174822131724</c:v>
                </c:pt>
                <c:pt idx="6">
                  <c:v>1.7105684720072716</c:v>
                </c:pt>
                <c:pt idx="7">
                  <c:v>2.1554734091941636</c:v>
                </c:pt>
                <c:pt idx="8">
                  <c:v>2.5897713521361756</c:v>
                </c:pt>
                <c:pt idx="9">
                  <c:v>2.9930428387344614</c:v>
                </c:pt>
                <c:pt idx="10">
                  <c:v>3.3517828422688227</c:v>
                </c:pt>
                <c:pt idx="11">
                  <c:v>3.6593296824907293</c:v>
                </c:pt>
                <c:pt idx="12">
                  <c:v>3.914693905162963</c:v>
                </c:pt>
                <c:pt idx="13">
                  <c:v>4.1209288129593835</c:v>
                </c:pt>
                <c:pt idx="14">
                  <c:v>4.2835141810001804</c:v>
                </c:pt>
                <c:pt idx="15">
                  <c:v>4.4090180057059323</c:v>
                </c:pt>
                <c:pt idx="16">
                  <c:v>4.5041312353967964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EC2-4021-A479-26211D611E83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Rho,</a:t>
            </a:r>
            <a:r>
              <a:rPr lang="it-IT" baseline="0"/>
              <a:t> volatility = 0,3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call!$AP$89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call!$AP$90:$AP$106</c:f>
              <c:numCache>
                <c:formatCode>General</c:formatCode>
                <c:ptCount val="17"/>
                <c:pt idx="0">
                  <c:v>2.9526232275500711E-9</c:v>
                </c:pt>
                <c:pt idx="1">
                  <c:v>2.3477394326331548E-7</c:v>
                </c:pt>
                <c:pt idx="2">
                  <c:v>7.3280508906908516E-6</c:v>
                </c:pt>
                <c:pt idx="3">
                  <c:v>1.0716304021740663E-4</c:v>
                </c:pt>
                <c:pt idx="4">
                  <c:v>8.4379549560306417E-4</c:v>
                </c:pt>
                <c:pt idx="5">
                  <c:v>4.0019706155343393E-3</c:v>
                </c:pt>
                <c:pt idx="6">
                  <c:v>1.2546393350198692E-2</c:v>
                </c:pt>
                <c:pt idx="7">
                  <c:v>2.8149490988691562E-2</c:v>
                </c:pt>
                <c:pt idx="8">
                  <c:v>4.8480002263733495E-2</c:v>
                </c:pt>
                <c:pt idx="9">
                  <c:v>6.8277831133797179E-2</c:v>
                </c:pt>
                <c:pt idx="10">
                  <c:v>8.3258594130054389E-2</c:v>
                </c:pt>
                <c:pt idx="11">
                  <c:v>9.2362125771932119E-2</c:v>
                </c:pt>
                <c:pt idx="12">
                  <c:v>9.6931155243772646E-2</c:v>
                </c:pt>
                <c:pt idx="13">
                  <c:v>9.8871106655175345E-2</c:v>
                </c:pt>
                <c:pt idx="14">
                  <c:v>9.9582415229851867E-2</c:v>
                </c:pt>
                <c:pt idx="15">
                  <c:v>9.98116842069902E-2</c:v>
                </c:pt>
                <c:pt idx="16">
                  <c:v>9.9877653195750885E-2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08-996B-E1531679E779}"/>
            </c:ext>
          </c:extLst>
        </c:ser>
        <c:ser>
          <c:idx val="1"/>
          <c:order val="1"/>
          <c:tx>
            <c:strRef>
              <c:f>call!$AQ$89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call!$AQ$90:$AQ$106</c:f>
              <c:numCache>
                <c:formatCode>General</c:formatCode>
                <c:ptCount val="17"/>
                <c:pt idx="0">
                  <c:v>1.1332530343148013E-5</c:v>
                </c:pt>
                <c:pt idx="1">
                  <c:v>1.1000326823056661E-4</c:v>
                </c:pt>
                <c:pt idx="2">
                  <c:v>6.7012653150436694E-4</c:v>
                </c:pt>
                <c:pt idx="3">
                  <c:v>2.8005079404176507E-3</c:v>
                </c:pt>
                <c:pt idx="4">
                  <c:v>8.6101600896775782E-3</c:v>
                </c:pt>
                <c:pt idx="5">
                  <c:v>2.0599015086440079E-2</c:v>
                </c:pt>
                <c:pt idx="6">
                  <c:v>4.015156999077784E-2</c:v>
                </c:pt>
                <c:pt idx="7">
                  <c:v>6.6260425961542996E-2</c:v>
                </c:pt>
                <c:pt idx="8">
                  <c:v>9.5647445393394939E-2</c:v>
                </c:pt>
                <c:pt idx="9">
                  <c:v>0.12420817808937204</c:v>
                </c:pt>
                <c:pt idx="10">
                  <c:v>0.14866303408782128</c:v>
                </c:pt>
                <c:pt idx="11">
                  <c:v>0.16742535793708613</c:v>
                </c:pt>
                <c:pt idx="12">
                  <c:v>0.18050952682701799</c:v>
                </c:pt>
                <c:pt idx="13">
                  <c:v>0.1889046884123747</c:v>
                </c:pt>
                <c:pt idx="14">
                  <c:v>0.19391259558754664</c:v>
                </c:pt>
                <c:pt idx="15">
                  <c:v>0.1967148907920642</c:v>
                </c:pt>
                <c:pt idx="16">
                  <c:v>0.1981972645855174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BD-4208-996B-E1531679E779}"/>
            </c:ext>
          </c:extLst>
        </c:ser>
        <c:ser>
          <c:idx val="2"/>
          <c:order val="2"/>
          <c:tx>
            <c:strRef>
              <c:f>call!$AR$89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call!$AR$90:$AR$106</c:f>
              <c:numCache>
                <c:formatCode>General</c:formatCode>
                <c:ptCount val="17"/>
                <c:pt idx="0">
                  <c:v>2.2587447202926866E-4</c:v>
                </c:pt>
                <c:pt idx="1">
                  <c:v>1.0828646304118224E-3</c:v>
                </c:pt>
                <c:pt idx="2">
                  <c:v>3.8055475002660966E-3</c:v>
                </c:pt>
                <c:pt idx="3">
                  <c:v>1.0404743079329299E-2</c:v>
                </c:pt>
                <c:pt idx="4">
                  <c:v>2.3188215227327159E-2</c:v>
                </c:pt>
                <c:pt idx="5">
                  <c:v>4.3722556636840139E-2</c:v>
                </c:pt>
                <c:pt idx="6">
                  <c:v>7.1895756392573715E-2</c:v>
                </c:pt>
                <c:pt idx="7">
                  <c:v>0.10571300384455708</c:v>
                </c:pt>
                <c:pt idx="8">
                  <c:v>0.14193093045907351</c:v>
                </c:pt>
                <c:pt idx="9">
                  <c:v>0.17710675985594915</c:v>
                </c:pt>
                <c:pt idx="10">
                  <c:v>0.20850986007567907</c:v>
                </c:pt>
                <c:pt idx="11">
                  <c:v>0.23457335932437792</c:v>
                </c:pt>
                <c:pt idx="12">
                  <c:v>0.25487739366774992</c:v>
                </c:pt>
                <c:pt idx="13">
                  <c:v>0.26984500276398521</c:v>
                </c:pt>
                <c:pt idx="14">
                  <c:v>0.28035878249676893</c:v>
                </c:pt>
                <c:pt idx="15">
                  <c:v>0.28743809080910765</c:v>
                </c:pt>
                <c:pt idx="16">
                  <c:v>0.29203093523689755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D-4208-996B-E1531679E779}"/>
            </c:ext>
          </c:extLst>
        </c:ser>
        <c:ser>
          <c:idx val="3"/>
          <c:order val="3"/>
          <c:tx>
            <c:strRef>
              <c:f>call!$AS$89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call!$AS$90:$AS$106</c:f>
              <c:numCache>
                <c:formatCode>General</c:formatCode>
                <c:ptCount val="17"/>
                <c:pt idx="0">
                  <c:v>1.1301837002767319E-3</c:v>
                </c:pt>
                <c:pt idx="1">
                  <c:v>3.7982446397381545E-3</c:v>
                </c:pt>
                <c:pt idx="2">
                  <c:v>1.0108518694220895E-2</c:v>
                </c:pt>
                <c:pt idx="3">
                  <c:v>2.2277486403587093E-2</c:v>
                </c:pt>
                <c:pt idx="4">
                  <c:v>4.2101668239852952E-2</c:v>
                </c:pt>
                <c:pt idx="5">
                  <c:v>7.0158187896353461E-2</c:v>
                </c:pt>
                <c:pt idx="6">
                  <c:v>0.10543607299579148</c:v>
                </c:pt>
                <c:pt idx="7">
                  <c:v>0.14556689094577391</c:v>
                </c:pt>
                <c:pt idx="8">
                  <c:v>0.18748461687370585</c:v>
                </c:pt>
                <c:pt idx="9">
                  <c:v>0.22818237236294167</c:v>
                </c:pt>
                <c:pt idx="10">
                  <c:v>0.26528546066729886</c:v>
                </c:pt>
                <c:pt idx="11">
                  <c:v>0.29731963677583234</c:v>
                </c:pt>
                <c:pt idx="12">
                  <c:v>0.32370108870629927</c:v>
                </c:pt>
                <c:pt idx="13">
                  <c:v>0.34455132914714243</c:v>
                </c:pt>
                <c:pt idx="14">
                  <c:v>0.36044808482034152</c:v>
                </c:pt>
                <c:pt idx="15">
                  <c:v>0.37219240872194909</c:v>
                </c:pt>
                <c:pt idx="16">
                  <c:v>0.38063235204176132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BD-4208-996B-E1531679E779}"/>
            </c:ext>
          </c:extLst>
        </c:ser>
        <c:ser>
          <c:idx val="4"/>
          <c:order val="4"/>
          <c:tx>
            <c:strRef>
              <c:f>call!$AT$89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call!$AT$90:$AT$106</c:f>
              <c:numCache>
                <c:formatCode>General</c:formatCode>
                <c:ptCount val="17"/>
                <c:pt idx="0">
                  <c:v>3.1727274899903948E-3</c:v>
                </c:pt>
                <c:pt idx="1">
                  <c:v>8.6022397763405953E-3</c:v>
                </c:pt>
                <c:pt idx="2">
                  <c:v>1.9341199007050006E-2</c:v>
                </c:pt>
                <c:pt idx="3">
                  <c:v>3.7375642733991826E-2</c:v>
                </c:pt>
                <c:pt idx="4">
                  <c:v>6.3836239230238859E-2</c:v>
                </c:pt>
                <c:pt idx="5">
                  <c:v>9.8529677259979437E-2</c:v>
                </c:pt>
                <c:pt idx="6">
                  <c:v>0.13991727530535455</c:v>
                </c:pt>
                <c:pt idx="7">
                  <c:v>0.18549891582551309</c:v>
                </c:pt>
                <c:pt idx="8">
                  <c:v>0.23239821537606056</c:v>
                </c:pt>
                <c:pt idx="9">
                  <c:v>0.27792320019220718</c:v>
                </c:pt>
                <c:pt idx="10">
                  <c:v>0.31995430199928421</c:v>
                </c:pt>
                <c:pt idx="11">
                  <c:v>0.35711501203565793</c:v>
                </c:pt>
                <c:pt idx="12">
                  <c:v>0.38875814895490307</c:v>
                </c:pt>
                <c:pt idx="13">
                  <c:v>0.41483583425713461</c:v>
                </c:pt>
                <c:pt idx="14">
                  <c:v>0.4357217606881495</c:v>
                </c:pt>
                <c:pt idx="15">
                  <c:v>0.45203642785625414</c:v>
                </c:pt>
                <c:pt idx="16">
                  <c:v>0.46450375839346553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BD-4208-996B-E1531679E779}"/>
            </c:ext>
          </c:extLst>
        </c:ser>
        <c:ser>
          <c:idx val="5"/>
          <c:order val="5"/>
          <c:tx>
            <c:strRef>
              <c:f>call!$AU$89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call!$AU$90:$AU$106</c:f>
              <c:numCache>
                <c:formatCode>General</c:formatCode>
                <c:ptCount val="17"/>
                <c:pt idx="0">
                  <c:v>6.5908885371946321E-3</c:v>
                </c:pt>
                <c:pt idx="1">
                  <c:v>1.5469602201022619E-2</c:v>
                </c:pt>
                <c:pt idx="2">
                  <c:v>3.104568855619053E-2</c:v>
                </c:pt>
                <c:pt idx="3">
                  <c:v>5.4887827575266564E-2</c:v>
                </c:pt>
                <c:pt idx="4">
                  <c:v>8.7502447732684355E-2</c:v>
                </c:pt>
                <c:pt idx="5">
                  <c:v>0.12813282697945419</c:v>
                </c:pt>
                <c:pt idx="6">
                  <c:v>0.1749273970506767</c:v>
                </c:pt>
                <c:pt idx="7">
                  <c:v>0.22536096616038254</c:v>
                </c:pt>
                <c:pt idx="8">
                  <c:v>0.2767326641821381</c:v>
                </c:pt>
                <c:pt idx="9">
                  <c:v>0.32659213280179167</c:v>
                </c:pt>
                <c:pt idx="10">
                  <c:v>0.37301467373776581</c:v>
                </c:pt>
                <c:pt idx="11">
                  <c:v>0.41471363169847436</c:v>
                </c:pt>
                <c:pt idx="12">
                  <c:v>0.45102197776462982</c:v>
                </c:pt>
                <c:pt idx="13">
                  <c:v>0.48179196650195977</c:v>
                </c:pt>
                <c:pt idx="14">
                  <c:v>0.50725932380965366</c:v>
                </c:pt>
                <c:pt idx="15">
                  <c:v>0.5279063993891423</c:v>
                </c:pt>
                <c:pt idx="16">
                  <c:v>0.54434466906661749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BD-4208-996B-E1531679E779}"/>
            </c:ext>
          </c:extLst>
        </c:ser>
        <c:ser>
          <c:idx val="6"/>
          <c:order val="6"/>
          <c:tx>
            <c:strRef>
              <c:f>call!$AV$89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call!$AV$90:$AV$106</c:f>
              <c:numCache>
                <c:formatCode>General</c:formatCode>
                <c:ptCount val="17"/>
                <c:pt idx="0">
                  <c:v>1.1449306418409964E-2</c:v>
                </c:pt>
                <c:pt idx="1">
                  <c:v>2.4222946495275673E-2</c:v>
                </c:pt>
                <c:pt idx="2">
                  <c:v>4.4784244022574062E-2</c:v>
                </c:pt>
                <c:pt idx="3">
                  <c:v>7.4233901250503012E-2</c:v>
                </c:pt>
                <c:pt idx="4">
                  <c:v>0.11254687988484213</c:v>
                </c:pt>
                <c:pt idx="5">
                  <c:v>0.15855986685171214</c:v>
                </c:pt>
                <c:pt idx="6">
                  <c:v>0.21023581921994061</c:v>
                </c:pt>
                <c:pt idx="7">
                  <c:v>0.26507480350440915</c:v>
                </c:pt>
                <c:pt idx="8">
                  <c:v>0.32053299834482402</c:v>
                </c:pt>
                <c:pt idx="9">
                  <c:v>0.37435336997194235</c:v>
                </c:pt>
                <c:pt idx="10">
                  <c:v>0.42476670407640099</c:v>
                </c:pt>
                <c:pt idx="11">
                  <c:v>0.47056644807114706</c:v>
                </c:pt>
                <c:pt idx="12">
                  <c:v>0.51108637489139319</c:v>
                </c:pt>
                <c:pt idx="13">
                  <c:v>0.54611808117523786</c:v>
                </c:pt>
                <c:pt idx="14">
                  <c:v>0.57580182729458596</c:v>
                </c:pt>
                <c:pt idx="15">
                  <c:v>0.6005154196414676</c:v>
                </c:pt>
                <c:pt idx="16">
                  <c:v>0.62077618313338978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BD-4208-996B-E1531679E779}"/>
            </c:ext>
          </c:extLst>
        </c:ser>
        <c:ser>
          <c:idx val="7"/>
          <c:order val="7"/>
          <c:tx>
            <c:strRef>
              <c:f>call!$AW$89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call!$AW$90:$AW$106</c:f>
              <c:numCache>
                <c:formatCode>General</c:formatCode>
                <c:ptCount val="17"/>
                <c:pt idx="0">
                  <c:v>1.7711463627698015E-2</c:v>
                </c:pt>
                <c:pt idx="1">
                  <c:v>3.4644139974960207E-2</c:v>
                </c:pt>
                <c:pt idx="2">
                  <c:v>6.0191244882771687E-2</c:v>
                </c:pt>
                <c:pt idx="3">
                  <c:v>9.4998591027931817E-2</c:v>
                </c:pt>
                <c:pt idx="4">
                  <c:v>0.13860489518231892</c:v>
                </c:pt>
                <c:pt idx="5">
                  <c:v>0.18955365431433957</c:v>
                </c:pt>
                <c:pt idx="6">
                  <c:v>0.24570063770440537</c:v>
                </c:pt>
                <c:pt idx="7">
                  <c:v>0.30459559705270872</c:v>
                </c:pt>
                <c:pt idx="8">
                  <c:v>0.36383434264921355</c:v>
                </c:pt>
                <c:pt idx="9">
                  <c:v>0.42131936325461389</c:v>
                </c:pt>
                <c:pt idx="10">
                  <c:v>0.47540950801739895</c:v>
                </c:pt>
                <c:pt idx="11">
                  <c:v>0.52496929542260928</c:v>
                </c:pt>
                <c:pt idx="12">
                  <c:v>0.56934359886945318</c:v>
                </c:pt>
                <c:pt idx="13">
                  <c:v>0.60828679358443949</c:v>
                </c:pt>
                <c:pt idx="14">
                  <c:v>0.64187163619302934</c:v>
                </c:pt>
                <c:pt idx="15">
                  <c:v>0.67039633112636221</c:v>
                </c:pt>
                <c:pt idx="16">
                  <c:v>0.69430119356071585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BD-4208-996B-E1531679E779}"/>
            </c:ext>
          </c:extLst>
        </c:ser>
        <c:ser>
          <c:idx val="8"/>
          <c:order val="8"/>
          <c:tx>
            <c:strRef>
              <c:f>call!$AX$89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call!$AX$90:$AX$106</c:f>
              <c:numCache>
                <c:formatCode>General</c:formatCode>
                <c:ptCount val="17"/>
                <c:pt idx="0">
                  <c:v>2.5290931687880009E-2</c:v>
                </c:pt>
                <c:pt idx="1">
                  <c:v>4.6520065019908304E-2</c:v>
                </c:pt>
                <c:pt idx="2">
                  <c:v>7.6972593895436286E-2</c:v>
                </c:pt>
                <c:pt idx="3">
                  <c:v>0.11687876444341772</c:v>
                </c:pt>
                <c:pt idx="4">
                  <c:v>0.16542451185364437</c:v>
                </c:pt>
                <c:pt idx="5">
                  <c:v>0.2209417414575974</c:v>
                </c:pt>
                <c:pt idx="6">
                  <c:v>0.28122869505264236</c:v>
                </c:pt>
                <c:pt idx="7">
                  <c:v>0.3438964137866154</c:v>
                </c:pt>
                <c:pt idx="8">
                  <c:v>0.40666514264759973</c:v>
                </c:pt>
                <c:pt idx="9">
                  <c:v>0.46757213487895105</c:v>
                </c:pt>
                <c:pt idx="10">
                  <c:v>0.52508429600813</c:v>
                </c:pt>
                <c:pt idx="11">
                  <c:v>0.57812941191026346</c:v>
                </c:pt>
                <c:pt idx="12">
                  <c:v>0.62606865589008964</c:v>
                </c:pt>
                <c:pt idx="13">
                  <c:v>0.66863385045386037</c:v>
                </c:pt>
                <c:pt idx="14">
                  <c:v>0.70584918287508247</c:v>
                </c:pt>
                <c:pt idx="15">
                  <c:v>0.73795159861052295</c:v>
                </c:pt>
                <c:pt idx="16">
                  <c:v>0.76531872393256073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CBD-4208-996B-E1531679E779}"/>
            </c:ext>
          </c:extLst>
        </c:ser>
        <c:ser>
          <c:idx val="9"/>
          <c:order val="9"/>
          <c:tx>
            <c:strRef>
              <c:f>call!$AY$89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call!$AY$90:$AY$106</c:f>
              <c:numCache>
                <c:formatCode>General</c:formatCode>
                <c:ptCount val="17"/>
                <c:pt idx="0">
                  <c:v>3.4081262074599133E-2</c:v>
                </c:pt>
                <c:pt idx="1">
                  <c:v>5.9658621895937701E-2</c:v>
                </c:pt>
                <c:pt idx="2">
                  <c:v>9.4893482029156054E-2</c:v>
                </c:pt>
                <c:pt idx="3">
                  <c:v>0.13964806192115628</c:v>
                </c:pt>
                <c:pt idx="4">
                  <c:v>0.19282474296583743</c:v>
                </c:pt>
                <c:pt idx="5">
                  <c:v>0.25260301138987579</c:v>
                </c:pt>
                <c:pt idx="6">
                  <c:v>0.31675590666078807</c:v>
                </c:pt>
                <c:pt idx="7">
                  <c:v>0.38296069087442108</c:v>
                </c:pt>
                <c:pt idx="8">
                  <c:v>0.44904908466519977</c:v>
                </c:pt>
                <c:pt idx="9">
                  <c:v>0.51317432142978925</c:v>
                </c:pt>
                <c:pt idx="10">
                  <c:v>0.57389622642331128</c:v>
                </c:pt>
                <c:pt idx="11">
                  <c:v>0.6301992394484307</c:v>
                </c:pt>
                <c:pt idx="12">
                  <c:v>0.68146336615181546</c:v>
                </c:pt>
                <c:pt idx="13">
                  <c:v>0.72740739426895151</c:v>
                </c:pt>
                <c:pt idx="14">
                  <c:v>0.76802012118301122</c:v>
                </c:pt>
                <c:pt idx="15">
                  <c:v>0.80349082627409651</c:v>
                </c:pt>
                <c:pt idx="16">
                  <c:v>0.83414598637936621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CBD-4208-996B-E1531679E779}"/>
            </c:ext>
          </c:extLst>
        </c:ser>
        <c:ser>
          <c:idx val="10"/>
          <c:order val="10"/>
          <c:tx>
            <c:strRef>
              <c:f>call!$AZ$89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call!$AZ$90:$AZ$106</c:f>
              <c:numCache>
                <c:formatCode>General</c:formatCode>
                <c:ptCount val="17"/>
                <c:pt idx="0">
                  <c:v>0.16760740288014708</c:v>
                </c:pt>
                <c:pt idx="1">
                  <c:v>0.23314848276281694</c:v>
                </c:pt>
                <c:pt idx="2">
                  <c:v>0.30833945975697685</c:v>
                </c:pt>
                <c:pt idx="3">
                  <c:v>0.3912877070729931</c:v>
                </c:pt>
                <c:pt idx="4">
                  <c:v>0.47990477205190002</c:v>
                </c:pt>
                <c:pt idx="5">
                  <c:v>0.57209878012749971</c:v>
                </c:pt>
                <c:pt idx="6">
                  <c:v>0.66591346159028808</c:v>
                </c:pt>
                <c:pt idx="7">
                  <c:v>0.75961631172955657</c:v>
                </c:pt>
                <c:pt idx="8">
                  <c:v>0.85174423276303957</c:v>
                </c:pt>
                <c:pt idx="9">
                  <c:v>0.941116891312198</c:v>
                </c:pt>
                <c:pt idx="10">
                  <c:v>1.0268276202708793</c:v>
                </c:pt>
                <c:pt idx="11">
                  <c:v>1.1082201926386068</c:v>
                </c:pt>
                <c:pt idx="12">
                  <c:v>1.1848579476912982</c:v>
                </c:pt>
                <c:pt idx="13">
                  <c:v>1.2564899717066402</c:v>
                </c:pt>
                <c:pt idx="14">
                  <c:v>1.3230175184925788</c:v>
                </c:pt>
                <c:pt idx="15">
                  <c:v>1.3844626580586128</c:v>
                </c:pt>
                <c:pt idx="16">
                  <c:v>1.4409402526215997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CBD-4208-996B-E1531679E779}"/>
            </c:ext>
          </c:extLst>
        </c:ser>
        <c:ser>
          <c:idx val="11"/>
          <c:order val="11"/>
          <c:tx>
            <c:strRef>
              <c:f>call!$BA$89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call!$BA$90:$BA$106</c:f>
              <c:numCache>
                <c:formatCode>General</c:formatCode>
                <c:ptCount val="17"/>
                <c:pt idx="0">
                  <c:v>0.34347278354932753</c:v>
                </c:pt>
                <c:pt idx="1">
                  <c:v>0.44032078635685484</c:v>
                </c:pt>
                <c:pt idx="2">
                  <c:v>0.54482049449278391</c:v>
                </c:pt>
                <c:pt idx="3">
                  <c:v>0.65478709737318352</c:v>
                </c:pt>
                <c:pt idx="4">
                  <c:v>0.76816408112647405</c:v>
                </c:pt>
                <c:pt idx="5">
                  <c:v>0.88310233648812408</c:v>
                </c:pt>
                <c:pt idx="6">
                  <c:v>0.99800015811264575</c:v>
                </c:pt>
                <c:pt idx="7">
                  <c:v>1.1115151807553352</c:v>
                </c:pt>
                <c:pt idx="8">
                  <c:v>1.2225575387364285</c:v>
                </c:pt>
                <c:pt idx="9">
                  <c:v>1.3302714694210862</c:v>
                </c:pt>
                <c:pt idx="10">
                  <c:v>1.4340106592521729</c:v>
                </c:pt>
                <c:pt idx="11">
                  <c:v>1.5333110283875411</c:v>
                </c:pt>
                <c:pt idx="12">
                  <c:v>1.6278634009613053</c:v>
                </c:pt>
                <c:pt idx="13">
                  <c:v>1.7174875805075749</c:v>
                </c:pt>
                <c:pt idx="14">
                  <c:v>1.80210868841131</c:v>
                </c:pt>
                <c:pt idx="15">
                  <c:v>1.8817361687331504</c:v>
                </c:pt>
                <c:pt idx="16">
                  <c:v>1.9564455630771902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CBD-4208-996B-E1531679E779}"/>
            </c:ext>
          </c:extLst>
        </c:ser>
        <c:ser>
          <c:idx val="12"/>
          <c:order val="12"/>
          <c:tx>
            <c:strRef>
              <c:f>call!$BB$89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call!$BB$90:$BB$106</c:f>
              <c:numCache>
                <c:formatCode>General</c:formatCode>
                <c:ptCount val="17"/>
                <c:pt idx="0">
                  <c:v>0.53429576659871825</c:v>
                </c:pt>
                <c:pt idx="1">
                  <c:v>0.65612241719610553</c:v>
                </c:pt>
                <c:pt idx="2">
                  <c:v>0.78359786030381173</c:v>
                </c:pt>
                <c:pt idx="3">
                  <c:v>0.91460887943075675</c:v>
                </c:pt>
                <c:pt idx="4">
                  <c:v>1.0472989940256039</c:v>
                </c:pt>
                <c:pt idx="5">
                  <c:v>1.1800840446744412</c:v>
                </c:pt>
                <c:pt idx="6">
                  <c:v>1.3116465975777294</c:v>
                </c:pt>
                <c:pt idx="7">
                  <c:v>1.4409177804367721</c:v>
                </c:pt>
                <c:pt idx="8">
                  <c:v>1.5670525263856452</c:v>
                </c:pt>
                <c:pt idx="9">
                  <c:v>1.6894022005404263</c:v>
                </c:pt>
                <c:pt idx="10">
                  <c:v>1.8074871324670514</c:v>
                </c:pt>
                <c:pt idx="11">
                  <c:v>1.9209705624827618</c:v>
                </c:pt>
                <c:pt idx="12">
                  <c:v>2.0296348209289148</c:v>
                </c:pt>
                <c:pt idx="13">
                  <c:v>2.1333601067150982</c:v>
                </c:pt>
                <c:pt idx="14">
                  <c:v>2.2321059443947862</c:v>
                </c:pt>
                <c:pt idx="15">
                  <c:v>2.3258952257971575</c:v>
                </c:pt>
                <c:pt idx="16">
                  <c:v>2.4148006453738216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CBD-4208-996B-E1531679E779}"/>
            </c:ext>
          </c:extLst>
        </c:ser>
        <c:ser>
          <c:idx val="13"/>
          <c:order val="13"/>
          <c:tx>
            <c:strRef>
              <c:f>call!$BC$89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call!$BC$90:$BC$106</c:f>
              <c:numCache>
                <c:formatCode>General</c:formatCode>
                <c:ptCount val="17"/>
                <c:pt idx="0">
                  <c:v>0.72913289318308616</c:v>
                </c:pt>
                <c:pt idx="1">
                  <c:v>0.87156514480259184</c:v>
                </c:pt>
                <c:pt idx="2">
                  <c:v>1.0178771687584245</c:v>
                </c:pt>
                <c:pt idx="3">
                  <c:v>1.1661280707499488</c:v>
                </c:pt>
                <c:pt idx="4">
                  <c:v>1.3146822164902674</c:v>
                </c:pt>
                <c:pt idx="5">
                  <c:v>1.4621903371980651</c:v>
                </c:pt>
                <c:pt idx="6">
                  <c:v>1.6075618888968966</c:v>
                </c:pt>
                <c:pt idx="7">
                  <c:v>1.7499340189075157</c:v>
                </c:pt>
                <c:pt idx="8">
                  <c:v>1.8886403749573633</c:v>
                </c:pt>
                <c:pt idx="9">
                  <c:v>2.0231815965757343</c:v>
                </c:pt>
                <c:pt idx="10">
                  <c:v>2.1531984323949449</c:v>
                </c:pt>
                <c:pt idx="11">
                  <c:v>2.2784478679255176</c:v>
                </c:pt>
                <c:pt idx="12">
                  <c:v>2.3987823120714449</c:v>
                </c:pt>
                <c:pt idx="13">
                  <c:v>2.5141316989180638</c:v>
                </c:pt>
                <c:pt idx="14">
                  <c:v>2.624488261615415</c:v>
                </c:pt>
                <c:pt idx="15">
                  <c:v>2.7298936926815593</c:v>
                </c:pt>
                <c:pt idx="16">
                  <c:v>2.8304283969966368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CBD-4208-996B-E1531679E779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Vega,</a:t>
            </a:r>
            <a:r>
              <a:rPr lang="it-IT" baseline="0"/>
              <a:t> volatility = 0,2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call!$F$128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call!$F$129:$F$145</c:f>
              <c:numCache>
                <c:formatCode>General</c:formatCode>
                <c:ptCount val="17"/>
                <c:pt idx="0">
                  <c:v>7.5719207361531463E-16</c:v>
                </c:pt>
                <c:pt idx="1">
                  <c:v>9.5374791219906036E-12</c:v>
                </c:pt>
                <c:pt idx="2">
                  <c:v>1.4305070674681116E-8</c:v>
                </c:pt>
                <c:pt idx="3">
                  <c:v>3.7701398975718424E-6</c:v>
                </c:pt>
                <c:pt idx="4">
                  <c:v>2.3609588828415681E-4</c:v>
                </c:pt>
                <c:pt idx="5">
                  <c:v>4.4558558892443629E-3</c:v>
                </c:pt>
                <c:pt idx="6">
                  <c:v>3.0644533309865177E-2</c:v>
                </c:pt>
                <c:pt idx="7">
                  <c:v>8.9541358039279748E-2</c:v>
                </c:pt>
                <c:pt idx="8">
                  <c:v>0.12601477970020519</c:v>
                </c:pt>
                <c:pt idx="9">
                  <c:v>9.4730567005775868E-2</c:v>
                </c:pt>
                <c:pt idx="10">
                  <c:v>4.1459744625109492E-2</c:v>
                </c:pt>
                <c:pt idx="11">
                  <c:v>1.1355073152064604E-2</c:v>
                </c:pt>
                <c:pt idx="12">
                  <c:v>2.0685250757256843E-3</c:v>
                </c:pt>
                <c:pt idx="13">
                  <c:v>2.6396322770578433E-4</c:v>
                </c:pt>
                <c:pt idx="14">
                  <c:v>2.4664615253611668E-5</c:v>
                </c:pt>
                <c:pt idx="15">
                  <c:v>1.7530109023145043E-6</c:v>
                </c:pt>
                <c:pt idx="16">
                  <c:v>9.7937749170318701E-8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B-4EFF-BAF1-AF3EBCA5D18E}"/>
            </c:ext>
          </c:extLst>
        </c:ser>
        <c:ser>
          <c:idx val="1"/>
          <c:order val="1"/>
          <c:tx>
            <c:strRef>
              <c:f>call!$G$128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call!$G$129:$G$145</c:f>
              <c:numCache>
                <c:formatCode>General</c:formatCode>
                <c:ptCount val="17"/>
                <c:pt idx="0">
                  <c:v>1.29452098386633E-8</c:v>
                </c:pt>
                <c:pt idx="1">
                  <c:v>1.4674662728048759E-6</c:v>
                </c:pt>
                <c:pt idx="2">
                  <c:v>5.73613571054935E-5</c:v>
                </c:pt>
                <c:pt idx="3">
                  <c:v>9.3928751471449782E-4</c:v>
                </c:pt>
                <c:pt idx="4">
                  <c:v>7.4932050826936906E-3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0.15528549456541479</c:v>
                </c:pt>
                <c:pt idx="10">
                  <c:v>0.10332955422391689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8.3776579671249983E-3</c:v>
                </c:pt>
                <c:pt idx="14">
                  <c:v>2.573458981873061E-3</c:v>
                </c:pt>
                <c:pt idx="15">
                  <c:v>6.89320490541164E-4</c:v>
                </c:pt>
                <c:pt idx="16">
                  <c:v>1.6367344465552199E-4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5B-4EFF-BAF1-AF3EBCA5D18E}"/>
            </c:ext>
          </c:extLst>
        </c:ser>
        <c:ser>
          <c:idx val="2"/>
          <c:order val="2"/>
          <c:tx>
            <c:strRef>
              <c:f>call!$H$128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call!$H$129:$H$145</c:f>
              <c:numCache>
                <c:formatCode>General</c:formatCode>
                <c:ptCount val="17"/>
                <c:pt idx="0">
                  <c:v>3.6360095554575558E-6</c:v>
                </c:pt>
                <c:pt idx="1">
                  <c:v>8.5735604439262468E-5</c:v>
                </c:pt>
                <c:pt idx="2">
                  <c:v>9.9359820227649985E-4</c:v>
                </c:pt>
                <c:pt idx="3">
                  <c:v>6.4440735249376114E-3</c:v>
                </c:pt>
                <c:pt idx="4">
                  <c:v>2.5866773497556849E-2</c:v>
                </c:pt>
                <c:pt idx="5">
                  <c:v>6.9568288790958305E-2</c:v>
                </c:pt>
                <c:pt idx="6">
                  <c:v>0.1335639363567297</c:v>
                </c:pt>
                <c:pt idx="7">
                  <c:v>0.19267540519079157</c:v>
                </c:pt>
                <c:pt idx="8">
                  <c:v>0.21777345900985237</c:v>
                </c:pt>
                <c:pt idx="9">
                  <c:v>0.19963011175668896</c:v>
                </c:pt>
                <c:pt idx="10">
                  <c:v>0.15274679608962341</c:v>
                </c:pt>
                <c:pt idx="11">
                  <c:v>9.9933417595958043E-2</c:v>
                </c:pt>
                <c:pt idx="12">
                  <c:v>5.7053408088958354E-2</c:v>
                </c:pt>
                <c:pt idx="13">
                  <c:v>2.8919931949563535E-2</c:v>
                </c:pt>
                <c:pt idx="14">
                  <c:v>1.3209299733984319E-2</c:v>
                </c:pt>
                <c:pt idx="15">
                  <c:v>5.5061531676659243E-3</c:v>
                </c:pt>
                <c:pt idx="16">
                  <c:v>2.1177230646577455E-3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5B-4EFF-BAF1-AF3EBCA5D18E}"/>
            </c:ext>
          </c:extLst>
        </c:ser>
        <c:ser>
          <c:idx val="3"/>
          <c:order val="3"/>
          <c:tx>
            <c:strRef>
              <c:f>call!$I$128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call!$I$129:$I$145</c:f>
              <c:numCache>
                <c:formatCode>General</c:formatCode>
                <c:ptCount val="17"/>
                <c:pt idx="0">
                  <c:v>6.3545564110513241E-5</c:v>
                </c:pt>
                <c:pt idx="1">
                  <c:v>6.8337646766849906E-4</c:v>
                </c:pt>
                <c:pt idx="2">
                  <c:v>4.3122978474392244E-3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0.10565235887329334</c:v>
                </c:pt>
                <c:pt idx="6">
                  <c:v>0.17293746502576174</c:v>
                </c:pt>
                <c:pt idx="7">
                  <c:v>0.22840702670307464</c:v>
                </c:pt>
                <c:pt idx="8">
                  <c:v>0.25118039341108511</c:v>
                </c:pt>
                <c:pt idx="9">
                  <c:v>0.23603472101352116</c:v>
                </c:pt>
                <c:pt idx="10">
                  <c:v>0.19366366629160028</c:v>
                </c:pt>
                <c:pt idx="11">
                  <c:v>0.14127284601816151</c:v>
                </c:pt>
                <c:pt idx="12">
                  <c:v>9.3034075502440555E-2</c:v>
                </c:pt>
                <c:pt idx="13">
                  <c:v>5.6032093638267749E-2</c:v>
                </c:pt>
                <c:pt idx="14">
                  <c:v>3.120781264579725E-2</c:v>
                </c:pt>
                <c:pt idx="15">
                  <c:v>1.6227966445448345E-2</c:v>
                </c:pt>
                <c:pt idx="16">
                  <c:v>7.9435914841497809E-3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5B-4EFF-BAF1-AF3EBCA5D18E}"/>
            </c:ext>
          </c:extLst>
        </c:ser>
        <c:ser>
          <c:idx val="4"/>
          <c:order val="4"/>
          <c:tx>
            <c:strRef>
              <c:f>call!$J$128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call!$J$129:$J$145</c:f>
              <c:numCache>
                <c:formatCode>General</c:formatCode>
                <c:ptCount val="17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1.066560447463694E-2</c:v>
                </c:pt>
                <c:pt idx="3">
                  <c:v>3.2972479768503968E-2</c:v>
                </c:pt>
                <c:pt idx="4">
                  <c:v>7.6401792301498697E-2</c:v>
                </c:pt>
                <c:pt idx="5">
                  <c:v>0.13916751647279249</c:v>
                </c:pt>
                <c:pt idx="6">
                  <c:v>0.2070079234545385</c:v>
                </c:pt>
                <c:pt idx="7">
                  <c:v>0.25930883920219033</c:v>
                </c:pt>
                <c:pt idx="8">
                  <c:v>0.28051246304186261</c:v>
                </c:pt>
                <c:pt idx="9">
                  <c:v>0.26754925856393441</c:v>
                </c:pt>
                <c:pt idx="10">
                  <c:v>0.22891366897286514</c:v>
                </c:pt>
                <c:pt idx="11">
                  <c:v>0.17825651843380044</c:v>
                </c:pt>
                <c:pt idx="12">
                  <c:v>0.12788990708238193</c:v>
                </c:pt>
                <c:pt idx="13">
                  <c:v>8.5419800594485507E-2</c:v>
                </c:pt>
                <c:pt idx="14">
                  <c:v>5.3588475727461456E-2</c:v>
                </c:pt>
                <c:pt idx="15">
                  <c:v>3.1819367439192572E-2</c:v>
                </c:pt>
                <c:pt idx="16">
                  <c:v>1.8000455519786449E-2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5B-4EFF-BAF1-AF3EBCA5D18E}"/>
            </c:ext>
          </c:extLst>
        </c:ser>
        <c:ser>
          <c:idx val="5"/>
          <c:order val="5"/>
          <c:tx>
            <c:strRef>
              <c:f>call!$K$128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call!$K$129:$K$145</c:f>
              <c:numCache>
                <c:formatCode>General</c:formatCode>
                <c:ptCount val="17"/>
                <c:pt idx="0">
                  <c:v>1.1766116464443557E-3</c:v>
                </c:pt>
                <c:pt idx="1">
                  <c:v>5.7709392847973585E-3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0.10287482444006046</c:v>
                </c:pt>
                <c:pt idx="5">
                  <c:v>0.16999445472389768</c:v>
                </c:pt>
                <c:pt idx="6">
                  <c:v>0.23723384471393918</c:v>
                </c:pt>
                <c:pt idx="7">
                  <c:v>0.28686682039024308</c:v>
                </c:pt>
                <c:pt idx="8">
                  <c:v>0.30694050496199521</c:v>
                </c:pt>
                <c:pt idx="9">
                  <c:v>0.29567419013929419</c:v>
                </c:pt>
                <c:pt idx="10">
                  <c:v>0.26014283512817954</c:v>
                </c:pt>
                <c:pt idx="11">
                  <c:v>0.21158960540408664</c:v>
                </c:pt>
                <c:pt idx="12">
                  <c:v>0.16072749659884919</c:v>
                </c:pt>
                <c:pt idx="13">
                  <c:v>0.11501755031066588</c:v>
                </c:pt>
                <c:pt idx="14">
                  <c:v>7.8115019427058494E-2</c:v>
                </c:pt>
                <c:pt idx="15">
                  <c:v>5.0671947233936809E-2</c:v>
                </c:pt>
                <c:pt idx="16">
                  <c:v>3.1568381504252209E-2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5B-4EFF-BAF1-AF3EBCA5D18E}"/>
            </c:ext>
          </c:extLst>
        </c:ser>
        <c:ser>
          <c:idx val="6"/>
          <c:order val="6"/>
          <c:tx>
            <c:strRef>
              <c:f>call!$L$128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call!$L$129:$L$145</c:f>
              <c:numCache>
                <c:formatCode>General</c:formatCode>
                <c:ptCount val="17"/>
                <c:pt idx="0">
                  <c:v>2.7599282724645072E-3</c:v>
                </c:pt>
                <c:pt idx="1">
                  <c:v>1.0816670734477618E-2</c:v>
                </c:pt>
                <c:pt idx="2">
                  <c:v>3.1240118425491601E-2</c:v>
                </c:pt>
                <c:pt idx="3">
                  <c:v>7.0302629740001565E-2</c:v>
                </c:pt>
                <c:pt idx="4">
                  <c:v>0.12872223646374945</c:v>
                </c:pt>
                <c:pt idx="5">
                  <c:v>0.19840779785263229</c:v>
                </c:pt>
                <c:pt idx="6">
                  <c:v>0.26455122246358709</c:v>
                </c:pt>
                <c:pt idx="7">
                  <c:v>0.31193622839956398</c:v>
                </c:pt>
                <c:pt idx="8">
                  <c:v>0.3311608714611029</c:v>
                </c:pt>
                <c:pt idx="9">
                  <c:v>0.32127364650068396</c:v>
                </c:pt>
                <c:pt idx="10">
                  <c:v>0.28836210247206262</c:v>
                </c:pt>
                <c:pt idx="11">
                  <c:v>0.24195071188978154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0.10344072895213412</c:v>
                </c:pt>
                <c:pt idx="15">
                  <c:v>7.147635788231986E-2</c:v>
                </c:pt>
                <c:pt idx="16">
                  <c:v>4.7705729750376964E-2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5B-4EFF-BAF1-AF3EBCA5D18E}"/>
            </c:ext>
          </c:extLst>
        </c:ser>
        <c:ser>
          <c:idx val="7"/>
          <c:order val="7"/>
          <c:tx>
            <c:strRef>
              <c:f>call!$M$128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call!$M$129:$M$145</c:f>
              <c:numCache>
                <c:formatCode>General</c:formatCode>
                <c:ptCount val="17"/>
                <c:pt idx="0">
                  <c:v>5.2767323580423285E-3</c:v>
                </c:pt>
                <c:pt idx="1">
                  <c:v>1.7478240873614232E-2</c:v>
                </c:pt>
                <c:pt idx="2">
                  <c:v>4.431443031965894E-2</c:v>
                </c:pt>
                <c:pt idx="3">
                  <c:v>9.0304222542602286E-2</c:v>
                </c:pt>
                <c:pt idx="4">
                  <c:v>0.15361396923011617</c:v>
                </c:pt>
                <c:pt idx="5">
                  <c:v>0.22473489195639601</c:v>
                </c:pt>
                <c:pt idx="6">
                  <c:v>0.28958655791598931</c:v>
                </c:pt>
                <c:pt idx="7">
                  <c:v>0.33506087760385844</c:v>
                </c:pt>
                <c:pt idx="8">
                  <c:v>0.35362780796997573</c:v>
                </c:pt>
                <c:pt idx="9">
                  <c:v>0.34489758203526322</c:v>
                </c:pt>
                <c:pt idx="10">
                  <c:v>0.31423293448931333</c:v>
                </c:pt>
                <c:pt idx="11">
                  <c:v>0.2698796374360215</c:v>
                </c:pt>
                <c:pt idx="12">
                  <c:v>0.2201771367549985</c:v>
                </c:pt>
                <c:pt idx="13">
                  <c:v>0.17174563874605039</c:v>
                </c:pt>
                <c:pt idx="14">
                  <c:v>0.12880363658795957</c:v>
                </c:pt>
                <c:pt idx="15">
                  <c:v>9.3320554875542944E-2</c:v>
                </c:pt>
                <c:pt idx="16">
                  <c:v>6.5588544899120957E-2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5B-4EFF-BAF1-AF3EBCA5D18E}"/>
            </c:ext>
          </c:extLst>
        </c:ser>
        <c:ser>
          <c:idx val="8"/>
          <c:order val="8"/>
          <c:tx>
            <c:strRef>
              <c:f>call!$N$128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call!$N$129:$N$145</c:f>
              <c:numCache>
                <c:formatCode>General</c:formatCode>
                <c:ptCount val="17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5.8553435054060327E-2</c:v>
                </c:pt>
                <c:pt idx="3">
                  <c:v>0.11045773801093518</c:v>
                </c:pt>
                <c:pt idx="4">
                  <c:v>0.17744408367129644</c:v>
                </c:pt>
                <c:pt idx="5">
                  <c:v>0.2492715420838269</c:v>
                </c:pt>
                <c:pt idx="6">
                  <c:v>0.31277780487504986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0.33821167077407699</c:v>
                </c:pt>
                <c:pt idx="11">
                  <c:v>0.29579147918734411</c:v>
                </c:pt>
                <c:pt idx="12">
                  <c:v>0.24712869597243459</c:v>
                </c:pt>
                <c:pt idx="13">
                  <c:v>0.19838851664708951</c:v>
                </c:pt>
                <c:pt idx="14">
                  <c:v>0.15378580943041786</c:v>
                </c:pt>
                <c:pt idx="15">
                  <c:v>0.11560345928134991</c:v>
                </c:pt>
                <c:pt idx="16">
                  <c:v>8.4581782621465387E-2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5B-4EFF-BAF1-AF3EBCA5D18E}"/>
            </c:ext>
          </c:extLst>
        </c:ser>
        <c:ser>
          <c:idx val="9"/>
          <c:order val="9"/>
          <c:tx>
            <c:strRef>
              <c:f>call!$O$128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call!$O$129:$O$145</c:f>
              <c:numCache>
                <c:formatCode>General</c:formatCode>
                <c:ptCount val="17"/>
                <c:pt idx="0">
                  <c:v>1.3304138019690317E-2</c:v>
                </c:pt>
                <c:pt idx="1">
                  <c:v>3.4820176623168345E-2</c:v>
                </c:pt>
                <c:pt idx="2">
                  <c:v>7.3566173019582431E-2</c:v>
                </c:pt>
                <c:pt idx="3">
                  <c:v>0.13046879019121688</c:v>
                </c:pt>
                <c:pt idx="4">
                  <c:v>0.20021019742744603</c:v>
                </c:pt>
                <c:pt idx="5">
                  <c:v>0.27226666793458265</c:v>
                </c:pt>
                <c:pt idx="6">
                  <c:v>0.33444289202725913</c:v>
                </c:pt>
                <c:pt idx="7">
                  <c:v>0.37685326590063856</c:v>
                </c:pt>
                <c:pt idx="8">
                  <c:v>0.39447933090788889</c:v>
                </c:pt>
                <c:pt idx="9">
                  <c:v>0.38761333572648288</c:v>
                </c:pt>
                <c:pt idx="10">
                  <c:v>0.36062690186445984</c:v>
                </c:pt>
                <c:pt idx="11">
                  <c:v>0.32000599329500917</c:v>
                </c:pt>
                <c:pt idx="12">
                  <c:v>0.27249840451049834</c:v>
                </c:pt>
                <c:pt idx="13">
                  <c:v>0.22384180561821126</c:v>
                </c:pt>
                <c:pt idx="14">
                  <c:v>0.17816680549913175</c:v>
                </c:pt>
                <c:pt idx="15">
                  <c:v>0.1379385524327657</c:v>
                </c:pt>
                <c:pt idx="16">
                  <c:v>0.10422116521119737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5B-4EFF-BAF1-AF3EBCA5D18E}"/>
            </c:ext>
          </c:extLst>
        </c:ser>
        <c:ser>
          <c:idx val="10"/>
          <c:order val="10"/>
          <c:tx>
            <c:strRef>
              <c:f>call!$P$128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call!$P$129:$P$145</c:f>
              <c:numCache>
                <c:formatCode>General</c:formatCode>
                <c:ptCount val="17"/>
                <c:pt idx="0">
                  <c:v>9.5039378692490781E-2</c:v>
                </c:pt>
                <c:pt idx="1">
                  <c:v>0.15529982480581039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0.38218237653015336</c:v>
                </c:pt>
                <c:pt idx="5">
                  <c:v>0.44907193585775435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0.53375807389774854</c:v>
                </c:pt>
                <c:pt idx="11">
                  <c:v>0.50560061959578562</c:v>
                </c:pt>
                <c:pt idx="12">
                  <c:v>0.46905195347320522</c:v>
                </c:pt>
                <c:pt idx="13">
                  <c:v>0.42729288686192152</c:v>
                </c:pt>
                <c:pt idx="14">
                  <c:v>0.38308718744736653</c:v>
                </c:pt>
                <c:pt idx="15">
                  <c:v>0.33866932678137185</c:v>
                </c:pt>
                <c:pt idx="16">
                  <c:v>0.2957231189511369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5B-4EFF-BAF1-AF3EBCA5D18E}"/>
            </c:ext>
          </c:extLst>
        </c:ser>
        <c:ser>
          <c:idx val="11"/>
          <c:order val="11"/>
          <c:tx>
            <c:strRef>
              <c:f>call!$Q$128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call!$Q$129:$Q$145</c:f>
              <c:numCache>
                <c:formatCode>General</c:formatCode>
                <c:ptCount val="17"/>
                <c:pt idx="0">
                  <c:v>0.19822539521715424</c:v>
                </c:pt>
                <c:pt idx="1">
                  <c:v>0.27684353502761883</c:v>
                </c:pt>
                <c:pt idx="2">
                  <c:v>0.35965069029119617</c:v>
                </c:pt>
                <c:pt idx="3">
                  <c:v>0.44036986538728901</c:v>
                </c:pt>
                <c:pt idx="4">
                  <c:v>0.51343117209127109</c:v>
                </c:pt>
                <c:pt idx="5">
                  <c:v>0.574609960396536</c:v>
                </c:pt>
                <c:pt idx="6">
                  <c:v>0.6212783862055673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0.57403350128173736</c:v>
                </c:pt>
                <c:pt idx="14">
                  <c:v>0.53547351271025068</c:v>
                </c:pt>
                <c:pt idx="15">
                  <c:v>0.49479201943433782</c:v>
                </c:pt>
                <c:pt idx="16">
                  <c:v>0.45339683503257289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5B-4EFF-BAF1-AF3EBCA5D18E}"/>
            </c:ext>
          </c:extLst>
        </c:ser>
        <c:ser>
          <c:idx val="12"/>
          <c:order val="12"/>
          <c:tx>
            <c:strRef>
              <c:f>call!$R$128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call!$R$129:$R$145</c:f>
              <c:numCache>
                <c:formatCode>General</c:formatCode>
                <c:ptCount val="17"/>
                <c:pt idx="0">
                  <c:v>0.29702348640212861</c:v>
                </c:pt>
                <c:pt idx="1">
                  <c:v>0.38350386340459214</c:v>
                </c:pt>
                <c:pt idx="2">
                  <c:v>0.46883083785060742</c:v>
                </c:pt>
                <c:pt idx="3">
                  <c:v>0.54807676647351533</c:v>
                </c:pt>
                <c:pt idx="4">
                  <c:v>0.61743560179207324</c:v>
                </c:pt>
                <c:pt idx="5">
                  <c:v>0.67438113704922509</c:v>
                </c:pt>
                <c:pt idx="6">
                  <c:v>0.71761533320686943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0.69031398866778315</c:v>
                </c:pt>
                <c:pt idx="14">
                  <c:v>0.6568433742701324</c:v>
                </c:pt>
                <c:pt idx="15">
                  <c:v>0.62051137062691963</c:v>
                </c:pt>
                <c:pt idx="16">
                  <c:v>0.58247693709726134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5B-4EFF-BAF1-AF3EBCA5D18E}"/>
            </c:ext>
          </c:extLst>
        </c:ser>
        <c:ser>
          <c:idx val="13"/>
          <c:order val="13"/>
          <c:tx>
            <c:strRef>
              <c:f>call!$S$128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call!$E$129:$E$145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call!$S$129:$S$145</c:f>
              <c:numCache>
                <c:formatCode>General</c:formatCode>
                <c:ptCount val="17"/>
                <c:pt idx="0">
                  <c:v>0.3865349347186785</c:v>
                </c:pt>
                <c:pt idx="1">
                  <c:v>0.47611297617669923</c:v>
                </c:pt>
                <c:pt idx="2">
                  <c:v>0.56119836056730876</c:v>
                </c:pt>
                <c:pt idx="3">
                  <c:v>0.63807941266216028</c:v>
                </c:pt>
                <c:pt idx="4">
                  <c:v>0.70416816821210715</c:v>
                </c:pt>
                <c:pt idx="5">
                  <c:v>0.75795571731518341</c:v>
                </c:pt>
                <c:pt idx="6">
                  <c:v>0.79886620400360531</c:v>
                </c:pt>
                <c:pt idx="7">
                  <c:v>0.82706631007195031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0.84421159741338536</c:v>
                </c:pt>
                <c:pt idx="11">
                  <c:v>0.83163420463033977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0.7580802493833807</c:v>
                </c:pt>
                <c:pt idx="15">
                  <c:v>0.72571322803396565</c:v>
                </c:pt>
                <c:pt idx="16">
                  <c:v>0.69115896371880403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5B-4EFF-BAF1-AF3EBCA5D18E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Vega,</a:t>
            </a:r>
            <a:r>
              <a:rPr lang="it-IT" baseline="0"/>
              <a:t> volatility = 0,1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call!$X$128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call!$X$129:$X$145</c:f>
              <c:numCache>
                <c:formatCode>General</c:formatCode>
                <c:ptCount val="17"/>
                <c:pt idx="0">
                  <c:v>3.5345400505311531E-58</c:v>
                </c:pt>
                <c:pt idx="1">
                  <c:v>7.8904162138229814E-42</c:v>
                </c:pt>
                <c:pt idx="2">
                  <c:v>3.5731275340967404E-29</c:v>
                </c:pt>
                <c:pt idx="3">
                  <c:v>1.5544383929947457E-19</c:v>
                </c:pt>
                <c:pt idx="4">
                  <c:v>2.1699726533395634E-12</c:v>
                </c:pt>
                <c:pt idx="5">
                  <c:v>2.513805683571334E-7</c:v>
                </c:pt>
                <c:pt idx="6">
                  <c:v>5.1615938644774477E-4</c:v>
                </c:pt>
                <c:pt idx="7">
                  <c:v>3.4693238841801248E-2</c:v>
                </c:pt>
                <c:pt idx="8">
                  <c:v>0.12601477970020519</c:v>
                </c:pt>
                <c:pt idx="9">
                  <c:v>3.7403491562746805E-2</c:v>
                </c:pt>
                <c:pt idx="10">
                  <c:v>1.2798321316875715E-3</c:v>
                </c:pt>
                <c:pt idx="11">
                  <c:v>6.7367205338682622E-6</c:v>
                </c:pt>
                <c:pt idx="12">
                  <c:v>6.9599615016725039E-9</c:v>
                </c:pt>
                <c:pt idx="13">
                  <c:v>1.735978122671637E-12</c:v>
                </c:pt>
                <c:pt idx="14">
                  <c:v>1.247722190230733E-16</c:v>
                </c:pt>
                <c:pt idx="15">
                  <c:v>3.0086617304103606E-21</c:v>
                </c:pt>
                <c:pt idx="16">
                  <c:v>2.7755174863825503E-26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5-43C4-90DE-8A178D409727}"/>
            </c:ext>
          </c:extLst>
        </c:ser>
        <c:ser>
          <c:idx val="1"/>
          <c:order val="1"/>
          <c:tx>
            <c:strRef>
              <c:f>call!$Y$128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call!$Y$129:$Y$145</c:f>
              <c:numCache>
                <c:formatCode>General</c:formatCode>
                <c:ptCount val="17"/>
                <c:pt idx="0">
                  <c:v>1.0711882489098268E-29</c:v>
                </c:pt>
                <c:pt idx="1">
                  <c:v>1.5687681949729765E-21</c:v>
                </c:pt>
                <c:pt idx="2">
                  <c:v>3.2770789744139775E-15</c:v>
                </c:pt>
                <c:pt idx="3">
                  <c:v>2.1245091218449448E-10</c:v>
                </c:pt>
                <c:pt idx="4">
                  <c:v>7.8107330033859321E-7</c:v>
                </c:pt>
                <c:pt idx="5">
                  <c:v>2.6184740803568228E-4</c:v>
                </c:pt>
                <c:pt idx="6">
                  <c:v>1.1696837223341142E-2</c:v>
                </c:pt>
                <c:pt idx="7">
                  <c:v>9.4608178373498497E-2</c:v>
                </c:pt>
                <c:pt idx="8">
                  <c:v>0.1780114349570453</c:v>
                </c:pt>
                <c:pt idx="9">
                  <c:v>9.5806705523719615E-2</c:v>
                </c:pt>
                <c:pt idx="10">
                  <c:v>1.751723241894686E-2</c:v>
                </c:pt>
                <c:pt idx="11">
                  <c:v>1.2568601723670415E-3</c:v>
                </c:pt>
                <c:pt idx="12">
                  <c:v>3.9971023224294193E-5</c:v>
                </c:pt>
                <c:pt idx="13">
                  <c:v>6.2485864027086964E-7</c:v>
                </c:pt>
                <c:pt idx="14">
                  <c:v>5.2457823818334011E-9</c:v>
                </c:pt>
                <c:pt idx="15">
                  <c:v>2.5517633623765736E-11</c:v>
                </c:pt>
                <c:pt idx="16">
                  <c:v>7.6802814218934899E-14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C5-43C4-90DE-8A178D409727}"/>
            </c:ext>
          </c:extLst>
        </c:ser>
        <c:ser>
          <c:idx val="2"/>
          <c:order val="2"/>
          <c:tx>
            <c:strRef>
              <c:f>call!$Z$128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call!$Z$129:$Z$145</c:f>
              <c:numCache>
                <c:formatCode>General</c:formatCode>
                <c:ptCount val="17"/>
                <c:pt idx="0">
                  <c:v>3.6413157535063639E-20</c:v>
                </c:pt>
                <c:pt idx="1">
                  <c:v>9.9829747601652235E-15</c:v>
                </c:pt>
                <c:pt idx="2">
                  <c:v>1.6113180804909278E-10</c:v>
                </c:pt>
                <c:pt idx="3">
                  <c:v>2.5706041526295764E-7</c:v>
                </c:pt>
                <c:pt idx="4">
                  <c:v>6.0578597213752283E-5</c:v>
                </c:pt>
                <c:pt idx="5">
                  <c:v>2.8940234587731361E-3</c:v>
                </c:pt>
                <c:pt idx="6">
                  <c:v>3.6089280836016556E-2</c:v>
                </c:pt>
                <c:pt idx="7">
                  <c:v>0.14411356711779727</c:v>
                </c:pt>
                <c:pt idx="8">
                  <c:v>0.21777345900985237</c:v>
                </c:pt>
                <c:pt idx="9">
                  <c:v>0.14292407924672723</c:v>
                </c:pt>
                <c:pt idx="10">
                  <c:v>4.5686150128548243E-2</c:v>
                </c:pt>
                <c:pt idx="11">
                  <c:v>7.8303531906443527E-3</c:v>
                </c:pt>
                <c:pt idx="12">
                  <c:v>7.8044023598122943E-4</c:v>
                </c:pt>
                <c:pt idx="13">
                  <c:v>4.8462877771001532E-5</c:v>
                </c:pt>
                <c:pt idx="14">
                  <c:v>1.9887917206308642E-6</c:v>
                </c:pt>
                <c:pt idx="15">
                  <c:v>5.673847415003263E-8</c:v>
                </c:pt>
                <c:pt idx="16">
                  <c:v>1.1756275778131234E-9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C5-43C4-90DE-8A178D409727}"/>
            </c:ext>
          </c:extLst>
        </c:ser>
        <c:ser>
          <c:idx val="3"/>
          <c:order val="3"/>
          <c:tx>
            <c:strRef>
              <c:f>call!$AA$128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call!$AA$129:$AA$145</c:f>
              <c:numCache>
                <c:formatCode>General</c:formatCode>
                <c:ptCount val="17"/>
                <c:pt idx="0">
                  <c:v>2.2138942538625791E-15</c:v>
                </c:pt>
                <c:pt idx="1">
                  <c:v>2.6261095230764715E-11</c:v>
                </c:pt>
                <c:pt idx="2">
                  <c:v>3.7258960102381551E-8</c:v>
                </c:pt>
                <c:pt idx="3">
                  <c:v>9.3245046528342434E-6</c:v>
                </c:pt>
                <c:pt idx="4">
                  <c:v>5.5633346565513934E-4</c:v>
                </c:pt>
                <c:pt idx="5">
                  <c:v>1.0033008819090706E-2</c:v>
                </c:pt>
                <c:pt idx="6">
                  <c:v>6.6105163163659941E-2</c:v>
                </c:pt>
                <c:pt idx="7">
                  <c:v>0.18547920454659683</c:v>
                </c:pt>
                <c:pt idx="8">
                  <c:v>0.25118039341108511</c:v>
                </c:pt>
                <c:pt idx="9">
                  <c:v>0.182038150418775</c:v>
                </c:pt>
                <c:pt idx="10">
                  <c:v>7.6938968689493709E-2</c:v>
                </c:pt>
                <c:pt idx="11">
                  <c:v>2.0381249613524031E-2</c:v>
                </c:pt>
                <c:pt idx="12">
                  <c:v>3.5961608377988127E-3</c:v>
                </c:pt>
                <c:pt idx="13">
                  <c:v>4.4506677252410988E-4</c:v>
                </c:pt>
                <c:pt idx="14">
                  <c:v>4.038137314557552E-5</c:v>
                </c:pt>
                <c:pt idx="15">
                  <c:v>2.7899636340967845E-6</c:v>
                </c:pt>
                <c:pt idx="16">
                  <c:v>1.5167651578010655E-7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C5-43C4-90DE-8A178D409727}"/>
            </c:ext>
          </c:extLst>
        </c:ser>
        <c:ser>
          <c:idx val="4"/>
          <c:order val="4"/>
          <c:tx>
            <c:strRef>
              <c:f>call!$AB$128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call!$AB$129:$AB$145</c:f>
              <c:numCache>
                <c:formatCode>General</c:formatCode>
                <c:ptCount val="17"/>
                <c:pt idx="0">
                  <c:v>1.6837357993007909E-12</c:v>
                </c:pt>
                <c:pt idx="1">
                  <c:v>3.0347470957467911E-9</c:v>
                </c:pt>
                <c:pt idx="2">
                  <c:v>1.0010098526373569E-6</c:v>
                </c:pt>
                <c:pt idx="3">
                  <c:v>8.2443811591708765E-5</c:v>
                </c:pt>
                <c:pt idx="4">
                  <c:v>2.157360495959318E-3</c:v>
                </c:pt>
                <c:pt idx="5">
                  <c:v>2.1685359940348946E-2</c:v>
                </c:pt>
                <c:pt idx="6">
                  <c:v>9.7437835238203124E-2</c:v>
                </c:pt>
                <c:pt idx="7">
                  <c:v>0.22122153003014303</c:v>
                </c:pt>
                <c:pt idx="8">
                  <c:v>0.28051246304186261</c:v>
                </c:pt>
                <c:pt idx="9">
                  <c:v>0.21576180864022365</c:v>
                </c:pt>
                <c:pt idx="10">
                  <c:v>0.10783044375026946</c:v>
                </c:pt>
                <c:pt idx="11">
                  <c:v>3.709184487135108E-2</c:v>
                </c:pt>
                <c:pt idx="12">
                  <c:v>9.2196988092317338E-3</c:v>
                </c:pt>
                <c:pt idx="13">
                  <c:v>1.7258883967674482E-3</c:v>
                </c:pt>
                <c:pt idx="14">
                  <c:v>2.5206590353609039E-4</c:v>
                </c:pt>
                <c:pt idx="15">
                  <c:v>2.9607997104108362E-5</c:v>
                </c:pt>
                <c:pt idx="16">
                  <c:v>2.8713454403848715E-6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C5-43C4-90DE-8A178D409727}"/>
            </c:ext>
          </c:extLst>
        </c:ser>
        <c:ser>
          <c:idx val="5"/>
          <c:order val="5"/>
          <c:tx>
            <c:strRef>
              <c:f>call!$AC$128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call!$AC$129:$AC$145</c:f>
              <c:numCache>
                <c:formatCode>General</c:formatCode>
                <c:ptCount val="17"/>
                <c:pt idx="0">
                  <c:v>1.4260773627185629E-10</c:v>
                </c:pt>
                <c:pt idx="1">
                  <c:v>7.3190274501949445E-8</c:v>
                </c:pt>
                <c:pt idx="2">
                  <c:v>9.1278366359240927E-6</c:v>
                </c:pt>
                <c:pt idx="3">
                  <c:v>3.5834719979831788E-4</c:v>
                </c:pt>
                <c:pt idx="4">
                  <c:v>5.4130101077600381E-3</c:v>
                </c:pt>
                <c:pt idx="5">
                  <c:v>3.6850893362287709E-2</c:v>
                </c:pt>
                <c:pt idx="6">
                  <c:v>0.12828628098948194</c:v>
                </c:pt>
                <c:pt idx="7">
                  <c:v>0.25291422770740374</c:v>
                </c:pt>
                <c:pt idx="8">
                  <c:v>0.30694050496199521</c:v>
                </c:pt>
                <c:pt idx="9">
                  <c:v>0.2456445343208962</c:v>
                </c:pt>
                <c:pt idx="10">
                  <c:v>0.13727638643411783</c:v>
                </c:pt>
                <c:pt idx="11">
                  <c:v>5.6204093069575231E-2</c:v>
                </c:pt>
                <c:pt idx="12">
                  <c:v>1.7556027112756587E-2</c:v>
                </c:pt>
                <c:pt idx="13">
                  <c:v>4.3304080862080164E-3</c:v>
                </c:pt>
                <c:pt idx="14">
                  <c:v>8.6868143918896585E-4</c:v>
                </c:pt>
                <c:pt idx="15">
                  <c:v>1.4534734818581388E-4</c:v>
                </c:pt>
                <c:pt idx="16">
                  <c:v>2.0732639788992961E-5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C5-43C4-90DE-8A178D409727}"/>
            </c:ext>
          </c:extLst>
        </c:ser>
        <c:ser>
          <c:idx val="6"/>
          <c:order val="6"/>
          <c:tx>
            <c:strRef>
              <c:f>call!$AD$128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call!$AD$129:$AD$145</c:f>
              <c:numCache>
                <c:formatCode>General</c:formatCode>
                <c:ptCount val="17"/>
                <c:pt idx="0">
                  <c:v>3.4375360039163326E-9</c:v>
                </c:pt>
                <c:pt idx="1">
                  <c:v>7.1926239310787059E-7</c:v>
                </c:pt>
                <c:pt idx="2">
                  <c:v>4.478025638717822E-5</c:v>
                </c:pt>
                <c:pt idx="3">
                  <c:v>1.0355649356059843E-3</c:v>
                </c:pt>
                <c:pt idx="4">
                  <c:v>1.0564824233400874E-2</c:v>
                </c:pt>
                <c:pt idx="5">
                  <c:v>5.4448949916165584E-2</c:v>
                </c:pt>
                <c:pt idx="6">
                  <c:v>0.15796405593882865</c:v>
                </c:pt>
                <c:pt idx="7">
                  <c:v>0.28155342127741206</c:v>
                </c:pt>
                <c:pt idx="8">
                  <c:v>0.3311608714611029</c:v>
                </c:pt>
                <c:pt idx="9">
                  <c:v>0.27264617640732552</c:v>
                </c:pt>
                <c:pt idx="10">
                  <c:v>0.16502382731650939</c:v>
                </c:pt>
                <c:pt idx="11">
                  <c:v>7.6514510849957487E-2</c:v>
                </c:pt>
                <c:pt idx="12">
                  <c:v>2.8136724172845171E-2</c:v>
                </c:pt>
                <c:pt idx="13">
                  <c:v>8.4518593867206771E-3</c:v>
                </c:pt>
                <c:pt idx="14">
                  <c:v>2.1268370180966031E-3</c:v>
                </c:pt>
                <c:pt idx="15">
                  <c:v>4.5817559828766953E-4</c:v>
                </c:pt>
                <c:pt idx="16">
                  <c:v>8.6094036586961643E-5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C5-43C4-90DE-8A178D409727}"/>
            </c:ext>
          </c:extLst>
        </c:ser>
        <c:ser>
          <c:idx val="7"/>
          <c:order val="7"/>
          <c:tx>
            <c:strRef>
              <c:f>call!$AE$128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call!$AE$129:$AE$145</c:f>
              <c:numCache>
                <c:formatCode>General</c:formatCode>
                <c:ptCount val="17"/>
                <c:pt idx="0">
                  <c:v>3.7721952577593385E-8</c:v>
                </c:pt>
                <c:pt idx="1">
                  <c:v>4.026999901175424E-6</c:v>
                </c:pt>
                <c:pt idx="2">
                  <c:v>1.4889989640669957E-4</c:v>
                </c:pt>
                <c:pt idx="3">
                  <c:v>2.3152671506101981E-3</c:v>
                </c:pt>
                <c:pt idx="4">
                  <c:v>1.759740529856035E-2</c:v>
                </c:pt>
                <c:pt idx="5">
                  <c:v>7.3606201526075665E-2</c:v>
                </c:pt>
                <c:pt idx="6">
                  <c:v>0.18625614252560363</c:v>
                </c:pt>
                <c:pt idx="7">
                  <c:v>0.30780115974298611</c:v>
                </c:pt>
                <c:pt idx="8">
                  <c:v>0.35362780796997573</c:v>
                </c:pt>
                <c:pt idx="9">
                  <c:v>0.29739757516778265</c:v>
                </c:pt>
                <c:pt idx="10">
                  <c:v>0.19110786021475312</c:v>
                </c:pt>
                <c:pt idx="11">
                  <c:v>9.727348704819927E-2</c:v>
                </c:pt>
                <c:pt idx="12">
                  <c:v>4.042758351391075E-2</c:v>
                </c:pt>
                <c:pt idx="13">
                  <c:v>1.4077924238848249E-2</c:v>
                </c:pt>
                <c:pt idx="14">
                  <c:v>4.1991195969349748E-3</c:v>
                </c:pt>
                <c:pt idx="15">
                  <c:v>1.0933755800638383E-3</c:v>
                </c:pt>
                <c:pt idx="16">
                  <c:v>2.5262754622349385E-4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C5-43C4-90DE-8A178D409727}"/>
            </c:ext>
          </c:extLst>
        </c:ser>
        <c:ser>
          <c:idx val="8"/>
          <c:order val="8"/>
          <c:tx>
            <c:strRef>
              <c:f>call!$AF$128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call!$AF$129:$AF$145</c:f>
              <c:numCache>
                <c:formatCode>General</c:formatCode>
                <c:ptCount val="17"/>
                <c:pt idx="0">
                  <c:v>2.4471925152833756E-7</c:v>
                </c:pt>
                <c:pt idx="1">
                  <c:v>1.5479180979646812E-5</c:v>
                </c:pt>
                <c:pt idx="2">
                  <c:v>3.8164553510493981E-4</c:v>
                </c:pt>
                <c:pt idx="3">
                  <c:v>4.3580320477808058E-3</c:v>
                </c:pt>
                <c:pt idx="4">
                  <c:v>2.6345645732472476E-2</c:v>
                </c:pt>
                <c:pt idx="5">
                  <c:v>9.368286121950696E-2</c:v>
                </c:pt>
                <c:pt idx="6">
                  <c:v>0.21314624132838875</c:v>
                </c:pt>
                <c:pt idx="7">
                  <c:v>0.33211834114491318</c:v>
                </c:pt>
                <c:pt idx="8">
                  <c:v>0.37465720501521849</c:v>
                </c:pt>
                <c:pt idx="9">
                  <c:v>0.32033505994229872</c:v>
                </c:pt>
                <c:pt idx="10">
                  <c:v>0.21565675444124369</c:v>
                </c:pt>
                <c:pt idx="11">
                  <c:v>0.11803032678147582</c:v>
                </c:pt>
                <c:pt idx="12">
                  <c:v>5.3953369730765095E-2</c:v>
                </c:pt>
                <c:pt idx="13">
                  <c:v>2.107651658597795E-2</c:v>
                </c:pt>
                <c:pt idx="14">
                  <c:v>7.1754270940931394E-3</c:v>
                </c:pt>
                <c:pt idx="15">
                  <c:v>2.1651121661498732E-3</c:v>
                </c:pt>
                <c:pt idx="16">
                  <c:v>5.8750695962988023E-4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C5-43C4-90DE-8A178D409727}"/>
            </c:ext>
          </c:extLst>
        </c:ser>
        <c:ser>
          <c:idx val="9"/>
          <c:order val="9"/>
          <c:tx>
            <c:strRef>
              <c:f>call!$AG$128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call!$AG$129:$AG$145</c:f>
              <c:numCache>
                <c:formatCode>General</c:formatCode>
                <c:ptCount val="17"/>
                <c:pt idx="0">
                  <c:v>1.0981137573304777E-6</c:v>
                </c:pt>
                <c:pt idx="1">
                  <c:v>4.5696305078151758E-5</c:v>
                </c:pt>
                <c:pt idx="2">
                  <c:v>8.1469084911896597E-4</c:v>
                </c:pt>
                <c:pt idx="3">
                  <c:v>7.2671125656936552E-3</c:v>
                </c:pt>
                <c:pt idx="4">
                  <c:v>3.6579438640896002E-2</c:v>
                </c:pt>
                <c:pt idx="5">
                  <c:v>0.11422910084499055</c:v>
                </c:pt>
                <c:pt idx="6">
                  <c:v>0.23869941692283711</c:v>
                </c:pt>
                <c:pt idx="7">
                  <c:v>0.35483868952949416</c:v>
                </c:pt>
                <c:pt idx="8">
                  <c:v>0.39447933090788889</c:v>
                </c:pt>
                <c:pt idx="9">
                  <c:v>0.34177330202865697</c:v>
                </c:pt>
                <c:pt idx="10">
                  <c:v>0.23882000168449913</c:v>
                </c:pt>
                <c:pt idx="11">
                  <c:v>0.13852014243074295</c:v>
                </c:pt>
                <c:pt idx="12">
                  <c:v>6.8329969593104792E-2</c:v>
                </c:pt>
                <c:pt idx="13">
                  <c:v>2.9263550912716752E-2</c:v>
                </c:pt>
                <c:pt idx="14">
                  <c:v>1.1074379087941739E-2</c:v>
                </c:pt>
                <c:pt idx="15">
                  <c:v>3.7598389688949037E-3</c:v>
                </c:pt>
                <c:pt idx="16">
                  <c:v>1.160269524252158E-3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C5-43C4-90DE-8A178D409727}"/>
            </c:ext>
          </c:extLst>
        </c:ser>
        <c:ser>
          <c:idx val="10"/>
          <c:order val="10"/>
          <c:tx>
            <c:strRef>
              <c:f>call!$AH$128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call!$AH$129:$AH$145</c:f>
              <c:numCache>
                <c:formatCode>General</c:formatCode>
                <c:ptCount val="17"/>
                <c:pt idx="0">
                  <c:v>1.0457482945948283E-3</c:v>
                </c:pt>
                <c:pt idx="1">
                  <c:v>6.612314700451225E-3</c:v>
                </c:pt>
                <c:pt idx="2">
                  <c:v>2.740710858581228E-2</c:v>
                </c:pt>
                <c:pt idx="3">
                  <c:v>8.0455722498671708E-2</c:v>
                </c:pt>
                <c:pt idx="4">
                  <c:v>0.1776181461109162</c:v>
                </c:pt>
                <c:pt idx="5">
                  <c:v>0.30915406339357621</c:v>
                </c:pt>
                <c:pt idx="6">
                  <c:v>0.44056131835135998</c:v>
                </c:pt>
                <c:pt idx="7">
                  <c:v>0.52993901401176291</c:v>
                </c:pt>
                <c:pt idx="8">
                  <c:v>0.55163706332541196</c:v>
                </c:pt>
                <c:pt idx="9">
                  <c:v>0.5072394859703554</c:v>
                </c:pt>
                <c:pt idx="10">
                  <c:v>0.41911044907526829</c:v>
                </c:pt>
                <c:pt idx="11">
                  <c:v>0.31566273567519076</c:v>
                </c:pt>
                <c:pt idx="12">
                  <c:v>0.21935705841356859</c:v>
                </c:pt>
                <c:pt idx="13">
                  <c:v>0.14209451688873281</c:v>
                </c:pt>
                <c:pt idx="14">
                  <c:v>8.6559585117731042E-2</c:v>
                </c:pt>
                <c:pt idx="15">
                  <c:v>4.9962307922047984E-2</c:v>
                </c:pt>
                <c:pt idx="16">
                  <c:v>2.7503549451983314E-2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C5-43C4-90DE-8A178D409727}"/>
            </c:ext>
          </c:extLst>
        </c:ser>
        <c:ser>
          <c:idx val="11"/>
          <c:order val="11"/>
          <c:tx>
            <c:strRef>
              <c:f>call!$AI$128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call!$AI$129:$AI$145</c:f>
              <c:numCache>
                <c:formatCode>General</c:formatCode>
                <c:ptCount val="17"/>
                <c:pt idx="0">
                  <c:v>1.1142189253647152E-2</c:v>
                </c:pt>
                <c:pt idx="1">
                  <c:v>3.7594797189649538E-2</c:v>
                </c:pt>
                <c:pt idx="2">
                  <c:v>9.581572046112885E-2</c:v>
                </c:pt>
                <c:pt idx="3">
                  <c:v>0.19419529853530501</c:v>
                </c:pt>
                <c:pt idx="4">
                  <c:v>0.32572732040617636</c:v>
                </c:pt>
                <c:pt idx="5">
                  <c:v>0.46657820462206062</c:v>
                </c:pt>
                <c:pt idx="6">
                  <c:v>0.58525004130384151</c:v>
                </c:pt>
                <c:pt idx="7">
                  <c:v>0.65600571654605966</c:v>
                </c:pt>
                <c:pt idx="8">
                  <c:v>0.66805659306916709</c:v>
                </c:pt>
                <c:pt idx="9">
                  <c:v>0.62659671715556564</c:v>
                </c:pt>
                <c:pt idx="10">
                  <c:v>0.54747527123167761</c:v>
                </c:pt>
                <c:pt idx="11">
                  <c:v>0.4498594691960292</c:v>
                </c:pt>
                <c:pt idx="12">
                  <c:v>0.35044120413266605</c:v>
                </c:pt>
                <c:pt idx="13">
                  <c:v>0.26058185632494107</c:v>
                </c:pt>
                <c:pt idx="14">
                  <c:v>0.18603608061799032</c:v>
                </c:pt>
                <c:pt idx="15">
                  <c:v>0.12815935968047906</c:v>
                </c:pt>
                <c:pt idx="16">
                  <c:v>8.5562234911034277E-2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C5-43C4-90DE-8A178D409727}"/>
            </c:ext>
          </c:extLst>
        </c:ser>
        <c:ser>
          <c:idx val="12"/>
          <c:order val="12"/>
          <c:tx>
            <c:strRef>
              <c:f>call!$AJ$128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call!$AJ$129:$AJ$145</c:f>
              <c:numCache>
                <c:formatCode>General</c:formatCode>
                <c:ptCount val="17"/>
                <c:pt idx="0">
                  <c:v>3.7735130894815956E-2</c:v>
                </c:pt>
                <c:pt idx="1">
                  <c:v>9.3007615269544958E-2</c:v>
                </c:pt>
                <c:pt idx="2">
                  <c:v>0.18587765767931</c:v>
                </c:pt>
                <c:pt idx="3">
                  <c:v>0.31302804195460354</c:v>
                </c:pt>
                <c:pt idx="4">
                  <c:v>0.45765821306048554</c:v>
                </c:pt>
                <c:pt idx="5">
                  <c:v>0.5947067105196463</c:v>
                </c:pt>
                <c:pt idx="6">
                  <c:v>0.69986237314498334</c:v>
                </c:pt>
                <c:pt idx="7">
                  <c:v>0.75727241342456986</c:v>
                </c:pt>
                <c:pt idx="8">
                  <c:v>0.76277563092104828</c:v>
                </c:pt>
                <c:pt idx="9">
                  <c:v>0.72256894624086909</c:v>
                </c:pt>
                <c:pt idx="10">
                  <c:v>0.64921143972907125</c:v>
                </c:pt>
                <c:pt idx="11">
                  <c:v>0.55719510030463637</c:v>
                </c:pt>
                <c:pt idx="12">
                  <c:v>0.45956885215668852</c:v>
                </c:pt>
                <c:pt idx="13">
                  <c:v>0.36612657044838837</c:v>
                </c:pt>
                <c:pt idx="14">
                  <c:v>0.28297093897443343</c:v>
                </c:pt>
                <c:pt idx="15">
                  <c:v>0.21296483325512211</c:v>
                </c:pt>
                <c:pt idx="16">
                  <c:v>0.15657861761389585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C5-43C4-90DE-8A178D409727}"/>
            </c:ext>
          </c:extLst>
        </c:ser>
        <c:ser>
          <c:idx val="13"/>
          <c:order val="13"/>
          <c:tx>
            <c:strRef>
              <c:f>call!$AK$128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call!$W$129:$W$145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call!$AK$129:$AK$145</c:f>
              <c:numCache>
                <c:formatCode>General</c:formatCode>
                <c:ptCount val="17"/>
                <c:pt idx="0">
                  <c:v>8.0099557916829336E-2</c:v>
                </c:pt>
                <c:pt idx="1">
                  <c:v>0.16352043251983775</c:v>
                </c:pt>
                <c:pt idx="2">
                  <c:v>0.28243629412307231</c:v>
                </c:pt>
                <c:pt idx="3">
                  <c:v>0.42560725743199956</c:v>
                </c:pt>
                <c:pt idx="4">
                  <c:v>0.57302367456033576</c:v>
                </c:pt>
                <c:pt idx="5">
                  <c:v>0.70234247577560904</c:v>
                </c:pt>
                <c:pt idx="6">
                  <c:v>0.79548944334653171</c:v>
                </c:pt>
                <c:pt idx="7">
                  <c:v>0.84270952755154982</c:v>
                </c:pt>
                <c:pt idx="8">
                  <c:v>0.84326874401380636</c:v>
                </c:pt>
                <c:pt idx="9">
                  <c:v>0.80358729178703991</c:v>
                </c:pt>
                <c:pt idx="10">
                  <c:v>0.73420648836426439</c:v>
                </c:pt>
                <c:pt idx="11">
                  <c:v>0.6468217313827832</c:v>
                </c:pt>
                <c:pt idx="12">
                  <c:v>0.55209129543356328</c:v>
                </c:pt>
                <c:pt idx="13">
                  <c:v>0.45841893964826841</c:v>
                </c:pt>
                <c:pt idx="14">
                  <c:v>0.37157602890379682</c:v>
                </c:pt>
                <c:pt idx="15">
                  <c:v>0.29489098382107914</c:v>
                </c:pt>
                <c:pt idx="16">
                  <c:v>0.22973211747964489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C5-43C4-90DE-8A178D409727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Vega,</a:t>
            </a:r>
            <a:r>
              <a:rPr lang="it-IT" baseline="0"/>
              <a:t> volatility = 0,3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call!$AP$128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call!$AP$129:$AP$145</c:f>
              <c:numCache>
                <c:formatCode>General</c:formatCode>
                <c:ptCount val="17"/>
                <c:pt idx="0">
                  <c:v>5.2241467496489445E-8</c:v>
                </c:pt>
                <c:pt idx="1">
                  <c:v>3.5480919020595774E-6</c:v>
                </c:pt>
                <c:pt idx="2">
                  <c:v>9.343630931757354E-5</c:v>
                </c:pt>
                <c:pt idx="3">
                  <c:v>1.1344357018572753E-3</c:v>
                </c:pt>
                <c:pt idx="4">
                  <c:v>7.2629446543345496E-3</c:v>
                </c:pt>
                <c:pt idx="5">
                  <c:v>2.725633977693533E-2</c:v>
                </c:pt>
                <c:pt idx="6">
                  <c:v>6.5245486618251372E-2</c:v>
                </c:pt>
                <c:pt idx="7">
                  <c:v>0.10666888149822518</c:v>
                </c:pt>
                <c:pt idx="8">
                  <c:v>0.12594479093238517</c:v>
                </c:pt>
                <c:pt idx="9">
                  <c:v>0.11245674973430275</c:v>
                </c:pt>
                <c:pt idx="10">
                  <c:v>7.8904665626496825E-2</c:v>
                </c:pt>
                <c:pt idx="11">
                  <c:v>4.4925546239266936E-2</c:v>
                </c:pt>
                <c:pt idx="12">
                  <c:v>2.1327896525065605E-2</c:v>
                </c:pt>
                <c:pt idx="13">
                  <c:v>8.6394717581212612E-3</c:v>
                </c:pt>
                <c:pt idx="14">
                  <c:v>3.0456280025937246E-3</c:v>
                </c:pt>
                <c:pt idx="15">
                  <c:v>9.503394546450289E-4</c:v>
                </c:pt>
                <c:pt idx="16">
                  <c:v>2.6634878733576307E-4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D-4B2A-A983-836EA5683827}"/>
            </c:ext>
          </c:extLst>
        </c:ser>
        <c:ser>
          <c:idx val="1"/>
          <c:order val="1"/>
          <c:tx>
            <c:strRef>
              <c:f>call!$AQ$128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call!$AQ$129:$AQ$145</c:f>
              <c:numCache>
                <c:formatCode>General</c:formatCode>
                <c:ptCount val="17"/>
                <c:pt idx="0">
                  <c:v>1.0369210092575669E-4</c:v>
                </c:pt>
                <c:pt idx="1">
                  <c:v>8.6795002193490315E-4</c:v>
                </c:pt>
                <c:pt idx="2">
                  <c:v>4.5186973977930974E-3</c:v>
                </c:pt>
                <c:pt idx="3">
                  <c:v>1.5957745936388483E-2</c:v>
                </c:pt>
                <c:pt idx="4">
                  <c:v>4.0887259297741153E-2</c:v>
                </c:pt>
                <c:pt idx="5">
                  <c:v>8.0146565468207587E-2</c:v>
                </c:pt>
                <c:pt idx="6">
                  <c:v>0.12538719707021431</c:v>
                </c:pt>
                <c:pt idx="7">
                  <c:v>0.16201774980597239</c:v>
                </c:pt>
                <c:pt idx="8">
                  <c:v>0.17781375431667518</c:v>
                </c:pt>
                <c:pt idx="9">
                  <c:v>0.16962433257069018</c:v>
                </c:pt>
                <c:pt idx="10">
                  <c:v>0.14337557290741065</c:v>
                </c:pt>
                <c:pt idx="11">
                  <c:v>0.10912500779394539</c:v>
                </c:pt>
                <c:pt idx="12">
                  <c:v>7.5813336945485366E-2</c:v>
                </c:pt>
                <c:pt idx="13">
                  <c:v>4.8636515735941716E-2</c:v>
                </c:pt>
                <c:pt idx="14">
                  <c:v>2.909841456749146E-2</c:v>
                </c:pt>
                <c:pt idx="15">
                  <c:v>1.6374094930515438E-2</c:v>
                </c:pt>
                <c:pt idx="16">
                  <c:v>8.7300030082944971E-3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6D-4B2A-A983-836EA5683827}"/>
            </c:ext>
          </c:extLst>
        </c:ser>
        <c:ser>
          <c:idx val="2"/>
          <c:order val="2"/>
          <c:tx>
            <c:strRef>
              <c:f>call!$AR$128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call!$AR$129:$AR$145</c:f>
              <c:numCache>
                <c:formatCode>General</c:formatCode>
                <c:ptCount val="17"/>
                <c:pt idx="0">
                  <c:v>1.4202882759273437E-3</c:v>
                </c:pt>
                <c:pt idx="1">
                  <c:v>5.9162801509580086E-3</c:v>
                </c:pt>
                <c:pt idx="2">
                  <c:v>1.7943197870953602E-2</c:v>
                </c:pt>
                <c:pt idx="3">
                  <c:v>4.1984549048709442E-2</c:v>
                </c:pt>
                <c:pt idx="4">
                  <c:v>7.9274555446936984E-2</c:v>
                </c:pt>
                <c:pt idx="5">
                  <c:v>0.12514440458799739</c:v>
                </c:pt>
                <c:pt idx="6">
                  <c:v>0.16990578273325518</c:v>
                </c:pt>
                <c:pt idx="7">
                  <c:v>0.2029823489988902</c:v>
                </c:pt>
                <c:pt idx="8">
                  <c:v>0.21741080554000836</c:v>
                </c:pt>
                <c:pt idx="9">
                  <c:v>0.21201979956829661</c:v>
                </c:pt>
                <c:pt idx="10">
                  <c:v>0.19068654650481351</c:v>
                </c:pt>
                <c:pt idx="11">
                  <c:v>0.15987798073147633</c:v>
                </c:pt>
                <c:pt idx="12">
                  <c:v>0.12610496950196404</c:v>
                </c:pt>
                <c:pt idx="13">
                  <c:v>9.4299256777715695E-2</c:v>
                </c:pt>
                <c:pt idx="14">
                  <c:v>6.7295735384344552E-2</c:v>
                </c:pt>
                <c:pt idx="15">
                  <c:v>4.6093272696781797E-2</c:v>
                </c:pt>
                <c:pt idx="16">
                  <c:v>3.0450166811719016E-2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6D-4B2A-A983-836EA5683827}"/>
            </c:ext>
          </c:extLst>
        </c:ser>
        <c:ser>
          <c:idx val="3"/>
          <c:order val="3"/>
          <c:tx>
            <c:strRef>
              <c:f>call!$AS$128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call!$AS$129:$AS$145</c:f>
              <c:numCache>
                <c:formatCode>General</c:formatCode>
                <c:ptCount val="17"/>
                <c:pt idx="0">
                  <c:v>5.4799114620321266E-3</c:v>
                </c:pt>
                <c:pt idx="1">
                  <c:v>1.6103021116910757E-2</c:v>
                </c:pt>
                <c:pt idx="2">
                  <c:v>3.7275610547584395E-2</c:v>
                </c:pt>
                <c:pt idx="3">
                  <c:v>7.0995380577419692E-2</c:v>
                </c:pt>
                <c:pt idx="4">
                  <c:v>0.11507695143275126</c:v>
                </c:pt>
                <c:pt idx="5">
                  <c:v>0.16302579321220409</c:v>
                </c:pt>
                <c:pt idx="6">
                  <c:v>0.20618984345800193</c:v>
                </c:pt>
                <c:pt idx="7">
                  <c:v>0.23685782585692991</c:v>
                </c:pt>
                <c:pt idx="8">
                  <c:v>0.25062283449841155</c:v>
                </c:pt>
                <c:pt idx="9">
                  <c:v>0.24711674739236783</c:v>
                </c:pt>
                <c:pt idx="10">
                  <c:v>0.22925780102263246</c:v>
                </c:pt>
                <c:pt idx="11">
                  <c:v>0.20174485287319668</c:v>
                </c:pt>
                <c:pt idx="12">
                  <c:v>0.16955364143103457</c:v>
                </c:pt>
                <c:pt idx="13">
                  <c:v>0.13688718821788132</c:v>
                </c:pt>
                <c:pt idx="14">
                  <c:v>0.10669112068562892</c:v>
                </c:pt>
                <c:pt idx="15">
                  <c:v>8.062306246902104E-2</c:v>
                </c:pt>
                <c:pt idx="16">
                  <c:v>5.9286927376384899E-2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6D-4B2A-A983-836EA5683827}"/>
            </c:ext>
          </c:extLst>
        </c:ser>
        <c:ser>
          <c:idx val="4"/>
          <c:order val="4"/>
          <c:tx>
            <c:strRef>
              <c:f>call!$AT$128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call!$AT$129:$AT$145</c:f>
              <c:numCache>
                <c:formatCode>General</c:formatCode>
                <c:ptCount val="17"/>
                <c:pt idx="0">
                  <c:v>1.2626797297023531E-2</c:v>
                </c:pt>
                <c:pt idx="1">
                  <c:v>3.0095667810257465E-2</c:v>
                </c:pt>
                <c:pt idx="2">
                  <c:v>5.9240833497693518E-2</c:v>
                </c:pt>
                <c:pt idx="3">
                  <c:v>9.9723128342838543E-2</c:v>
                </c:pt>
                <c:pt idx="4">
                  <c:v>0.14749677041710108</c:v>
                </c:pt>
                <c:pt idx="5">
                  <c:v>0.19581443166314164</c:v>
                </c:pt>
                <c:pt idx="6">
                  <c:v>0.23734723525071394</c:v>
                </c:pt>
                <c:pt idx="7">
                  <c:v>0.26630962333356745</c:v>
                </c:pt>
                <c:pt idx="8">
                  <c:v>0.27973434297828004</c:v>
                </c:pt>
                <c:pt idx="9">
                  <c:v>0.27765089504983587</c:v>
                </c:pt>
                <c:pt idx="10">
                  <c:v>0.26242669261937368</c:v>
                </c:pt>
                <c:pt idx="11">
                  <c:v>0.23773448946649214</c:v>
                </c:pt>
                <c:pt idx="12">
                  <c:v>0.20755515123786619</c:v>
                </c:pt>
                <c:pt idx="13">
                  <c:v>0.17545145159162673</c:v>
                </c:pt>
                <c:pt idx="14">
                  <c:v>0.1441763943815362</c:v>
                </c:pt>
                <c:pt idx="15">
                  <c:v>0.11556698455080515</c:v>
                </c:pt>
                <c:pt idx="16">
                  <c:v>9.0627906162675992E-2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6D-4B2A-A983-836EA5683827}"/>
            </c:ext>
          </c:extLst>
        </c:ser>
        <c:ser>
          <c:idx val="5"/>
          <c:order val="5"/>
          <c:tx>
            <c:strRef>
              <c:f>call!$AU$128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call!$AU$129:$AU$145</c:f>
              <c:numCache>
                <c:formatCode>General</c:formatCode>
                <c:ptCount val="17"/>
                <c:pt idx="0">
                  <c:v>2.2388087034633054E-2</c:v>
                </c:pt>
                <c:pt idx="1">
                  <c:v>4.6410088796281238E-2</c:v>
                </c:pt>
                <c:pt idx="2">
                  <c:v>8.1996646326998268E-2</c:v>
                </c:pt>
                <c:pt idx="3">
                  <c:v>0.12712093999325988</c:v>
                </c:pt>
                <c:pt idx="4">
                  <c:v>0.17688429965289609</c:v>
                </c:pt>
                <c:pt idx="5">
                  <c:v>0.22487833277913319</c:v>
                </c:pt>
                <c:pt idx="6">
                  <c:v>0.26495540458839584</c:v>
                </c:pt>
                <c:pt idx="7">
                  <c:v>0.29266016170947762</c:v>
                </c:pt>
                <c:pt idx="8">
                  <c:v>0.30591907327736617</c:v>
                </c:pt>
                <c:pt idx="9">
                  <c:v>0.30498209522504149</c:v>
                </c:pt>
                <c:pt idx="10">
                  <c:v>0.29186001251802374</c:v>
                </c:pt>
                <c:pt idx="11">
                  <c:v>0.26956448745123346</c:v>
                </c:pt>
                <c:pt idx="12">
                  <c:v>0.24139509792774025</c:v>
                </c:pt>
                <c:pt idx="13">
                  <c:v>0.21040872318836001</c:v>
                </c:pt>
                <c:pt idx="14">
                  <c:v>0.17910817795815687</c:v>
                </c:pt>
                <c:pt idx="15">
                  <c:v>0.14932325285649345</c:v>
                </c:pt>
                <c:pt idx="16">
                  <c:v>0.12222910034137176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6D-4B2A-A983-836EA5683827}"/>
            </c:ext>
          </c:extLst>
        </c:ser>
        <c:ser>
          <c:idx val="6"/>
          <c:order val="6"/>
          <c:tx>
            <c:strRef>
              <c:f>call!$AV$128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call!$AV$129:$AV$145</c:f>
              <c:numCache>
                <c:formatCode>General</c:formatCode>
                <c:ptCount val="17"/>
                <c:pt idx="0">
                  <c:v>3.4092800414934198E-2</c:v>
                </c:pt>
                <c:pt idx="1">
                  <c:v>6.3967797976228563E-2</c:v>
                </c:pt>
                <c:pt idx="2">
                  <c:v>0.10462155572124114</c:v>
                </c:pt>
                <c:pt idx="3">
                  <c:v>0.1529339134731435</c:v>
                </c:pt>
                <c:pt idx="4">
                  <c:v>0.20372161802542726</c:v>
                </c:pt>
                <c:pt idx="5">
                  <c:v>0.25111006208294911</c:v>
                </c:pt>
                <c:pt idx="6">
                  <c:v>0.28993012918382316</c:v>
                </c:pt>
                <c:pt idx="7">
                  <c:v>0.31667848744818328</c:v>
                </c:pt>
                <c:pt idx="8">
                  <c:v>0.32987552453324309</c:v>
                </c:pt>
                <c:pt idx="9">
                  <c:v>0.32990232912026402</c:v>
                </c:pt>
                <c:pt idx="10">
                  <c:v>0.31851990708534011</c:v>
                </c:pt>
                <c:pt idx="11">
                  <c:v>0.29828227300311033</c:v>
                </c:pt>
                <c:pt idx="12">
                  <c:v>0.27199931861420884</c:v>
                </c:pt>
                <c:pt idx="13">
                  <c:v>0.24233244905687776</c:v>
                </c:pt>
                <c:pt idx="14">
                  <c:v>0.21154470571896189</c:v>
                </c:pt>
                <c:pt idx="15">
                  <c:v>0.18138808755412689</c:v>
                </c:pt>
                <c:pt idx="16">
                  <c:v>0.15309296235130823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6D-4B2A-A983-836EA5683827}"/>
            </c:ext>
          </c:extLst>
        </c:ser>
        <c:ser>
          <c:idx val="7"/>
          <c:order val="7"/>
          <c:tx>
            <c:strRef>
              <c:f>call!$AW$128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call!$AW$129:$AW$145</c:f>
              <c:numCache>
                <c:formatCode>General</c:formatCode>
                <c:ptCount val="17"/>
                <c:pt idx="0">
                  <c:v>4.7136291023201063E-2</c:v>
                </c:pt>
                <c:pt idx="1">
                  <c:v>8.2069467460122739E-2</c:v>
                </c:pt>
                <c:pt idx="2">
                  <c:v>0.12667719836424346</c:v>
                </c:pt>
                <c:pt idx="3">
                  <c:v>0.17718513961379675</c:v>
                </c:pt>
                <c:pt idx="4">
                  <c:v>0.22843174271570832</c:v>
                </c:pt>
                <c:pt idx="5">
                  <c:v>0.2751122670939824</c:v>
                </c:pt>
                <c:pt idx="6">
                  <c:v>0.3128543782986476</c:v>
                </c:pt>
                <c:pt idx="7">
                  <c:v>0.33885838808772822</c:v>
                </c:pt>
                <c:pt idx="8">
                  <c:v>0.35205961627525989</c:v>
                </c:pt>
                <c:pt idx="9">
                  <c:v>0.35292069317520947</c:v>
                </c:pt>
                <c:pt idx="10">
                  <c:v>0.34301770068622478</c:v>
                </c:pt>
                <c:pt idx="11">
                  <c:v>0.32457082698947876</c:v>
                </c:pt>
                <c:pt idx="12">
                  <c:v>0.30002386856514912</c:v>
                </c:pt>
                <c:pt idx="13">
                  <c:v>0.27172581972973997</c:v>
                </c:pt>
                <c:pt idx="14">
                  <c:v>0.24172728981926181</c:v>
                </c:pt>
                <c:pt idx="15">
                  <c:v>0.2116792144510537</c:v>
                </c:pt>
                <c:pt idx="16">
                  <c:v>0.18280966330758441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6D-4B2A-A983-836EA5683827}"/>
            </c:ext>
          </c:extLst>
        </c:ser>
        <c:ser>
          <c:idx val="8"/>
          <c:order val="8"/>
          <c:tx>
            <c:strRef>
              <c:f>call!$AX$128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call!$AX$129:$AX$145</c:f>
              <c:numCache>
                <c:formatCode>General</c:formatCode>
                <c:ptCount val="17"/>
                <c:pt idx="0">
                  <c:v>6.1044245880699184E-2</c:v>
                </c:pt>
                <c:pt idx="1">
                  <c:v>0.10028004968425032</c:v>
                </c:pt>
                <c:pt idx="2">
                  <c:v>0.14797070949272112</c:v>
                </c:pt>
                <c:pt idx="3">
                  <c:v>0.19998950927794951</c:v>
                </c:pt>
                <c:pt idx="4">
                  <c:v>0.25135567501845724</c:v>
                </c:pt>
                <c:pt idx="5">
                  <c:v>0.29730845258588656</c:v>
                </c:pt>
                <c:pt idx="6">
                  <c:v>0.33412469483092277</c:v>
                </c:pt>
                <c:pt idx="7">
                  <c:v>0.35953924700853623</c:v>
                </c:pt>
                <c:pt idx="8">
                  <c:v>0.37278859440959367</c:v>
                </c:pt>
                <c:pt idx="9">
                  <c:v>0.37438741076876991</c:v>
                </c:pt>
                <c:pt idx="10">
                  <c:v>0.36576911327852024</c:v>
                </c:pt>
                <c:pt idx="11">
                  <c:v>0.34890050929444233</c:v>
                </c:pt>
                <c:pt idx="12">
                  <c:v>0.32594284085625297</c:v>
                </c:pt>
                <c:pt idx="13">
                  <c:v>0.29899446559453879</c:v>
                </c:pt>
                <c:pt idx="14">
                  <c:v>0.26992241961759361</c:v>
                </c:pt>
                <c:pt idx="15">
                  <c:v>0.24027301202528756</c:v>
                </c:pt>
                <c:pt idx="16">
                  <c:v>0.2112437392784553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6D-4B2A-A983-836EA5683827}"/>
            </c:ext>
          </c:extLst>
        </c:ser>
        <c:ser>
          <c:idx val="9"/>
          <c:order val="9"/>
          <c:tx>
            <c:strRef>
              <c:f>call!$AY$128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call!$AY$129:$AY$145</c:f>
              <c:numCache>
                <c:formatCode>General</c:formatCode>
                <c:ptCount val="17"/>
                <c:pt idx="0">
                  <c:v>7.5465414056779381E-2</c:v>
                </c:pt>
                <c:pt idx="1">
                  <c:v>0.11833484483505803</c:v>
                </c:pt>
                <c:pt idx="2">
                  <c:v>0.16843384637940809</c:v>
                </c:pt>
                <c:pt idx="3">
                  <c:v>0.22148428421066518</c:v>
                </c:pt>
                <c:pt idx="4">
                  <c:v>0.27276349949898759</c:v>
                </c:pt>
                <c:pt idx="5">
                  <c:v>0.31800713357890903</c:v>
                </c:pt>
                <c:pt idx="6">
                  <c:v>0.35402457537592469</c:v>
                </c:pt>
                <c:pt idx="7">
                  <c:v>0.37896623822327191</c:v>
                </c:pt>
                <c:pt idx="8">
                  <c:v>0.39229385545573259</c:v>
                </c:pt>
                <c:pt idx="9">
                  <c:v>0.39455567305177852</c:v>
                </c:pt>
                <c:pt idx="10">
                  <c:v>0.38707149777283789</c:v>
                </c:pt>
                <c:pt idx="11">
                  <c:v>0.3716097203998498</c:v>
                </c:pt>
                <c:pt idx="12">
                  <c:v>0.35010774918133875</c:v>
                </c:pt>
                <c:pt idx="13">
                  <c:v>0.32445965964527124</c:v>
                </c:pt>
                <c:pt idx="14">
                  <c:v>0.29637484768584293</c:v>
                </c:pt>
                <c:pt idx="15">
                  <c:v>0.26729952054680556</c:v>
                </c:pt>
                <c:pt idx="16">
                  <c:v>0.23838743989858852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6D-4B2A-A983-836EA5683827}"/>
            </c:ext>
          </c:extLst>
        </c:ser>
        <c:ser>
          <c:idx val="10"/>
          <c:order val="10"/>
          <c:tx>
            <c:strRef>
              <c:f>call!$AZ$128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call!$AZ$129:$AZ$145</c:f>
              <c:numCache>
                <c:formatCode>General</c:formatCode>
                <c:ptCount val="17"/>
                <c:pt idx="0">
                  <c:v>0.21665010977573695</c:v>
                </c:pt>
                <c:pt idx="1">
                  <c:v>0.27555008864451608</c:v>
                </c:pt>
                <c:pt idx="2">
                  <c:v>0.33351628785916165</c:v>
                </c:pt>
                <c:pt idx="3">
                  <c:v>0.38761449136581971</c:v>
                </c:pt>
                <c:pt idx="4">
                  <c:v>0.43558378451392826</c:v>
                </c:pt>
                <c:pt idx="5">
                  <c:v>0.47590089770706884</c:v>
                </c:pt>
                <c:pt idx="6">
                  <c:v>0.50774026590962573</c:v>
                </c:pt>
                <c:pt idx="7">
                  <c:v>0.53087335695806659</c:v>
                </c:pt>
                <c:pt idx="8">
                  <c:v>0.54554168852462226</c:v>
                </c:pt>
                <c:pt idx="9">
                  <c:v>0.55232725998867305</c:v>
                </c:pt>
                <c:pt idx="10">
                  <c:v>0.5520346837390272</c:v>
                </c:pt>
                <c:pt idx="11">
                  <c:v>0.5455921101145208</c:v>
                </c:pt>
                <c:pt idx="12">
                  <c:v>0.53397313281358616</c:v>
                </c:pt>
                <c:pt idx="13">
                  <c:v>0.51813885189910813</c:v>
                </c:pt>
                <c:pt idx="14">
                  <c:v>0.49899766616306857</c:v>
                </c:pt>
                <c:pt idx="15">
                  <c:v>0.47737971160509779</c:v>
                </c:pt>
                <c:pt idx="16">
                  <c:v>0.45402279742050045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6D-4B2A-A983-836EA5683827}"/>
            </c:ext>
          </c:extLst>
        </c:ser>
        <c:ser>
          <c:idx val="11"/>
          <c:order val="11"/>
          <c:tx>
            <c:strRef>
              <c:f>call!$BA$128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call!$BA$129:$BA$145</c:f>
              <c:numCache>
                <c:formatCode>General</c:formatCode>
                <c:ptCount val="17"/>
                <c:pt idx="0">
                  <c:v>0.33222896128746121</c:v>
                </c:pt>
                <c:pt idx="1">
                  <c:v>0.39406825288577535</c:v>
                </c:pt>
                <c:pt idx="2">
                  <c:v>0.45187800131882511</c:v>
                </c:pt>
                <c:pt idx="3">
                  <c:v>0.50399623483227596</c:v>
                </c:pt>
                <c:pt idx="4">
                  <c:v>0.54934070118221501</c:v>
                </c:pt>
                <c:pt idx="5">
                  <c:v>0.58733335877732828</c:v>
                </c:pt>
                <c:pt idx="6">
                  <c:v>0.61780667302057179</c:v>
                </c:pt>
                <c:pt idx="7">
                  <c:v>0.6409084385653474</c:v>
                </c:pt>
                <c:pt idx="8">
                  <c:v>0.65701458882085051</c:v>
                </c:pt>
                <c:pt idx="9">
                  <c:v>0.66665447263519584</c:v>
                </c:pt>
                <c:pt idx="10">
                  <c:v>0.6704499236841015</c:v>
                </c:pt>
                <c:pt idx="11">
                  <c:v>0.66906761646336732</c:v>
                </c:pt>
                <c:pt idx="12">
                  <c:v>0.66318326233497227</c:v>
                </c:pt>
                <c:pt idx="13">
                  <c:v>0.65345582257987467</c:v>
                </c:pt>
                <c:pt idx="14">
                  <c:v>0.64050987256156355</c:v>
                </c:pt>
                <c:pt idx="15">
                  <c:v>0.62492438861032051</c:v>
                </c:pt>
                <c:pt idx="16">
                  <c:v>0.6072264500392125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6D-4B2A-A983-836EA5683827}"/>
            </c:ext>
          </c:extLst>
        </c:ser>
        <c:ser>
          <c:idx val="12"/>
          <c:order val="12"/>
          <c:tx>
            <c:strRef>
              <c:f>call!$BB$128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call!$BB$129:$BB$145</c:f>
              <c:numCache>
                <c:formatCode>General</c:formatCode>
                <c:ptCount val="17"/>
                <c:pt idx="0">
                  <c:v>0.42567098596972325</c:v>
                </c:pt>
                <c:pt idx="1">
                  <c:v>0.4875893022971528</c:v>
                </c:pt>
                <c:pt idx="2">
                  <c:v>0.54421505040302276</c:v>
                </c:pt>
                <c:pt idx="3">
                  <c:v>0.59461821507388335</c:v>
                </c:pt>
                <c:pt idx="4">
                  <c:v>0.63829888800540957</c:v>
                </c:pt>
                <c:pt idx="5">
                  <c:v>0.67509674458565583</c:v>
                </c:pt>
                <c:pt idx="6">
                  <c:v>0.70510754644860263</c:v>
                </c:pt>
                <c:pt idx="7">
                  <c:v>0.72861111689327818</c:v>
                </c:pt>
                <c:pt idx="8">
                  <c:v>0.74601201361465708</c:v>
                </c:pt>
                <c:pt idx="9">
                  <c:v>0.75779237344430039</c:v>
                </c:pt>
                <c:pt idx="10">
                  <c:v>0.76447556683034001</c:v>
                </c:pt>
                <c:pt idx="11">
                  <c:v>0.76659899934282549</c:v>
                </c:pt>
                <c:pt idx="12">
                  <c:v>0.76469439302491615</c:v>
                </c:pt>
                <c:pt idx="13">
                  <c:v>0.75927402432728763</c:v>
                </c:pt>
                <c:pt idx="14">
                  <c:v>0.7508216007760149</c:v>
                </c:pt>
                <c:pt idx="15">
                  <c:v>0.73978667680739474</c:v>
                </c:pt>
                <c:pt idx="16">
                  <c:v>0.72658171509209246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96D-4B2A-A983-836EA5683827}"/>
            </c:ext>
          </c:extLst>
        </c:ser>
        <c:ser>
          <c:idx val="13"/>
          <c:order val="13"/>
          <c:tx>
            <c:strRef>
              <c:f>call!$BC$128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call!$AO$129:$AO$145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call!$BC$129:$BC$145</c:f>
              <c:numCache>
                <c:formatCode>General</c:formatCode>
                <c:ptCount val="17"/>
                <c:pt idx="0">
                  <c:v>0.50316444779050262</c:v>
                </c:pt>
                <c:pt idx="1">
                  <c:v>0.56441397997533316</c:v>
                </c:pt>
                <c:pt idx="2">
                  <c:v>0.61983217876086938</c:v>
                </c:pt>
                <c:pt idx="3">
                  <c:v>0.66892699193410787</c:v>
                </c:pt>
                <c:pt idx="4">
                  <c:v>0.71152052988955772</c:v>
                </c:pt>
                <c:pt idx="5">
                  <c:v>0.74766798153008274</c:v>
                </c:pt>
                <c:pt idx="6">
                  <c:v>0.77759056969031726</c:v>
                </c:pt>
                <c:pt idx="7">
                  <c:v>0.80162201705931713</c:v>
                </c:pt>
                <c:pt idx="8">
                  <c:v>0.8201669558401079</c:v>
                </c:pt>
                <c:pt idx="9">
                  <c:v>0.83366938178088823</c:v>
                </c:pt>
                <c:pt idx="10">
                  <c:v>0.84258928010075784</c:v>
                </c:pt>
                <c:pt idx="11">
                  <c:v>0.84738574187741256</c:v>
                </c:pt>
                <c:pt idx="12">
                  <c:v>0.84850513852620746</c:v>
                </c:pt>
                <c:pt idx="13">
                  <c:v>0.84637317449963978</c:v>
                </c:pt>
                <c:pt idx="14">
                  <c:v>0.84138986871529853</c:v>
                </c:pt>
                <c:pt idx="15">
                  <c:v>0.83392671372802984</c:v>
                </c:pt>
                <c:pt idx="16">
                  <c:v>0.82432542675759601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96D-4B2A-A983-836EA5683827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Gamma,</a:t>
            </a:r>
            <a:r>
              <a:rPr lang="it-IT" baseline="0"/>
              <a:t> volatility = 0,2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call!$F$168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call!$F$169:$F$185</c:f>
              <c:numCache>
                <c:formatCode>General</c:formatCode>
                <c:ptCount val="17"/>
                <c:pt idx="0">
                  <c:v>1.0516556577990479E-15</c:v>
                </c:pt>
                <c:pt idx="1">
                  <c:v>1.1286957540817279E-11</c:v>
                </c:pt>
                <c:pt idx="2">
                  <c:v>1.4597010892531745E-8</c:v>
                </c:pt>
                <c:pt idx="3">
                  <c:v>3.3512354645083037E-6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1.8916378586336522E-2</c:v>
                </c:pt>
                <c:pt idx="7">
                  <c:v>4.960740057577824E-2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4.2930333278127031E-3</c:v>
                </c:pt>
                <c:pt idx="12">
                  <c:v>7.1823787351586244E-4</c:v>
                </c:pt>
                <c:pt idx="13">
                  <c:v>8.4468232865850956E-5</c:v>
                </c:pt>
                <c:pt idx="14">
                  <c:v>7.2972234478141014E-6</c:v>
                </c:pt>
                <c:pt idx="15">
                  <c:v>4.8093577566927407E-7</c:v>
                </c:pt>
                <c:pt idx="16">
                  <c:v>2.4984119686305784E-8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79-4CD5-ADEE-74BA025E6ACE}"/>
            </c:ext>
          </c:extLst>
        </c:ser>
        <c:ser>
          <c:idx val="1"/>
          <c:order val="1"/>
          <c:tx>
            <c:strRef>
              <c:f>call!$G$168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call!$G$169:$G$185</c:f>
              <c:numCache>
                <c:formatCode>General</c:formatCode>
                <c:ptCount val="17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2.9265998523210969E-5</c:v>
                </c:pt>
                <c:pt idx="3">
                  <c:v>4.1746111765088789E-4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2.6739234389615497E-2</c:v>
                </c:pt>
                <c:pt idx="7">
                  <c:v>4.1300684164172589E-2</c:v>
                </c:pt>
                <c:pt idx="8">
                  <c:v>4.4502858739261325E-2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3.8068919850193204E-4</c:v>
                </c:pt>
                <c:pt idx="15">
                  <c:v>9.4556994587265296E-5</c:v>
                </c:pt>
                <c:pt idx="16">
                  <c:v>2.0876714879530865E-5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79-4CD5-ADEE-74BA025E6ACE}"/>
            </c:ext>
          </c:extLst>
        </c:ser>
        <c:ser>
          <c:idx val="2"/>
          <c:order val="2"/>
          <c:tx>
            <c:strRef>
              <c:f>call!$H$168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call!$H$169:$H$185</c:f>
              <c:numCache>
                <c:formatCode>General</c:formatCode>
                <c:ptCount val="17"/>
                <c:pt idx="0">
                  <c:v>1.6833377571562756E-6</c:v>
                </c:pt>
                <c:pt idx="1">
                  <c:v>3.382075125809169E-5</c:v>
                </c:pt>
                <c:pt idx="2">
                  <c:v>3.3795857220289099E-4</c:v>
                </c:pt>
                <c:pt idx="3">
                  <c:v>1.9093551185000324E-3</c:v>
                </c:pt>
                <c:pt idx="4">
                  <c:v>6.7361389316554273E-3</c:v>
                </c:pt>
                <c:pt idx="5">
                  <c:v>1.6048048164004219E-2</c:v>
                </c:pt>
                <c:pt idx="6">
                  <c:v>2.7482291431425852E-2</c:v>
                </c:pt>
                <c:pt idx="7">
                  <c:v>3.5581792279001198E-2</c:v>
                </c:pt>
                <c:pt idx="8">
                  <c:v>3.629557650164205E-2</c:v>
                </c:pt>
                <c:pt idx="9">
                  <c:v>3.0178399358531959E-2</c:v>
                </c:pt>
                <c:pt idx="10">
                  <c:v>2.1039503593612032E-2</c:v>
                </c:pt>
                <c:pt idx="11">
                  <c:v>1.2594003477751484E-2</c:v>
                </c:pt>
                <c:pt idx="12">
                  <c:v>6.6034037139998079E-3</c:v>
                </c:pt>
                <c:pt idx="13">
                  <c:v>3.0847927412867761E-3</c:v>
                </c:pt>
                <c:pt idx="14">
                  <c:v>1.3026922814580193E-3</c:v>
                </c:pt>
                <c:pt idx="15">
                  <c:v>5.0353481185788044E-4</c:v>
                </c:pt>
                <c:pt idx="16">
                  <c:v>1.8007849189266537E-4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79-4CD5-ADEE-74BA025E6ACE}"/>
            </c:ext>
          </c:extLst>
        </c:ser>
        <c:ser>
          <c:idx val="3"/>
          <c:order val="3"/>
          <c:tx>
            <c:strRef>
              <c:f>call!$I$168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call!$I$169:$I$185</c:f>
              <c:numCache>
                <c:formatCode>General</c:formatCode>
                <c:ptCount val="17"/>
                <c:pt idx="0">
                  <c:v>2.2064431982817092E-5</c:v>
                </c:pt>
                <c:pt idx="1">
                  <c:v>2.0218238688417126E-4</c:v>
                </c:pt>
                <c:pt idx="2">
                  <c:v>1.1000759814895978E-3</c:v>
                </c:pt>
                <c:pt idx="3">
                  <c:v>3.9113907532951544E-3</c:v>
                </c:pt>
                <c:pt idx="4">
                  <c:v>9.7884039294375211E-3</c:v>
                </c:pt>
                <c:pt idx="5">
                  <c:v>1.827895482236909E-2</c:v>
                </c:pt>
                <c:pt idx="6">
                  <c:v>2.6687880405210137E-2</c:v>
                </c:pt>
                <c:pt idx="7">
                  <c:v>3.1635322258043566E-2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4.4825674910614188E-3</c:v>
                </c:pt>
                <c:pt idx="14">
                  <c:v>2.3082701661092638E-3</c:v>
                </c:pt>
                <c:pt idx="15">
                  <c:v>1.1130292486590083E-3</c:v>
                </c:pt>
                <c:pt idx="16">
                  <c:v>5.0660659975445015E-4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79-4CD5-ADEE-74BA025E6ACE}"/>
            </c:ext>
          </c:extLst>
        </c:ser>
        <c:ser>
          <c:idx val="4"/>
          <c:order val="4"/>
          <c:tx>
            <c:strRef>
              <c:f>call!$J$168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call!$J$169:$J$185</c:f>
              <c:numCache>
                <c:formatCode>General</c:formatCode>
                <c:ptCount val="17"/>
                <c:pt idx="0">
                  <c:v>1.0070170546498096E-4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5.8617741810673696E-3</c:v>
                </c:pt>
                <c:pt idx="4">
                  <c:v>1.1937780047109168E-2</c:v>
                </c:pt>
                <c:pt idx="5">
                  <c:v>1.926193999623425E-2</c:v>
                </c:pt>
                <c:pt idx="6">
                  <c:v>2.5556533759819561E-2</c:v>
                </c:pt>
                <c:pt idx="7">
                  <c:v>2.8732281352043244E-2</c:v>
                </c:pt>
                <c:pt idx="8">
                  <c:v>2.8051246304186251E-2</c:v>
                </c:pt>
                <c:pt idx="9">
                  <c:v>2.4267506445708333E-2</c:v>
                </c:pt>
                <c:pt idx="10">
                  <c:v>1.8918485039079756E-2</c:v>
                </c:pt>
                <c:pt idx="11">
                  <c:v>1.3478753756809101E-2</c:v>
                </c:pt>
                <c:pt idx="12">
                  <c:v>8.881243547387634E-3</c:v>
                </c:pt>
                <c:pt idx="13">
                  <c:v>5.466867238047071E-3</c:v>
                </c:pt>
                <c:pt idx="14">
                  <c:v>3.1709157235184286E-3</c:v>
                </c:pt>
                <c:pt idx="15">
                  <c:v>1.7459186523562447E-3</c:v>
                </c:pt>
                <c:pt idx="16">
                  <c:v>9.1839058774420622E-4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79-4CD5-ADEE-74BA025E6ACE}"/>
            </c:ext>
          </c:extLst>
        </c:ser>
        <c:ser>
          <c:idx val="5"/>
          <c:order val="5"/>
          <c:tx>
            <c:strRef>
              <c:f>call!$K$168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call!$K$169:$K$185</c:f>
              <c:numCache>
                <c:formatCode>General</c:formatCode>
                <c:ptCount val="17"/>
                <c:pt idx="0">
                  <c:v>2.7236380704730449E-4</c:v>
                </c:pt>
                <c:pt idx="1">
                  <c:v>1.1382523244176247E-3</c:v>
                </c:pt>
                <c:pt idx="2">
                  <c:v>3.3722289783455592E-3</c:v>
                </c:pt>
                <c:pt idx="3">
                  <c:v>7.5458967272333394E-3</c:v>
                </c:pt>
                <c:pt idx="4">
                  <c:v>1.3395159432299533E-2</c:v>
                </c:pt>
                <c:pt idx="5">
                  <c:v>1.9607203543702149E-2</c:v>
                </c:pt>
                <c:pt idx="6">
                  <c:v>2.4406774147524603E-2</c:v>
                </c:pt>
                <c:pt idx="7">
                  <c:v>2.64881643942976E-2</c:v>
                </c:pt>
                <c:pt idx="8">
                  <c:v>2.5578375413499596E-2</c:v>
                </c:pt>
                <c:pt idx="9">
                  <c:v>2.234876720629585E-2</c:v>
                </c:pt>
                <c:pt idx="10">
                  <c:v>1.7916173218194179E-2</c:v>
                </c:pt>
                <c:pt idx="11">
                  <c:v>1.333267834934383E-2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3.8518254155354282E-3</c:v>
                </c:pt>
                <c:pt idx="15">
                  <c:v>2.3169614647433373E-3</c:v>
                </c:pt>
                <c:pt idx="16">
                  <c:v>1.3421930911671853E-3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79-4CD5-ADEE-74BA025E6ACE}"/>
            </c:ext>
          </c:extLst>
        </c:ser>
        <c:ser>
          <c:idx val="6"/>
          <c:order val="6"/>
          <c:tx>
            <c:strRef>
              <c:f>call!$L$168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call!$L$169:$L$185</c:f>
              <c:numCache>
                <c:formatCode>General</c:formatCode>
                <c:ptCount val="17"/>
                <c:pt idx="0">
                  <c:v>5.476048159651799E-4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8.92731806222242E-3</c:v>
                </c:pt>
                <c:pt idx="4">
                  <c:v>1.4366321033900604E-2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2.3654347961507342E-2</c:v>
                </c:pt>
                <c:pt idx="9">
                  <c:v>2.0814619144845087E-2</c:v>
                </c:pt>
                <c:pt idx="10">
                  <c:v>1.7022556226213847E-2</c:v>
                </c:pt>
                <c:pt idx="11">
                  <c:v>1.3067821328100538E-2</c:v>
                </c:pt>
                <c:pt idx="12">
                  <c:v>9.4962050866496343E-3</c:v>
                </c:pt>
                <c:pt idx="13">
                  <c:v>6.5790096216856182E-3</c:v>
                </c:pt>
                <c:pt idx="14">
                  <c:v>4.3719665660242645E-3</c:v>
                </c:pt>
                <c:pt idx="15">
                  <c:v>2.8013465758306814E-3</c:v>
                </c:pt>
                <c:pt idx="16">
                  <c:v>1.7385470025647579E-3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79-4CD5-ADEE-74BA025E6ACE}"/>
            </c:ext>
          </c:extLst>
        </c:ser>
        <c:ser>
          <c:idx val="7"/>
          <c:order val="7"/>
          <c:tx>
            <c:strRef>
              <c:f>call!$M$168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call!$M$169:$M$185</c:f>
              <c:numCache>
                <c:formatCode>General</c:formatCode>
                <c:ptCount val="17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1.0033802504733588E-2</c:v>
                </c:pt>
                <c:pt idx="4">
                  <c:v>1.5001364182628533E-2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1.9552017122180455E-2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6.8698255498420152E-3</c:v>
                </c:pt>
                <c:pt idx="14">
                  <c:v>4.763448098667143E-3</c:v>
                </c:pt>
                <c:pt idx="15">
                  <c:v>3.2002933770762325E-3</c:v>
                </c:pt>
                <c:pt idx="16">
                  <c:v>2.0914714572423773E-3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79-4CD5-ADEE-74BA025E6ACE}"/>
            </c:ext>
          </c:extLst>
        </c:ser>
        <c:ser>
          <c:idx val="8"/>
          <c:order val="8"/>
          <c:tx>
            <c:strRef>
              <c:f>call!$N$168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call!$N$169:$N$185</c:f>
              <c:numCache>
                <c:formatCode>General</c:formatCode>
                <c:ptCount val="17"/>
                <c:pt idx="0">
                  <c:v>1.3571389458380512E-3</c:v>
                </c:pt>
                <c:pt idx="1">
                  <c:v>3.3605151026574521E-3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1.5403132263133367E-2</c:v>
                </c:pt>
                <c:pt idx="5">
                  <c:v>1.9167361944162006E-2</c:v>
                </c:pt>
                <c:pt idx="6">
                  <c:v>2.1452524339852525E-2</c:v>
                </c:pt>
                <c:pt idx="7">
                  <c:v>2.1952066922098775E-2</c:v>
                </c:pt>
                <c:pt idx="8">
                  <c:v>2.0814289167512139E-2</c:v>
                </c:pt>
                <c:pt idx="9">
                  <c:v>1.8489346824041977E-2</c:v>
                </c:pt>
                <c:pt idx="10">
                  <c:v>1.5528543194402063E-2</c:v>
                </c:pt>
                <c:pt idx="11">
                  <c:v>1.2425602990436631E-2</c:v>
                </c:pt>
                <c:pt idx="12">
                  <c:v>9.5342861100476319E-3</c:v>
                </c:pt>
                <c:pt idx="13">
                  <c:v>7.0538139252298484E-3</c:v>
                </c:pt>
                <c:pt idx="14">
                  <c:v>5.0554177985015734E-3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79-4CD5-ADEE-74BA025E6ACE}"/>
            </c:ext>
          </c:extLst>
        </c:ser>
        <c:ser>
          <c:idx val="9"/>
          <c:order val="9"/>
          <c:tx>
            <c:strRef>
              <c:f>call!$O$168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call!$O$169:$O$185</c:f>
              <c:numCache>
                <c:formatCode>General</c:formatCode>
                <c:ptCount val="17"/>
                <c:pt idx="0">
                  <c:v>1.8477969471792114E-3</c:v>
                </c:pt>
                <c:pt idx="1">
                  <c:v>4.120730961321698E-3</c:v>
                </c:pt>
                <c:pt idx="2">
                  <c:v>7.5067523489369846E-3</c:v>
                </c:pt>
                <c:pt idx="3">
                  <c:v>1.1597225794774835E-2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1.2098525266351957E-2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5.2712072632879236E-3</c:v>
                </c:pt>
                <c:pt idx="15">
                  <c:v>3.7843224261389775E-3</c:v>
                </c:pt>
                <c:pt idx="16">
                  <c:v>2.6587031941631986E-3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579-4CD5-ADEE-74BA025E6ACE}"/>
            </c:ext>
          </c:extLst>
        </c:ser>
        <c:ser>
          <c:idx val="10"/>
          <c:order val="10"/>
          <c:tx>
            <c:strRef>
              <c:f>call!$P$168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call!$P$169:$P$185</c:f>
              <c:numCache>
                <c:formatCode>General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1.1624159945686186E-2</c:v>
                </c:pt>
                <c:pt idx="3">
                  <c:v>1.3601749391133745E-2</c:v>
                </c:pt>
                <c:pt idx="4">
                  <c:v>1.4928999083209108E-2</c:v>
                </c:pt>
                <c:pt idx="5">
                  <c:v>1.5538821309956893E-2</c:v>
                </c:pt>
                <c:pt idx="6">
                  <c:v>1.5471684475151492E-2</c:v>
                </c:pt>
                <c:pt idx="7">
                  <c:v>1.4840061535306964E-2</c:v>
                </c:pt>
                <c:pt idx="8">
                  <c:v>1.3790926583135297E-2</c:v>
                </c:pt>
                <c:pt idx="9">
                  <c:v>1.2475292570391813E-2</c:v>
                </c:pt>
                <c:pt idx="10">
                  <c:v>1.1028059378052651E-2</c:v>
                </c:pt>
                <c:pt idx="11">
                  <c:v>9.5576676672171137E-3</c:v>
                </c:pt>
                <c:pt idx="12">
                  <c:v>8.1432630811320347E-3</c:v>
                </c:pt>
                <c:pt idx="13">
                  <c:v>6.8366861897907428E-3</c:v>
                </c:pt>
                <c:pt idx="14">
                  <c:v>5.6669702285113378E-3</c:v>
                </c:pt>
                <c:pt idx="15">
                  <c:v>4.6456697775222452E-3</c:v>
                </c:pt>
                <c:pt idx="16">
                  <c:v>3.7719785580502142E-3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579-4CD5-ADEE-74BA025E6ACE}"/>
            </c:ext>
          </c:extLst>
        </c:ser>
        <c:ser>
          <c:idx val="11"/>
          <c:order val="11"/>
          <c:tx>
            <c:strRef>
              <c:f>call!$Q$168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call!$Q$169:$Q$185</c:f>
              <c:numCache>
                <c:formatCode>General</c:formatCode>
                <c:ptCount val="17"/>
                <c:pt idx="0">
                  <c:v>9.1771016304238069E-3</c:v>
                </c:pt>
                <c:pt idx="1">
                  <c:v>1.0920849507992854E-2</c:v>
                </c:pt>
                <c:pt idx="2">
                  <c:v>1.2233016676571298E-2</c:v>
                </c:pt>
                <c:pt idx="3">
                  <c:v>1.3047996011475228E-2</c:v>
                </c:pt>
                <c:pt idx="4">
                  <c:v>1.3370603439876852E-2</c:v>
                </c:pt>
                <c:pt idx="5">
                  <c:v>1.3255131727717093E-2</c:v>
                </c:pt>
                <c:pt idx="6">
                  <c:v>1.2783505889003443E-2</c:v>
                </c:pt>
                <c:pt idx="7">
                  <c:v>1.2047161650680642E-2</c:v>
                </c:pt>
                <c:pt idx="8">
                  <c:v>1.1134276551152785E-2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8.0369990403848391E-3</c:v>
                </c:pt>
                <c:pt idx="12">
                  <c:v>7.0460051549628569E-3</c:v>
                </c:pt>
                <c:pt idx="13">
                  <c:v>6.1230240136718661E-3</c:v>
                </c:pt>
                <c:pt idx="14">
                  <c:v>5.2808038728821569E-3</c:v>
                </c:pt>
                <c:pt idx="15">
                  <c:v>4.5248469998567693E-3</c:v>
                </c:pt>
                <c:pt idx="16">
                  <c:v>3.855415263882422E-3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579-4CD5-ADEE-74BA025E6ACE}"/>
            </c:ext>
          </c:extLst>
        </c:ser>
        <c:ser>
          <c:idx val="12"/>
          <c:order val="12"/>
          <c:tx>
            <c:strRef>
              <c:f>call!$R$168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call!$R$169:$R$185</c:f>
              <c:numCache>
                <c:formatCode>General</c:formatCode>
                <c:ptCount val="17"/>
                <c:pt idx="0">
                  <c:v>1.0313315500073911E-2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1.205928909750143E-2</c:v>
                </c:pt>
                <c:pt idx="5">
                  <c:v>1.1667493720574828E-2</c:v>
                </c:pt>
                <c:pt idx="6">
                  <c:v>1.1074310697636874E-2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4.858308981287961E-3</c:v>
                </c:pt>
                <c:pt idx="15">
                  <c:v>4.2559078918170063E-3</c:v>
                </c:pt>
                <c:pt idx="16">
                  <c:v>3.7147763845488606E-3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579-4CD5-ADEE-74BA025E6ACE}"/>
            </c:ext>
          </c:extLst>
        </c:ser>
        <c:ser>
          <c:idx val="13"/>
          <c:order val="13"/>
          <c:tx>
            <c:strRef>
              <c:f>call!$S$168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call!$E$169:$E$185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call!$S$169:$S$185</c:f>
              <c:numCache>
                <c:formatCode>General</c:formatCode>
                <c:ptCount val="17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1.1343634002882847E-2</c:v>
                </c:pt>
                <c:pt idx="4">
                  <c:v>1.1002627628314172E-2</c:v>
                </c:pt>
                <c:pt idx="5">
                  <c:v>1.0490736571836447E-2</c:v>
                </c:pt>
                <c:pt idx="6">
                  <c:v>9.8625457284395694E-3</c:v>
                </c:pt>
                <c:pt idx="7">
                  <c:v>9.1641696406864273E-3</c:v>
                </c:pt>
                <c:pt idx="8">
                  <c:v>8.4326874401380626E-3</c:v>
                </c:pt>
                <c:pt idx="9">
                  <c:v>7.6966219777363501E-3</c:v>
                </c:pt>
                <c:pt idx="10">
                  <c:v>6.9769553505238452E-3</c:v>
                </c:pt>
                <c:pt idx="11">
                  <c:v>6.2883493733863101E-3</c:v>
                </c:pt>
                <c:pt idx="12">
                  <c:v>5.6403714114604637E-3</c:v>
                </c:pt>
                <c:pt idx="13">
                  <c:v>5.0386172534840883E-3</c:v>
                </c:pt>
                <c:pt idx="14">
                  <c:v>4.4856819490140861E-3</c:v>
                </c:pt>
                <c:pt idx="15">
                  <c:v>3.9819655859202495E-3</c:v>
                </c:pt>
                <c:pt idx="16">
                  <c:v>3.5263212434632854E-3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579-4CD5-ADEE-74BA025E6ACE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Gamma,</a:t>
            </a:r>
            <a:r>
              <a:rPr lang="it-IT" baseline="0"/>
              <a:t> volatility = 0,1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call!$X$168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call!$X$169:$X$185</c:f>
              <c:numCache>
                <c:formatCode>General</c:formatCode>
                <c:ptCount val="17"/>
                <c:pt idx="0">
                  <c:v>9.8181668070309793E-58</c:v>
                </c:pt>
                <c:pt idx="1">
                  <c:v>1.867554133449226E-41</c:v>
                </c:pt>
                <c:pt idx="2">
                  <c:v>7.2920970083606921E-29</c:v>
                </c:pt>
                <c:pt idx="3">
                  <c:v>2.7634460319906583E-19</c:v>
                </c:pt>
                <c:pt idx="4">
                  <c:v>3.3905822708430664E-12</c:v>
                </c:pt>
                <c:pt idx="5">
                  <c:v>3.4793158250122268E-7</c:v>
                </c:pt>
                <c:pt idx="6">
                  <c:v>6.3723381042931433E-4</c:v>
                </c:pt>
                <c:pt idx="7">
                  <c:v>3.8441261874572009E-2</c:v>
                </c:pt>
                <c:pt idx="8">
                  <c:v>0.12601477970020517</c:v>
                </c:pt>
                <c:pt idx="9">
                  <c:v>3.3926069444668298E-2</c:v>
                </c:pt>
                <c:pt idx="10">
                  <c:v>1.0577125055269182E-3</c:v>
                </c:pt>
                <c:pt idx="11">
                  <c:v>5.0939285700327113E-6</c:v>
                </c:pt>
                <c:pt idx="12">
                  <c:v>4.8333065983836828E-9</c:v>
                </c:pt>
                <c:pt idx="13">
                  <c:v>1.1110259985098475E-12</c:v>
                </c:pt>
                <c:pt idx="14">
                  <c:v>7.382971539826821E-17</c:v>
                </c:pt>
                <c:pt idx="15">
                  <c:v>1.6508431991277696E-21</c:v>
                </c:pt>
                <c:pt idx="16">
                  <c:v>1.4160803501951785E-26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F-4875-82A5-6B7A9A21EE53}"/>
            </c:ext>
          </c:extLst>
        </c:ser>
        <c:ser>
          <c:idx val="1"/>
          <c:order val="1"/>
          <c:tx>
            <c:strRef>
              <c:f>call!$Y$168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call!$Y$169:$Y$185</c:f>
              <c:numCache>
                <c:formatCode>General</c:formatCode>
                <c:ptCount val="17"/>
                <c:pt idx="0">
                  <c:v>1.4877614568192042E-29</c:v>
                </c:pt>
                <c:pt idx="1">
                  <c:v>1.8565304082520428E-21</c:v>
                </c:pt>
                <c:pt idx="2">
                  <c:v>3.3439581371571196E-15</c:v>
                </c:pt>
                <c:pt idx="3">
                  <c:v>1.8884525527510619E-10</c:v>
                </c:pt>
                <c:pt idx="4">
                  <c:v>6.1021351588952594E-7</c:v>
                </c:pt>
                <c:pt idx="5">
                  <c:v>1.8120927891742718E-4</c:v>
                </c:pt>
                <c:pt idx="6">
                  <c:v>7.2202698909513228E-3</c:v>
                </c:pt>
                <c:pt idx="7">
                  <c:v>5.2414503254015789E-2</c:v>
                </c:pt>
                <c:pt idx="8">
                  <c:v>8.900571747852265E-2</c:v>
                </c:pt>
                <c:pt idx="9">
                  <c:v>4.3449753071981678E-2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1.9995476488667826E-7</c:v>
                </c:pt>
                <c:pt idx="14">
                  <c:v>1.5520066218442012E-9</c:v>
                </c:pt>
                <c:pt idx="15">
                  <c:v>7.0007225305255789E-12</c:v>
                </c:pt>
                <c:pt idx="16">
                  <c:v>1.9592554647687471E-14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EF-4875-82A5-6B7A9A21EE53}"/>
            </c:ext>
          </c:extLst>
        </c:ser>
        <c:ser>
          <c:idx val="2"/>
          <c:order val="2"/>
          <c:tx>
            <c:strRef>
              <c:f>call!$Z$168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call!$Z$169:$Z$185</c:f>
              <c:numCache>
                <c:formatCode>General</c:formatCode>
                <c:ptCount val="17"/>
                <c:pt idx="0">
                  <c:v>3.37158866065404E-20</c:v>
                </c:pt>
                <c:pt idx="1">
                  <c:v>7.8761142092033303E-15</c:v>
                </c:pt>
                <c:pt idx="2">
                  <c:v>1.0961347486332838E-10</c:v>
                </c:pt>
                <c:pt idx="3">
                  <c:v>1.523320979336045E-7</c:v>
                </c:pt>
                <c:pt idx="4">
                  <c:v>3.1551352715495974E-5</c:v>
                </c:pt>
                <c:pt idx="5">
                  <c:v>1.3351896003566946E-3</c:v>
                </c:pt>
                <c:pt idx="6">
                  <c:v>1.4851555899595284E-2</c:v>
                </c:pt>
                <c:pt idx="7">
                  <c:v>5.3227540948401555E-2</c:v>
                </c:pt>
                <c:pt idx="8">
                  <c:v>7.2591153003284101E-2</c:v>
                </c:pt>
                <c:pt idx="9">
                  <c:v>4.3212117686085322E-2</c:v>
                </c:pt>
                <c:pt idx="10">
                  <c:v>1.2585716288856262E-2</c:v>
                </c:pt>
                <c:pt idx="11">
                  <c:v>1.9736239926009705E-3</c:v>
                </c:pt>
                <c:pt idx="12">
                  <c:v>1.8065746203269195E-4</c:v>
                </c:pt>
                <c:pt idx="13">
                  <c:v>1.0338747257813656E-5</c:v>
                </c:pt>
                <c:pt idx="14">
                  <c:v>3.9226661156427291E-7</c:v>
                </c:pt>
                <c:pt idx="15">
                  <c:v>1.0377407251949267E-8</c:v>
                </c:pt>
                <c:pt idx="16">
                  <c:v>1.9993666289338829E-10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EF-4875-82A5-6B7A9A21EE53}"/>
            </c:ext>
          </c:extLst>
        </c:ser>
        <c:ser>
          <c:idx val="3"/>
          <c:order val="3"/>
          <c:tx>
            <c:strRef>
              <c:f>call!$AA$168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call!$AA$169:$AA$185</c:f>
              <c:numCache>
                <c:formatCode>General</c:formatCode>
                <c:ptCount val="17"/>
                <c:pt idx="0">
                  <c:v>1.5374265651823462E-15</c:v>
                </c:pt>
                <c:pt idx="1">
                  <c:v>1.5539109604002787E-11</c:v>
                </c:pt>
                <c:pt idx="2">
                  <c:v>1.9009673521623235E-8</c:v>
                </c:pt>
                <c:pt idx="3">
                  <c:v>4.1442242901485517E-6</c:v>
                </c:pt>
                <c:pt idx="4">
                  <c:v>2.1731776002153873E-4</c:v>
                </c:pt>
                <c:pt idx="5">
                  <c:v>3.4716293491663338E-3</c:v>
                </c:pt>
                <c:pt idx="6">
                  <c:v>2.0402828136932075E-2</c:v>
                </c:pt>
                <c:pt idx="7">
                  <c:v>5.1379281037838447E-2</c:v>
                </c:pt>
                <c:pt idx="8">
                  <c:v>6.2795098352771264E-2</c:v>
                </c:pt>
                <c:pt idx="9">
                  <c:v>4.1278492158452369E-2</c:v>
                </c:pt>
                <c:pt idx="10">
                  <c:v>1.5896481134192911E-2</c:v>
                </c:pt>
                <c:pt idx="11">
                  <c:v>3.8527882067153165E-3</c:v>
                </c:pt>
                <c:pt idx="12">
                  <c:v>6.2433347878451597E-4</c:v>
                </c:pt>
                <c:pt idx="13">
                  <c:v>7.1210683603857566E-5</c:v>
                </c:pt>
                <c:pt idx="14">
                  <c:v>5.9735759091088035E-6</c:v>
                </c:pt>
                <c:pt idx="15">
                  <c:v>3.8271106091862608E-7</c:v>
                </c:pt>
                <c:pt idx="16">
                  <c:v>1.9346494359707462E-8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EF-4875-82A5-6B7A9A21EE53}"/>
            </c:ext>
          </c:extLst>
        </c:ser>
        <c:ser>
          <c:idx val="4"/>
          <c:order val="4"/>
          <c:tx>
            <c:strRef>
              <c:f>call!$AB$168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call!$AB$169:$AB$185</c:f>
              <c:numCache>
                <c:formatCode>General</c:formatCode>
                <c:ptCount val="17"/>
                <c:pt idx="0">
                  <c:v>9.3540877738932821E-13</c:v>
                </c:pt>
                <c:pt idx="1">
                  <c:v>1.4365666725428593E-9</c:v>
                </c:pt>
                <c:pt idx="2">
                  <c:v>4.0857545005606393E-7</c:v>
                </c:pt>
                <c:pt idx="3">
                  <c:v>2.9313355232607553E-5</c:v>
                </c:pt>
                <c:pt idx="4">
                  <c:v>6.7417515498728662E-4</c:v>
                </c:pt>
                <c:pt idx="5">
                  <c:v>6.0028678035568004E-3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5.6102492608372502E-2</c:v>
                </c:pt>
                <c:pt idx="9">
                  <c:v>3.9140464152421513E-2</c:v>
                </c:pt>
                <c:pt idx="10">
                  <c:v>1.7823213843019738E-2</c:v>
                </c:pt>
                <c:pt idx="11">
                  <c:v>5.6093527215653792E-3</c:v>
                </c:pt>
                <c:pt idx="12">
                  <c:v>1.2805137235044073E-3</c:v>
                </c:pt>
                <c:pt idx="13">
                  <c:v>2.2091371478623331E-4</c:v>
                </c:pt>
                <c:pt idx="14">
                  <c:v>2.9830284442140869E-5</c:v>
                </c:pt>
                <c:pt idx="15">
                  <c:v>3.2491629195180632E-6</c:v>
                </c:pt>
                <c:pt idx="16">
                  <c:v>2.9299443269233372E-7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EF-4875-82A5-6B7A9A21EE53}"/>
            </c:ext>
          </c:extLst>
        </c:ser>
        <c:ser>
          <c:idx val="5"/>
          <c:order val="5"/>
          <c:tx>
            <c:strRef>
              <c:f>call!$AC$168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call!$AC$169:$AC$185</c:f>
              <c:numCache>
                <c:formatCode>General</c:formatCode>
                <c:ptCount val="17"/>
                <c:pt idx="0">
                  <c:v>6.6022100125859387E-11</c:v>
                </c:pt>
                <c:pt idx="1">
                  <c:v>2.8871903156587544E-8</c:v>
                </c:pt>
                <c:pt idx="2">
                  <c:v>3.1047063387496907E-6</c:v>
                </c:pt>
                <c:pt idx="3">
                  <c:v>1.0617694808839046E-4</c:v>
                </c:pt>
                <c:pt idx="4">
                  <c:v>1.4096380488958426E-3</c:v>
                </c:pt>
                <c:pt idx="5">
                  <c:v>8.5007827825346483E-3</c:v>
                </c:pt>
                <c:pt idx="6">
                  <c:v>2.6396354113062123E-2</c:v>
                </c:pt>
                <c:pt idx="7">
                  <c:v>4.6706228570157653E-2</c:v>
                </c:pt>
                <c:pt idx="8">
                  <c:v>5.1156750826999192E-2</c:v>
                </c:pt>
                <c:pt idx="9">
                  <c:v>3.7134472308525492E-2</c:v>
                </c:pt>
                <c:pt idx="10">
                  <c:v>1.8908593172743498E-2</c:v>
                </c:pt>
                <c:pt idx="11">
                  <c:v>7.0830615084530833E-3</c:v>
                </c:pt>
                <c:pt idx="12">
                  <c:v>2.0319475824949751E-3</c:v>
                </c:pt>
                <c:pt idx="13">
                  <c:v>4.6191019586218834E-4</c:v>
                </c:pt>
                <c:pt idx="14">
                  <c:v>8.5668780985105099E-5</c:v>
                </c:pt>
                <c:pt idx="15">
                  <c:v>1.3291938562945936E-5</c:v>
                </c:pt>
                <c:pt idx="16">
                  <c:v>1.7629795738939588E-6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EF-4875-82A5-6B7A9A21EE53}"/>
            </c:ext>
          </c:extLst>
        </c:ser>
        <c:ser>
          <c:idx val="6"/>
          <c:order val="6"/>
          <c:tx>
            <c:strRef>
              <c:f>call!$AD$168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call!$AD$169:$AD$185</c:f>
              <c:numCache>
                <c:formatCode>General</c:formatCode>
                <c:ptCount val="17"/>
                <c:pt idx="0">
                  <c:v>1.3641015888556874E-9</c:v>
                </c:pt>
                <c:pt idx="1">
                  <c:v>2.4319945667214557E-7</c:v>
                </c:pt>
                <c:pt idx="2">
                  <c:v>1.3055468334454289E-5</c:v>
                </c:pt>
                <c:pt idx="3">
                  <c:v>2.630006185665992E-4</c:v>
                </c:pt>
                <c:pt idx="4">
                  <c:v>2.3582196949555514E-3</c:v>
                </c:pt>
                <c:pt idx="5">
                  <c:v>1.0765981199439559E-2</c:v>
                </c:pt>
                <c:pt idx="6">
                  <c:v>2.7859621858699932E-2</c:v>
                </c:pt>
                <c:pt idx="7">
                  <c:v>4.4567221413124178E-2</c:v>
                </c:pt>
                <c:pt idx="8">
                  <c:v>4.7308695923014683E-2</c:v>
                </c:pt>
                <c:pt idx="9">
                  <c:v>3.5328302741473985E-2</c:v>
                </c:pt>
                <c:pt idx="10">
                  <c:v>1.9483332622964505E-2</c:v>
                </c:pt>
                <c:pt idx="11">
                  <c:v>8.2651375479295131E-3</c:v>
                </c:pt>
                <c:pt idx="12">
                  <c:v>2.7913416838140047E-3</c:v>
                </c:pt>
                <c:pt idx="13">
                  <c:v>7.7274142964303314E-4</c:v>
                </c:pt>
                <c:pt idx="14">
                  <c:v>1.7978334895153025E-4</c:v>
                </c:pt>
                <c:pt idx="15">
                  <c:v>3.591421503332701E-5</c:v>
                </c:pt>
                <c:pt idx="16">
                  <c:v>6.2750755529855403E-6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EF-4875-82A5-6B7A9A21EE53}"/>
            </c:ext>
          </c:extLst>
        </c:ser>
        <c:ser>
          <c:idx val="7"/>
          <c:order val="7"/>
          <c:tx>
            <c:strRef>
              <c:f>call!$AE$168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call!$AE$169:$AE$185</c:f>
              <c:numCache>
                <c:formatCode>General</c:formatCode>
                <c:ptCount val="17"/>
                <c:pt idx="0">
                  <c:v>1.309790020055326E-8</c:v>
                </c:pt>
                <c:pt idx="1">
                  <c:v>1.191420089105155E-6</c:v>
                </c:pt>
                <c:pt idx="2">
                  <c:v>3.7984667450688666E-5</c:v>
                </c:pt>
                <c:pt idx="3">
                  <c:v>5.1450381124671068E-4</c:v>
                </c:pt>
                <c:pt idx="4">
                  <c:v>3.4369932223750686E-3</c:v>
                </c:pt>
                <c:pt idx="5">
                  <c:v>1.2734636942227625E-2</c:v>
                </c:pt>
                <c:pt idx="6">
                  <c:v>2.8743231871235127E-2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3.3718545937390321E-2</c:v>
                </c:pt>
                <c:pt idx="10">
                  <c:v>1.9742547542846399E-2</c:v>
                </c:pt>
                <c:pt idx="11">
                  <c:v>9.19409140342148E-3</c:v>
                </c:pt>
                <c:pt idx="12">
                  <c:v>3.5093388466936421E-3</c:v>
                </c:pt>
                <c:pt idx="13">
                  <c:v>1.1262339391078598E-3</c:v>
                </c:pt>
                <c:pt idx="14">
                  <c:v>3.1058576900406615E-4</c:v>
                </c:pt>
                <c:pt idx="15">
                  <c:v>7.4991466396696723E-5</c:v>
                </c:pt>
                <c:pt idx="16">
                  <c:v>1.6111450652008537E-5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EEF-4875-82A5-6B7A9A21EE53}"/>
            </c:ext>
          </c:extLst>
        </c:ser>
        <c:ser>
          <c:idx val="8"/>
          <c:order val="8"/>
          <c:tx>
            <c:strRef>
              <c:f>call!$AF$168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call!$AF$169:$AF$185</c:f>
              <c:numCache>
                <c:formatCode>General</c:formatCode>
                <c:ptCount val="17"/>
                <c:pt idx="0">
                  <c:v>7.5530633187758507E-8</c:v>
                </c:pt>
                <c:pt idx="1">
                  <c:v>4.070790527191798E-6</c:v>
                </c:pt>
                <c:pt idx="2">
                  <c:v>8.6540937665519212E-5</c:v>
                </c:pt>
                <c:pt idx="3">
                  <c:v>8.6084583659867776E-4</c:v>
                </c:pt>
                <c:pt idx="4">
                  <c:v>4.5738968285542487E-3</c:v>
                </c:pt>
                <c:pt idx="5">
                  <c:v>1.4407206646598534E-2</c:v>
                </c:pt>
                <c:pt idx="6">
                  <c:v>2.92381675347584E-2</c:v>
                </c:pt>
                <c:pt idx="7">
                  <c:v>4.0888684659269078E-2</c:v>
                </c:pt>
                <c:pt idx="8">
                  <c:v>4.1628578335024279E-2</c:v>
                </c:pt>
                <c:pt idx="9">
                  <c:v>3.2283704705699037E-2</c:v>
                </c:pt>
                <c:pt idx="10">
                  <c:v>1.9803191408745976E-2</c:v>
                </c:pt>
                <c:pt idx="11">
                  <c:v>9.9164315716425769E-3</c:v>
                </c:pt>
                <c:pt idx="12">
                  <c:v>4.1630686520652081E-3</c:v>
                </c:pt>
                <c:pt idx="13">
                  <c:v>1.4987745127806541E-3</c:v>
                </c:pt>
                <c:pt idx="14">
                  <c:v>4.7175720539731353E-4</c:v>
                </c:pt>
                <c:pt idx="15">
                  <c:v>1.3199891273585568E-4</c:v>
                </c:pt>
                <c:pt idx="16">
                  <c:v>3.3305383198972798E-5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EF-4875-82A5-6B7A9A21EE53}"/>
            </c:ext>
          </c:extLst>
        </c:ser>
        <c:ser>
          <c:idx val="9"/>
          <c:order val="9"/>
          <c:tx>
            <c:strRef>
              <c:f>call!$AG$168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call!$AG$169:$AG$185</c:f>
              <c:numCache>
                <c:formatCode>General</c:formatCode>
                <c:ptCount val="17"/>
                <c:pt idx="0">
                  <c:v>3.0503159925846618E-7</c:v>
                </c:pt>
                <c:pt idx="1">
                  <c:v>1.0815693509621721E-5</c:v>
                </c:pt>
                <c:pt idx="2">
                  <c:v>1.6626343859570738E-4</c:v>
                </c:pt>
                <c:pt idx="3">
                  <c:v>1.2919311227899835E-3</c:v>
                </c:pt>
                <c:pt idx="4">
                  <c:v>5.7155372876400018E-3</c:v>
                </c:pt>
                <c:pt idx="5">
                  <c:v>1.5810256172317034E-2</c:v>
                </c:pt>
                <c:pt idx="6">
                  <c:v>2.9469063817634214E-2</c:v>
                </c:pt>
                <c:pt idx="7">
                  <c:v>3.9317306319057527E-2</c:v>
                </c:pt>
                <c:pt idx="8">
                  <c:v>3.9447933090788895E-2</c:v>
                </c:pt>
                <c:pt idx="9">
                  <c:v>3.0999845988993836E-2</c:v>
                </c:pt>
                <c:pt idx="10">
                  <c:v>1.9737190221859439E-2</c:v>
                </c:pt>
                <c:pt idx="11">
                  <c:v>1.0474112849205519E-2</c:v>
                </c:pt>
                <c:pt idx="12">
                  <c:v>4.7451367772989453E-3</c:v>
                </c:pt>
                <c:pt idx="13">
                  <c:v>1.8728672584138728E-3</c:v>
                </c:pt>
                <c:pt idx="14">
                  <c:v>6.552887034285054E-4</c:v>
                </c:pt>
                <c:pt idx="15">
                  <c:v>2.0630117799148997E-4</c:v>
                </c:pt>
                <c:pt idx="16">
                  <c:v>5.9197424706742759E-5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EEF-4875-82A5-6B7A9A21EE53}"/>
            </c:ext>
          </c:extLst>
        </c:ser>
        <c:ser>
          <c:idx val="10"/>
          <c:order val="10"/>
          <c:tx>
            <c:strRef>
              <c:f>call!$AH$168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call!$AH$169:$AH$185</c:f>
              <c:numCache>
                <c:formatCode>General</c:formatCode>
                <c:ptCount val="17"/>
                <c:pt idx="0">
                  <c:v>1.4524281869372614E-4</c:v>
                </c:pt>
                <c:pt idx="1">
                  <c:v>7.8252244975754123E-4</c:v>
                </c:pt>
                <c:pt idx="2">
                  <c:v>2.7966437332461501E-3</c:v>
                </c:pt>
                <c:pt idx="3">
                  <c:v>7.1516197776597054E-3</c:v>
                </c:pt>
                <c:pt idx="4">
                  <c:v>1.3876417664915321E-2</c:v>
                </c:pt>
                <c:pt idx="5">
                  <c:v>2.1394744871527756E-2</c:v>
                </c:pt>
                <c:pt idx="6">
                  <c:v>2.7195143108108635E-2</c:v>
                </c:pt>
                <c:pt idx="7">
                  <c:v>2.9359502161316497E-2</c:v>
                </c:pt>
                <c:pt idx="8">
                  <c:v>2.7581853166270594E-2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1.193431892911874E-2</c:v>
                </c:pt>
                <c:pt idx="12">
                  <c:v>7.6165645282489083E-3</c:v>
                </c:pt>
                <c:pt idx="13">
                  <c:v>4.5470245404394486E-3</c:v>
                </c:pt>
                <c:pt idx="14">
                  <c:v>2.5609344709387875E-3</c:v>
                </c:pt>
                <c:pt idx="15">
                  <c:v>1.3707080362701774E-3</c:v>
                </c:pt>
                <c:pt idx="16">
                  <c:v>7.016211594893701E-4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EF-4875-82A5-6B7A9A21EE53}"/>
            </c:ext>
          </c:extLst>
        </c:ser>
        <c:ser>
          <c:idx val="11"/>
          <c:order val="11"/>
          <c:tx>
            <c:strRef>
              <c:f>call!$AI$168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call!$AI$169:$AI$185</c:f>
              <c:numCache>
                <c:formatCode>General</c:formatCode>
                <c:ptCount val="17"/>
                <c:pt idx="0">
                  <c:v>1.0316841901525141E-3</c:v>
                </c:pt>
                <c:pt idx="1">
                  <c:v>2.966058949873731E-3</c:v>
                </c:pt>
                <c:pt idx="2">
                  <c:v>6.5180762218454997E-3</c:v>
                </c:pt>
                <c:pt idx="3">
                  <c:v>1.150786954283289E-2</c:v>
                </c:pt>
                <c:pt idx="4">
                  <c:v>1.6964964604488354E-2</c:v>
                </c:pt>
                <c:pt idx="5">
                  <c:v>2.152609940586208E-2</c:v>
                </c:pt>
                <c:pt idx="6">
                  <c:v>2.4084363839664259E-2</c:v>
                </c:pt>
                <c:pt idx="7">
                  <c:v>2.4229204673908024E-2</c:v>
                </c:pt>
                <c:pt idx="8">
                  <c:v>2.226855310230557E-2</c:v>
                </c:pt>
                <c:pt idx="9">
                  <c:v>1.8944723118837964E-2</c:v>
                </c:pt>
                <c:pt idx="10">
                  <c:v>1.5081963394812057E-2</c:v>
                </c:pt>
                <c:pt idx="11">
                  <c:v>1.1338612960202372E-2</c:v>
                </c:pt>
                <c:pt idx="12">
                  <c:v>8.1120649104783824E-3</c:v>
                </c:pt>
                <c:pt idx="13">
                  <c:v>5.5590796015987437E-3</c:v>
                </c:pt>
                <c:pt idx="14">
                  <c:v>3.669350702524464E-3</c:v>
                </c:pt>
                <c:pt idx="15">
                  <c:v>2.3440212104340022E-3</c:v>
                </c:pt>
                <c:pt idx="16">
                  <c:v>1.4551400495073856E-3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EEF-4875-82A5-6B7A9A21EE53}"/>
            </c:ext>
          </c:extLst>
        </c:ser>
        <c:ser>
          <c:idx val="12"/>
          <c:order val="12"/>
          <c:tx>
            <c:strRef>
              <c:f>call!$AJ$168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call!$AJ$169:$AJ$185</c:f>
              <c:numCache>
                <c:formatCode>General</c:formatCode>
                <c:ptCount val="17"/>
                <c:pt idx="0">
                  <c:v>2.6204952010288863E-3</c:v>
                </c:pt>
                <c:pt idx="1">
                  <c:v>5.5034091875470386E-3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2.0578086869191912E-2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1.6384783361470954E-2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7.978625905498065E-3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  <c:pt idx="16">
                  <c:v>1.9971762450752021E-3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EEF-4875-82A5-6B7A9A21EE53}"/>
            </c:ext>
          </c:extLst>
        </c:ser>
        <c:ser>
          <c:idx val="13"/>
          <c:order val="13"/>
          <c:tx>
            <c:strRef>
              <c:f>call!$AK$168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call!$W$169:$W$185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call!$AK$169:$AK$185</c:f>
              <c:numCache>
                <c:formatCode>General</c:formatCode>
                <c:ptCount val="17"/>
                <c:pt idx="0">
                  <c:v>4.4499754398238511E-3</c:v>
                </c:pt>
                <c:pt idx="1">
                  <c:v>7.7406121902881767E-3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1.7906989830010489E-2</c:v>
                </c:pt>
                <c:pt idx="5">
                  <c:v>1.9442006249843845E-2</c:v>
                </c:pt>
                <c:pt idx="6">
                  <c:v>1.9641714650531644E-2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1.4577547243302307E-2</c:v>
                </c:pt>
                <c:pt idx="10">
                  <c:v>1.2135644435772964E-2</c:v>
                </c:pt>
                <c:pt idx="11">
                  <c:v>9.7818031211006871E-3</c:v>
                </c:pt>
                <c:pt idx="12">
                  <c:v>7.6679346587994893E-3</c:v>
                </c:pt>
                <c:pt idx="13">
                  <c:v>5.8677624274978343E-3</c:v>
                </c:pt>
                <c:pt idx="14">
                  <c:v>4.3973494544828021E-3</c:v>
                </c:pt>
                <c:pt idx="15">
                  <c:v>3.2361150487909911E-3</c:v>
                </c:pt>
                <c:pt idx="16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EEF-4875-82A5-6B7A9A21EE53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Gamma,</a:t>
            </a:r>
            <a:r>
              <a:rPr lang="it-IT" baseline="0"/>
              <a:t> volatility = 0,3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call!$AP$168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call!$AP$169:$AP$185</c:f>
              <c:numCache>
                <c:formatCode>General</c:formatCode>
                <c:ptCount val="17"/>
                <c:pt idx="0">
                  <c:v>4.8371729163416155E-8</c:v>
                </c:pt>
                <c:pt idx="1">
                  <c:v>2.7992835519207707E-6</c:v>
                </c:pt>
                <c:pt idx="2">
                  <c:v>6.3562115182022813E-5</c:v>
                </c:pt>
                <c:pt idx="3">
                  <c:v>6.7225819369320027E-4</c:v>
                </c:pt>
                <c:pt idx="4">
                  <c:v>3.7827836741325775E-3</c:v>
                </c:pt>
                <c:pt idx="5">
                  <c:v>1.257501258451457E-2</c:v>
                </c:pt>
                <c:pt idx="6">
                  <c:v>2.6849994493107564E-2</c:v>
                </c:pt>
                <c:pt idx="7">
                  <c:v>3.9397555493342631E-2</c:v>
                </c:pt>
                <c:pt idx="8">
                  <c:v>4.1981596977461719E-2</c:v>
                </c:pt>
                <c:pt idx="9">
                  <c:v>3.4000529020197359E-2</c:v>
                </c:pt>
                <c:pt idx="10">
                  <c:v>2.1736822486638243E-2</c:v>
                </c:pt>
                <c:pt idx="11">
                  <c:v>1.132338909622355E-2</c:v>
                </c:pt>
                <c:pt idx="12">
                  <c:v>4.9370130845059279E-3</c:v>
                </c:pt>
                <c:pt idx="13">
                  <c:v>1.8430873083992024E-3</c:v>
                </c:pt>
                <c:pt idx="14">
                  <c:v>6.0071558236562614E-4</c:v>
                </c:pt>
                <c:pt idx="15">
                  <c:v>1.7381608681207663E-4</c:v>
                </c:pt>
                <c:pt idx="16">
                  <c:v>4.5297412812204596E-5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F-4DBA-9093-64DF0B13A7D5}"/>
            </c:ext>
          </c:extLst>
        </c:ser>
        <c:ser>
          <c:idx val="1"/>
          <c:order val="1"/>
          <c:tx>
            <c:strRef>
              <c:f>call!$AQ$168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call!$AQ$169:$AQ$185</c:f>
              <c:numCache>
                <c:formatCode>General</c:formatCode>
                <c:ptCount val="17"/>
                <c:pt idx="0">
                  <c:v>4.8005602280442924E-5</c:v>
                </c:pt>
                <c:pt idx="1">
                  <c:v>3.4238659642402488E-4</c:v>
                </c:pt>
                <c:pt idx="2">
                  <c:v>1.5369719040112578E-3</c:v>
                </c:pt>
                <c:pt idx="3">
                  <c:v>4.7282210181891805E-3</c:v>
                </c:pt>
                <c:pt idx="4">
                  <c:v>1.0647723775453427E-2</c:v>
                </c:pt>
                <c:pt idx="5">
                  <c:v>1.8488250396357001E-2</c:v>
                </c:pt>
                <c:pt idx="6">
                  <c:v>2.5799834788109949E-2</c:v>
                </c:pt>
                <c:pt idx="7">
                  <c:v>2.9920175402764988E-2</c:v>
                </c:pt>
                <c:pt idx="8">
                  <c:v>2.963562571944587E-2</c:v>
                </c:pt>
                <c:pt idx="9">
                  <c:v>2.5642378317564656E-2</c:v>
                </c:pt>
                <c:pt idx="10">
                  <c:v>1.9748701502398165E-2</c:v>
                </c:pt>
                <c:pt idx="11">
                  <c:v>1.3752363931184045E-2</c:v>
                </c:pt>
                <c:pt idx="12">
                  <c:v>8.7746917760978451E-3</c:v>
                </c:pt>
                <c:pt idx="13">
                  <c:v>5.1878950118337827E-3</c:v>
                </c:pt>
                <c:pt idx="14">
                  <c:v>2.8696661309163176E-3</c:v>
                </c:pt>
                <c:pt idx="15">
                  <c:v>1.4974023713320017E-3</c:v>
                </c:pt>
                <c:pt idx="16">
                  <c:v>7.4234719458286542E-4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BF-4DBA-9093-64DF0B13A7D5}"/>
            </c:ext>
          </c:extLst>
        </c:ser>
        <c:ser>
          <c:idx val="2"/>
          <c:order val="2"/>
          <c:tx>
            <c:strRef>
              <c:f>call!$AR$168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call!$AR$169:$AR$185</c:f>
              <c:numCache>
                <c:formatCode>General</c:formatCode>
                <c:ptCount val="17"/>
                <c:pt idx="0">
                  <c:v>4.3836057898992084E-4</c:v>
                </c:pt>
                <c:pt idx="1">
                  <c:v>1.5558922158995416E-3</c:v>
                </c:pt>
                <c:pt idx="2">
                  <c:v>4.068752351690158E-3</c:v>
                </c:pt>
                <c:pt idx="3">
                  <c:v>8.2932442565351976E-3</c:v>
                </c:pt>
                <c:pt idx="4">
                  <c:v>1.3762943653982111E-2</c:v>
                </c:pt>
                <c:pt idx="5">
                  <c:v>1.9245583173855805E-2</c:v>
                </c:pt>
                <c:pt idx="6">
                  <c:v>2.3306691732956811E-2</c:v>
                </c:pt>
                <c:pt idx="7">
                  <c:v>2.4990132225163456E-2</c:v>
                </c:pt>
                <c:pt idx="8">
                  <c:v>2.4156756171112039E-2</c:v>
                </c:pt>
                <c:pt idx="9">
                  <c:v>2.1367578691690259E-2</c:v>
                </c:pt>
                <c:pt idx="10">
                  <c:v>1.7510243021562302E-2</c:v>
                </c:pt>
                <c:pt idx="11">
                  <c:v>1.3432302518922605E-2</c:v>
                </c:pt>
                <c:pt idx="12">
                  <c:v>9.7303217208305585E-3</c:v>
                </c:pt>
                <c:pt idx="13">
                  <c:v>6.7057249264153365E-3</c:v>
                </c:pt>
                <c:pt idx="14">
                  <c:v>4.4244401962093716E-3</c:v>
                </c:pt>
                <c:pt idx="15">
                  <c:v>2.810137033792519E-3</c:v>
                </c:pt>
                <c:pt idx="16">
                  <c:v>1.7261999326371321E-3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BF-4DBA-9093-64DF0B13A7D5}"/>
            </c:ext>
          </c:extLst>
        </c:ser>
        <c:ser>
          <c:idx val="3"/>
          <c:order val="3"/>
          <c:tx>
            <c:strRef>
              <c:f>call!$AS$168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call!$AS$169:$AS$185</c:f>
              <c:numCache>
                <c:formatCode>General</c:formatCode>
                <c:ptCount val="17"/>
                <c:pt idx="0">
                  <c:v>1.2684980236185482E-3</c:v>
                </c:pt>
                <c:pt idx="1">
                  <c:v>3.1761382873591237E-3</c:v>
                </c:pt>
                <c:pt idx="2">
                  <c:v>6.3393895489089105E-3</c:v>
                </c:pt>
                <c:pt idx="3">
                  <c:v>1.0517834159617734E-2</c:v>
                </c:pt>
                <c:pt idx="4">
                  <c:v>1.4983978051139487E-2</c:v>
                </c:pt>
                <c:pt idx="5">
                  <c:v>1.8803436356655608E-2</c:v>
                </c:pt>
                <c:pt idx="6">
                  <c:v>2.1212946857819128E-2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1.8678514542129088E-2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9.8121320272589463E-3</c:v>
                </c:pt>
                <c:pt idx="13">
                  <c:v>7.3006500382870035E-3</c:v>
                </c:pt>
                <c:pt idx="14">
                  <c:v>5.2609033868653314E-3</c:v>
                </c:pt>
                <c:pt idx="15">
                  <c:v>3.6864683342030654E-3</c:v>
                </c:pt>
                <c:pt idx="16">
                  <c:v>2.5207026945741878E-3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BF-4DBA-9093-64DF0B13A7D5}"/>
            </c:ext>
          </c:extLst>
        </c:ser>
        <c:ser>
          <c:idx val="4"/>
          <c:order val="4"/>
          <c:tx>
            <c:strRef>
              <c:f>call!$AT$168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call!$AT$169:$AT$185</c:f>
              <c:numCache>
                <c:formatCode>General</c:formatCode>
                <c:ptCount val="17"/>
                <c:pt idx="0">
                  <c:v>2.3382957957450985E-3</c:v>
                </c:pt>
                <c:pt idx="1">
                  <c:v>4.7488233231175484E-3</c:v>
                </c:pt>
                <c:pt idx="2">
                  <c:v>8.0599773466249677E-3</c:v>
                </c:pt>
                <c:pt idx="3">
                  <c:v>1.1819037433225307E-2</c:v>
                </c:pt>
                <c:pt idx="4">
                  <c:v>1.5364246918448029E-2</c:v>
                </c:pt>
                <c:pt idx="5">
                  <c:v>1.8068228988525181E-2</c:v>
                </c:pt>
                <c:pt idx="6">
                  <c:v>1.9534751872486739E-2</c:v>
                </c:pt>
                <c:pt idx="7">
                  <c:v>1.9671994336736283E-2</c:v>
                </c:pt>
                <c:pt idx="8">
                  <c:v>1.8648956198552002E-2</c:v>
                </c:pt>
                <c:pt idx="9">
                  <c:v>1.6789169768697557E-2</c:v>
                </c:pt>
                <c:pt idx="10">
                  <c:v>1.4458770943216178E-2</c:v>
                </c:pt>
                <c:pt idx="11">
                  <c:v>1.1984095247208172E-2</c:v>
                </c:pt>
                <c:pt idx="12">
                  <c:v>9.6090347795308416E-3</c:v>
                </c:pt>
                <c:pt idx="13">
                  <c:v>7.4859286012427398E-3</c:v>
                </c:pt>
                <c:pt idx="14">
                  <c:v>5.6874317310270693E-3</c:v>
                </c:pt>
                <c:pt idx="15">
                  <c:v>4.2274159872265253E-3</c:v>
                </c:pt>
                <c:pt idx="16">
                  <c:v>3.0825818422678905E-3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BF-4DBA-9093-64DF0B13A7D5}"/>
            </c:ext>
          </c:extLst>
        </c:ser>
        <c:ser>
          <c:idx val="5"/>
          <c:order val="5"/>
          <c:tx>
            <c:strRef>
              <c:f>call!$AU$168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call!$AU$169:$AU$185</c:f>
              <c:numCache>
                <c:formatCode>General</c:formatCode>
                <c:ptCount val="17"/>
                <c:pt idx="0">
                  <c:v>3.4549517028754717E-3</c:v>
                </c:pt>
                <c:pt idx="1">
                  <c:v>6.1025757786037126E-3</c:v>
                </c:pt>
                <c:pt idx="2">
                  <c:v>9.2966719191608007E-3</c:v>
                </c:pt>
                <c:pt idx="3">
                  <c:v>1.2555154567235544E-2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1.8172524320191757E-2</c:v>
                </c:pt>
                <c:pt idx="7">
                  <c:v>1.8015399304984771E-2</c:v>
                </c:pt>
                <c:pt idx="8">
                  <c:v>1.6995504070964788E-2</c:v>
                </c:pt>
                <c:pt idx="9">
                  <c:v>1.5368208376167369E-2</c:v>
                </c:pt>
                <c:pt idx="10">
                  <c:v>1.3400367884206782E-2</c:v>
                </c:pt>
                <c:pt idx="11">
                  <c:v>1.132386000635301E-2</c:v>
                </c:pt>
                <c:pt idx="12">
                  <c:v>9.313082481780104E-3</c:v>
                </c:pt>
                <c:pt idx="13">
                  <c:v>7.4811990466972442E-3</c:v>
                </c:pt>
                <c:pt idx="14">
                  <c:v>5.8878427994134399E-3</c:v>
                </c:pt>
                <c:pt idx="15">
                  <c:v>4.5518443181372789E-3</c:v>
                </c:pt>
                <c:pt idx="16">
                  <c:v>3.4645436604697206E-3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BF-4DBA-9093-64DF0B13A7D5}"/>
            </c:ext>
          </c:extLst>
        </c:ser>
        <c:ser>
          <c:idx val="6"/>
          <c:order val="6"/>
          <c:tx>
            <c:strRef>
              <c:f>call!$AV$168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call!$AV$169:$AV$185</c:f>
              <c:numCache>
                <c:formatCode>General</c:formatCode>
                <c:ptCount val="17"/>
                <c:pt idx="0">
                  <c:v>4.5096296845151063E-3</c:v>
                </c:pt>
                <c:pt idx="1">
                  <c:v>7.2096701015754924E-3</c:v>
                </c:pt>
                <c:pt idx="2">
                  <c:v>1.0167303762997196E-2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1.6550341873979184E-2</c:v>
                </c:pt>
                <c:pt idx="6">
                  <c:v>1.7044687194816176E-2</c:v>
                </c:pt>
                <c:pt idx="7">
                  <c:v>1.6709061466729101E-2</c:v>
                </c:pt>
                <c:pt idx="8">
                  <c:v>1.5708358311106813E-2</c:v>
                </c:pt>
                <c:pt idx="9">
                  <c:v>1.4249101786859477E-2</c:v>
                </c:pt>
                <c:pt idx="10">
                  <c:v>1.253521869678631E-2</c:v>
                </c:pt>
                <c:pt idx="11">
                  <c:v>1.074020246658062E-2</c:v>
                </c:pt>
                <c:pt idx="12">
                  <c:v>8.9946864621100828E-3</c:v>
                </c:pt>
                <c:pt idx="13">
                  <c:v>7.3853698760191324E-3</c:v>
                </c:pt>
                <c:pt idx="14">
                  <c:v>5.9606848610583791E-3</c:v>
                </c:pt>
                <c:pt idx="15">
                  <c:v>4.7393843504899566E-3</c:v>
                </c:pt>
                <c:pt idx="16">
                  <c:v>3.7194597267081694E-3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BF-4DBA-9093-64DF0B13A7D5}"/>
            </c:ext>
          </c:extLst>
        </c:ser>
        <c:ser>
          <c:idx val="7"/>
          <c:order val="7"/>
          <c:tx>
            <c:strRef>
              <c:f>call!$AW$168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call!$AW$169:$AW$185</c:f>
              <c:numCache>
                <c:formatCode>General</c:formatCode>
                <c:ptCount val="17"/>
                <c:pt idx="0">
                  <c:v>5.4555892387964204E-3</c:v>
                </c:pt>
                <c:pt idx="1">
                  <c:v>8.0936358441935641E-3</c:v>
                </c:pt>
                <c:pt idx="2">
                  <c:v>1.0771870609204376E-2</c:v>
                </c:pt>
                <c:pt idx="3">
                  <c:v>1.3124825156577539E-2</c:v>
                </c:pt>
                <c:pt idx="4">
                  <c:v>1.4871858249720597E-2</c:v>
                </c:pt>
                <c:pt idx="5">
                  <c:v>1.5865759347980533E-2</c:v>
                </c:pt>
                <c:pt idx="6">
                  <c:v>1.6093332217008625E-2</c:v>
                </c:pt>
                <c:pt idx="7">
                  <c:v>1.5644431582997612E-2</c:v>
                </c:pt>
                <c:pt idx="8">
                  <c:v>1.4669150678135831E-2</c:v>
                </c:pt>
                <c:pt idx="9">
                  <c:v>1.3337894677823489E-2</c:v>
                </c:pt>
                <c:pt idx="10">
                  <c:v>1.1811904293602783E-2</c:v>
                </c:pt>
                <c:pt idx="11">
                  <c:v>1.022592397572397E-2</c:v>
                </c:pt>
                <c:pt idx="12">
                  <c:v>8.6812461969082502E-3</c:v>
                </c:pt>
                <c:pt idx="13">
                  <c:v>7.2460218594597326E-3</c:v>
                </c:pt>
                <c:pt idx="14">
                  <c:v>5.9597458042224315E-3</c:v>
                </c:pt>
                <c:pt idx="15">
                  <c:v>4.8394882133299885E-3</c:v>
                </c:pt>
                <c:pt idx="16">
                  <c:v>3.8862598492258598E-3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BF-4DBA-9093-64DF0B13A7D5}"/>
            </c:ext>
          </c:extLst>
        </c:ser>
        <c:ser>
          <c:idx val="8"/>
          <c:order val="8"/>
          <c:tx>
            <c:strRef>
              <c:f>call!$AX$168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call!$AX$169:$AX$185</c:f>
              <c:numCache>
                <c:formatCode>General</c:formatCode>
                <c:ptCount val="17"/>
                <c:pt idx="0">
                  <c:v>6.2802722099484769E-3</c:v>
                </c:pt>
                <c:pt idx="1">
                  <c:v>8.7907122230331206E-3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1.4546046008012571E-2</c:v>
                </c:pt>
                <c:pt idx="5">
                  <c:v>1.5240725494598826E-2</c:v>
                </c:pt>
                <c:pt idx="6">
                  <c:v>1.5277763824001958E-2</c:v>
                </c:pt>
                <c:pt idx="7">
                  <c:v>1.4754868041798963E-2</c:v>
                </c:pt>
                <c:pt idx="8">
                  <c:v>1.38069849781331E-2</c:v>
                </c:pt>
                <c:pt idx="9">
                  <c:v>1.2577052515957671E-2</c:v>
                </c:pt>
                <c:pt idx="10">
                  <c:v>1.1195871235951033E-2</c:v>
                </c:pt>
                <c:pt idx="11">
                  <c:v>9.7710707636894881E-3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5.91545955769436E-3</c:v>
                </c:pt>
                <c:pt idx="15">
                  <c:v>4.8828534679731259E-3</c:v>
                </c:pt>
                <c:pt idx="16">
                  <c:v>3.9917562221930339E-3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BF-4DBA-9093-64DF0B13A7D5}"/>
            </c:ext>
          </c:extLst>
        </c:ser>
        <c:ser>
          <c:idx val="9"/>
          <c:order val="9"/>
          <c:tx>
            <c:strRef>
              <c:f>call!$AY$168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call!$AY$169:$AY$185</c:f>
              <c:numCache>
                <c:formatCode>General</c:formatCode>
                <c:ptCount val="17"/>
                <c:pt idx="0">
                  <c:v>6.9875383385906865E-3</c:v>
                </c:pt>
                <c:pt idx="1">
                  <c:v>9.336082432746199E-3</c:v>
                </c:pt>
                <c:pt idx="2">
                  <c:v>1.1458084787714838E-2</c:v>
                </c:pt>
                <c:pt idx="3">
                  <c:v>1.3124994619891275E-2</c:v>
                </c:pt>
                <c:pt idx="4">
                  <c:v>1.4206432265572274E-2</c:v>
                </c:pt>
                <c:pt idx="5">
                  <c:v>1.4671609392337215E-2</c:v>
                </c:pt>
                <c:pt idx="6">
                  <c:v>1.4568912566910487E-2</c:v>
                </c:pt>
                <c:pt idx="7">
                  <c:v>1.3996906305568681E-2</c:v>
                </c:pt>
                <c:pt idx="8">
                  <c:v>1.3076461848524425E-2</c:v>
                </c:pt>
                <c:pt idx="9">
                  <c:v>1.1929120878360656E-2</c:v>
                </c:pt>
                <c:pt idx="10">
                  <c:v>1.0663126660408761E-2</c:v>
                </c:pt>
                <c:pt idx="11">
                  <c:v>9.3663445595425308E-3</c:v>
                </c:pt>
                <c:pt idx="12">
                  <c:v>8.1043460458643263E-3</c:v>
                </c:pt>
                <c:pt idx="13">
                  <c:v>6.9218060724324558E-3</c:v>
                </c:pt>
                <c:pt idx="14">
                  <c:v>5.8456577452828994E-3</c:v>
                </c:pt>
                <c:pt idx="15">
                  <c:v>4.8888801197403868E-3</c:v>
                </c:pt>
                <c:pt idx="16">
                  <c:v>4.0542081615406221E-3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BF-4DBA-9093-64DF0B13A7D5}"/>
            </c:ext>
          </c:extLst>
        </c:ser>
        <c:ser>
          <c:idx val="10"/>
          <c:order val="10"/>
          <c:tx>
            <c:strRef>
              <c:f>call!$AZ$168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call!$AZ$169:$AZ$185</c:f>
              <c:numCache>
                <c:formatCode>General</c:formatCode>
                <c:ptCount val="17"/>
                <c:pt idx="0">
                  <c:v>1.0030097674802637E-2</c:v>
                </c:pt>
                <c:pt idx="1">
                  <c:v>1.0869825982032193E-2</c:v>
                </c:pt>
                <c:pt idx="2">
                  <c:v>1.1344091423781007E-2</c:v>
                </c:pt>
                <c:pt idx="3">
                  <c:v>1.1484873818246508E-2</c:v>
                </c:pt>
                <c:pt idx="4">
                  <c:v>1.1343327721716881E-2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9.8037554378220954E-3</c:v>
                </c:pt>
                <c:pt idx="8">
                  <c:v>9.092361475410371E-3</c:v>
                </c:pt>
                <c:pt idx="9">
                  <c:v>8.3496184427614972E-3</c:v>
                </c:pt>
                <c:pt idx="10">
                  <c:v>7.603783522576131E-3</c:v>
                </c:pt>
                <c:pt idx="11">
                  <c:v>6.8757669831697628E-3</c:v>
                </c:pt>
                <c:pt idx="12">
                  <c:v>6.1802445927498402E-3</c:v>
                </c:pt>
                <c:pt idx="13">
                  <c:v>5.5268144202571534E-3</c:v>
                </c:pt>
                <c:pt idx="14">
                  <c:v>4.9210815203458436E-3</c:v>
                </c:pt>
                <c:pt idx="15">
                  <c:v>4.3656123603575472E-3</c:v>
                </c:pt>
                <c:pt idx="16">
                  <c:v>3.8607380733035749E-3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BF-4DBA-9093-64DF0B13A7D5}"/>
            </c:ext>
          </c:extLst>
        </c:ser>
        <c:ser>
          <c:idx val="11"/>
          <c:order val="11"/>
          <c:tx>
            <c:strRef>
              <c:f>call!$BA$168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call!$BA$169:$BA$185</c:f>
              <c:numCache>
                <c:formatCode>General</c:formatCode>
                <c:ptCount val="17"/>
                <c:pt idx="0">
                  <c:v>1.025398028665004E-2</c:v>
                </c:pt>
                <c:pt idx="1">
                  <c:v>1.0363399155444456E-2</c:v>
                </c:pt>
                <c:pt idx="2">
                  <c:v>1.0246666696571999E-2</c:v>
                </c:pt>
                <c:pt idx="3">
                  <c:v>9.9554811818721202E-3</c:v>
                </c:pt>
                <c:pt idx="4">
                  <c:v>9.5371649510801234E-3</c:v>
                </c:pt>
                <c:pt idx="5">
                  <c:v>9.0324238181826739E-3</c:v>
                </c:pt>
                <c:pt idx="6">
                  <c:v>8.4747143075524275E-3</c:v>
                </c:pt>
                <c:pt idx="7">
                  <c:v>7.8905317151781781E-3</c:v>
                </c:pt>
                <c:pt idx="8">
                  <c:v>7.3001620980094519E-3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5.1171548019673802E-3</c:v>
                </c:pt>
                <c:pt idx="13">
                  <c:v>4.6467969605679992E-3</c:v>
                </c:pt>
                <c:pt idx="14">
                  <c:v>4.2111102732515695E-3</c:v>
                </c:pt>
                <c:pt idx="15">
                  <c:v>3.8099337821083405E-3</c:v>
                </c:pt>
                <c:pt idx="16">
                  <c:v>3.4423268142812504E-3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BF-4DBA-9093-64DF0B13A7D5}"/>
            </c:ext>
          </c:extLst>
        </c:ser>
        <c:ser>
          <c:idx val="12"/>
          <c:order val="12"/>
          <c:tx>
            <c:strRef>
              <c:f>call!$BB$168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call!$BB$169:$BB$185</c:f>
              <c:numCache>
                <c:formatCode>General</c:formatCode>
                <c:ptCount val="17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9.2553580000514068E-3</c:v>
                </c:pt>
                <c:pt idx="3">
                  <c:v>8.8091587418353094E-3</c:v>
                </c:pt>
                <c:pt idx="4">
                  <c:v>8.3111834375704362E-3</c:v>
                </c:pt>
                <c:pt idx="5">
                  <c:v>7.7865829825335157E-3</c:v>
                </c:pt>
                <c:pt idx="6">
                  <c:v>7.2541928646975579E-3</c:v>
                </c:pt>
                <c:pt idx="7">
                  <c:v>6.727711143982254E-3</c:v>
                </c:pt>
                <c:pt idx="8">
                  <c:v>6.2167667801221425E-3</c:v>
                </c:pt>
                <c:pt idx="9">
                  <c:v>5.7278335105389287E-3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  <c:pt idx="16">
                  <c:v>3.0892079723303248E-3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BF-4DBA-9093-64DF0B13A7D5}"/>
            </c:ext>
          </c:extLst>
        </c:ser>
        <c:ser>
          <c:idx val="13"/>
          <c:order val="13"/>
          <c:tx>
            <c:strRef>
              <c:f>call!$BC$168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call!$AO$169:$AO$185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call!$BC$169:$BC$185</c:f>
              <c:numCache>
                <c:formatCode>General</c:formatCode>
                <c:ptCount val="17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6.8988971767481684E-3</c:v>
                </c:pt>
                <c:pt idx="6">
                  <c:v>6.399922384282445E-3</c:v>
                </c:pt>
                <c:pt idx="7">
                  <c:v>5.9214922774464777E-3</c:v>
                </c:pt>
                <c:pt idx="8">
                  <c:v>5.4677797056007201E-3</c:v>
                </c:pt>
                <c:pt idx="9">
                  <c:v>5.0410846970877594E-3</c:v>
                </c:pt>
                <c:pt idx="10">
                  <c:v>4.6423651796185005E-3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3.3190921842812561E-3</c:v>
                </c:pt>
                <c:pt idx="15">
                  <c:v>3.0504863785204566E-3</c:v>
                </c:pt>
                <c:pt idx="16">
                  <c:v>2.8038279821686937E-3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BF-4DBA-9093-64DF0B13A7D5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Delta,</a:t>
            </a:r>
            <a:r>
              <a:rPr lang="it-IT" baseline="0"/>
              <a:t> volatility = 0,2</a:t>
            </a:r>
          </a:p>
        </c:rich>
      </c:tx>
      <c:layout>
        <c:manualLayout>
          <c:xMode val="edge"/>
          <c:yMode val="edge"/>
          <c:x val="0.36749300087489067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put!$F$10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put!$F$11:$F$27</c:f>
              <c:numCache>
                <c:formatCode>General</c:formatCode>
                <c:ptCount val="17"/>
                <c:pt idx="0">
                  <c:v>-0.99999999999999956</c:v>
                </c:pt>
                <c:pt idx="1">
                  <c:v>-0.99999999999328104</c:v>
                </c:pt>
                <c:pt idx="2">
                  <c:v>-0.99999998878249752</c:v>
                </c:pt>
                <c:pt idx="3">
                  <c:v>-0.99999662175436721</c:v>
                </c:pt>
                <c:pt idx="4">
                  <c:v>-0.99975001751527426</c:v>
                </c:pt>
                <c:pt idx="5">
                  <c:v>-0.99416909186209745</c:v>
                </c:pt>
                <c:pt idx="6">
                  <c:v>-0.94721845000306515</c:v>
                </c:pt>
                <c:pt idx="7">
                  <c:v>-0.77744241537585546</c:v>
                </c:pt>
                <c:pt idx="8">
                  <c:v>-0.48108360000070371</c:v>
                </c:pt>
                <c:pt idx="9">
                  <c:v>-0.20642903973843518</c:v>
                </c:pt>
                <c:pt idx="10">
                  <c:v>-6.0042081945350878E-2</c:v>
                </c:pt>
                <c:pt idx="11">
                  <c:v>-1.1995775931455177E-2</c:v>
                </c:pt>
                <c:pt idx="12">
                  <c:v>-1.6937680607602701E-3</c:v>
                </c:pt>
                <c:pt idx="13">
                  <c:v>-1.7468373585427521E-4</c:v>
                </c:pt>
                <c:pt idx="14">
                  <c:v>-1.3596859818609808E-5</c:v>
                </c:pt>
                <c:pt idx="15">
                  <c:v>-8.2356076314127336E-7</c:v>
                </c:pt>
                <c:pt idx="16">
                  <c:v>-3.9911703275663513E-8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3-4BC6-BC8C-4C73FAEAFDE6}"/>
            </c:ext>
          </c:extLst>
        </c:ser>
        <c:ser>
          <c:idx val="1"/>
          <c:order val="1"/>
          <c:tx>
            <c:strRef>
              <c:f>put!$G$10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put!$G$11:$G$27</c:f>
              <c:numCache>
                <c:formatCode>General</c:formatCode>
                <c:ptCount val="17"/>
                <c:pt idx="0">
                  <c:v>-0.99999999169868692</c:v>
                </c:pt>
                <c:pt idx="1">
                  <c:v>-0.99999897897324108</c:v>
                </c:pt>
                <c:pt idx="2">
                  <c:v>-0.99995584753698585</c:v>
                </c:pt>
                <c:pt idx="3">
                  <c:v>-0.99918169321756944</c:v>
                </c:pt>
                <c:pt idx="4">
                  <c:v>-0.99240335756181086</c:v>
                </c:pt>
                <c:pt idx="5">
                  <c:v>-0.95993522017554</c:v>
                </c:pt>
                <c:pt idx="6">
                  <c:v>-0.86669093075219805</c:v>
                </c:pt>
                <c:pt idx="7">
                  <c:v>-0.6937101065655854</c:v>
                </c:pt>
                <c:pt idx="8">
                  <c:v>-0.4732581961130774</c:v>
                </c:pt>
                <c:pt idx="9">
                  <c:v>-0.27007947091758511</c:v>
                </c:pt>
                <c:pt idx="10">
                  <c:v>-0.12867385834263267</c:v>
                </c:pt>
                <c:pt idx="11">
                  <c:v>-5.1585835851565065E-2</c:v>
                </c:pt>
                <c:pt idx="12">
                  <c:v>-1.7623946568294802E-2</c:v>
                </c:pt>
                <c:pt idx="13">
                  <c:v>-5.2050226213751216E-3</c:v>
                </c:pt>
                <c:pt idx="14">
                  <c:v>-1.3481100199207452E-3</c:v>
                </c:pt>
                <c:pt idx="15">
                  <c:v>-3.1040784564706492E-4</c:v>
                </c:pt>
                <c:pt idx="16">
                  <c:v>-6.4344002938532263E-5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D3-4BC6-BC8C-4C73FAEAFDE6}"/>
            </c:ext>
          </c:extLst>
        </c:ser>
        <c:ser>
          <c:idx val="2"/>
          <c:order val="2"/>
          <c:tx>
            <c:strRef>
              <c:f>put!$H$10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put!$H$11:$H$27</c:f>
              <c:numCache>
                <c:formatCode>General</c:formatCode>
                <c:ptCount val="17"/>
                <c:pt idx="0">
                  <c:v>-0.99999768643466735</c:v>
                </c:pt>
                <c:pt idx="1">
                  <c:v>-0.99994102148184927</c:v>
                </c:pt>
                <c:pt idx="2">
                  <c:v>-0.99924777425081568</c:v>
                </c:pt>
                <c:pt idx="3">
                  <c:v>-0.99452056537245881</c:v>
                </c:pt>
                <c:pt idx="4">
                  <c:v>-0.9746998607162608</c:v>
                </c:pt>
                <c:pt idx="5">
                  <c:v>-0.91945718869685844</c:v>
                </c:pt>
                <c:pt idx="6">
                  <c:v>-0.81047475187222251</c:v>
                </c:pt>
                <c:pt idx="7">
                  <c:v>-0.65028247031978481</c:v>
                </c:pt>
                <c:pt idx="8">
                  <c:v>-0.46726038328732289</c:v>
                </c:pt>
                <c:pt idx="9">
                  <c:v>-0.29890598798456558</c:v>
                </c:pt>
                <c:pt idx="10">
                  <c:v>-0.17049339258313845</c:v>
                </c:pt>
                <c:pt idx="11">
                  <c:v>-8.7231124066456167E-2</c:v>
                </c:pt>
                <c:pt idx="12">
                  <c:v>-4.0360415238651415E-2</c:v>
                </c:pt>
                <c:pt idx="13">
                  <c:v>-1.7038009338831372E-2</c:v>
                </c:pt>
                <c:pt idx="14">
                  <c:v>-6.6207821485191332E-3</c:v>
                </c:pt>
                <c:pt idx="15">
                  <c:v>-2.3882986824037555E-3</c:v>
                </c:pt>
                <c:pt idx="16">
                  <c:v>-8.060304662809159E-4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D3-4BC6-BC8C-4C73FAEAFDE6}"/>
            </c:ext>
          </c:extLst>
        </c:ser>
        <c:ser>
          <c:idx val="3"/>
          <c:order val="3"/>
          <c:tx>
            <c:strRef>
              <c:f>put!$I$10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put!$I$11:$I$27</c:f>
              <c:numCache>
                <c:formatCode>General</c:formatCode>
                <c:ptCount val="17"/>
                <c:pt idx="0">
                  <c:v>-0.99995986002457549</c:v>
                </c:pt>
                <c:pt idx="1">
                  <c:v>-0.99953480118587623</c:v>
                </c:pt>
                <c:pt idx="2">
                  <c:v>-0.99678390000441497</c:v>
                </c:pt>
                <c:pt idx="3">
                  <c:v>-0.98535117473071088</c:v>
                </c:pt>
                <c:pt idx="4">
                  <c:v>-0.95246472444071939</c:v>
                </c:pt>
                <c:pt idx="5">
                  <c:v>-0.88296827878765527</c:v>
                </c:pt>
                <c:pt idx="6">
                  <c:v>-0.76976698530142718</c:v>
                </c:pt>
                <c:pt idx="7">
                  <c:v>-0.62196313433435235</c:v>
                </c:pt>
                <c:pt idx="8">
                  <c:v>-0.46220970609333534</c:v>
                </c:pt>
                <c:pt idx="9">
                  <c:v>-0.31540451463442376</c:v>
                </c:pt>
                <c:pt idx="10">
                  <c:v>-0.19811834940327067</c:v>
                </c:pt>
                <c:pt idx="11">
                  <c:v>-0.11511171694608568</c:v>
                </c:pt>
                <c:pt idx="12">
                  <c:v>-6.2238931546006571E-2</c:v>
                </c:pt>
                <c:pt idx="13">
                  <c:v>-3.1515482917612858E-2</c:v>
                </c:pt>
                <c:pt idx="14">
                  <c:v>-1.5039825106780258E-2</c:v>
                </c:pt>
                <c:pt idx="15">
                  <c:v>-6.8048459046240461E-3</c:v>
                </c:pt>
                <c:pt idx="16">
                  <c:v>-2.9353699446743597E-3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D3-4BC6-BC8C-4C73FAEAFDE6}"/>
            </c:ext>
          </c:extLst>
        </c:ser>
        <c:ser>
          <c:idx val="4"/>
          <c:order val="4"/>
          <c:tx>
            <c:strRef>
              <c:f>put!$J$10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put!$J$11:$J$27</c:f>
              <c:numCache>
                <c:formatCode>General</c:formatCode>
                <c:ptCount val="17"/>
                <c:pt idx="0">
                  <c:v>-0.99977256658213121</c:v>
                </c:pt>
                <c:pt idx="1">
                  <c:v>-0.99835909338440354</c:v>
                </c:pt>
                <c:pt idx="2">
                  <c:v>-0.99215411365915518</c:v>
                </c:pt>
                <c:pt idx="3">
                  <c:v>-0.9730819773171373</c:v>
                </c:pt>
                <c:pt idx="4">
                  <c:v>-0.9294621704192243</c:v>
                </c:pt>
                <c:pt idx="5">
                  <c:v>-0.8515527963544558</c:v>
                </c:pt>
                <c:pt idx="6">
                  <c:v>-0.73857075243609782</c:v>
                </c:pt>
                <c:pt idx="7">
                  <c:v>-0.60126869861810672</c:v>
                </c:pt>
                <c:pt idx="8">
                  <c:v>-0.45776498668838594</c:v>
                </c:pt>
                <c:pt idx="9">
                  <c:v>-0.32597150372142969</c:v>
                </c:pt>
                <c:pt idx="10">
                  <c:v>-0.21769227036615268</c:v>
                </c:pt>
                <c:pt idx="11">
                  <c:v>-0.1369046562965619</c:v>
                </c:pt>
                <c:pt idx="12">
                  <c:v>-8.1466598279311575E-2</c:v>
                </c:pt>
                <c:pt idx="13">
                  <c:v>-4.6097676148000866E-2</c:v>
                </c:pt>
                <c:pt idx="14">
                  <c:v>-2.4924261663526792E-2</c:v>
                </c:pt>
                <c:pt idx="15">
                  <c:v>-1.2936058934507999E-2</c:v>
                </c:pt>
                <c:pt idx="16">
                  <c:v>-6.4724055303690964E-3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D3-4BC6-BC8C-4C73FAEAFDE6}"/>
            </c:ext>
          </c:extLst>
        </c:ser>
        <c:ser>
          <c:idx val="5"/>
          <c:order val="5"/>
          <c:tx>
            <c:strRef>
              <c:f>put!$K$10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put!$K$11:$K$27</c:f>
              <c:numCache>
                <c:formatCode>General</c:formatCode>
                <c:ptCount val="17"/>
                <c:pt idx="0">
                  <c:v>-0.99926660684650404</c:v>
                </c:pt>
                <c:pt idx="1">
                  <c:v>-0.99614488265403034</c:v>
                </c:pt>
                <c:pt idx="2">
                  <c:v>-0.98559722139706984</c:v>
                </c:pt>
                <c:pt idx="3">
                  <c:v>-0.95913982788824037</c:v>
                </c:pt>
                <c:pt idx="4">
                  <c:v>-0.90728100884537732</c:v>
                </c:pt>
                <c:pt idx="5">
                  <c:v>-0.82455533749048882</c:v>
                </c:pt>
                <c:pt idx="6">
                  <c:v>-0.71359220714545868</c:v>
                </c:pt>
                <c:pt idx="7">
                  <c:v>-0.58508019991269511</c:v>
                </c:pt>
                <c:pt idx="8">
                  <c:v>-0.45375117893531969</c:v>
                </c:pt>
                <c:pt idx="9">
                  <c:v>-0.33318741279258823</c:v>
                </c:pt>
                <c:pt idx="10">
                  <c:v>-0.23226313823370348</c:v>
                </c:pt>
                <c:pt idx="11">
                  <c:v>-0.15425607458895985</c:v>
                </c:pt>
                <c:pt idx="12">
                  <c:v>-9.7993409558041256E-2</c:v>
                </c:pt>
                <c:pt idx="13">
                  <c:v>-5.9785719848803098E-2</c:v>
                </c:pt>
                <c:pt idx="14">
                  <c:v>-3.5167783159818167E-2</c:v>
                </c:pt>
                <c:pt idx="15">
                  <c:v>-2.0019016420614544E-2</c:v>
                </c:pt>
                <c:pt idx="16">
                  <c:v>-1.1065603183766148E-2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D3-4BC6-BC8C-4C73FAEAFDE6}"/>
            </c:ext>
          </c:extLst>
        </c:ser>
        <c:ser>
          <c:idx val="6"/>
          <c:order val="6"/>
          <c:tx>
            <c:strRef>
              <c:f>put!$L$10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put!$L$11:$L$27</c:f>
              <c:numCache>
                <c:formatCode>General</c:formatCode>
                <c:ptCount val="17"/>
                <c:pt idx="0">
                  <c:v>-0.99829022958946334</c:v>
                </c:pt>
                <c:pt idx="1">
                  <c:v>-0.99283576290387021</c:v>
                </c:pt>
                <c:pt idx="2">
                  <c:v>-0.97757408881603791</c:v>
                </c:pt>
                <c:pt idx="3">
                  <c:v>-0.94450176292646359</c:v>
                </c:pt>
                <c:pt idx="4">
                  <c:v>-0.88648382673497528</c:v>
                </c:pt>
                <c:pt idx="5">
                  <c:v>-0.80115036351573243</c:v>
                </c:pt>
                <c:pt idx="6">
                  <c:v>-0.69292219222946605</c:v>
                </c:pt>
                <c:pt idx="7">
                  <c:v>-0.57183075677667916</c:v>
                </c:pt>
                <c:pt idx="8">
                  <c:v>-0.45006425675703965</c:v>
                </c:pt>
                <c:pt idx="9">
                  <c:v>-0.33831140787767133</c:v>
                </c:pt>
                <c:pt idx="10">
                  <c:v>-0.2435006186136095</c:v>
                </c:pt>
                <c:pt idx="11">
                  <c:v>-0.16834237110652894</c:v>
                </c:pt>
                <c:pt idx="12">
                  <c:v>-0.11216803677626297</c:v>
                </c:pt>
                <c:pt idx="13">
                  <c:v>-7.2277491513736081E-2</c:v>
                </c:pt>
                <c:pt idx="14">
                  <c:v>-4.5187263769139729E-2</c:v>
                </c:pt>
                <c:pt idx="15">
                  <c:v>-2.7494256589391308E-2</c:v>
                </c:pt>
                <c:pt idx="16">
                  <c:v>-1.6327271792869857E-2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D3-4BC6-BC8C-4C73FAEAFDE6}"/>
            </c:ext>
          </c:extLst>
        </c:ser>
        <c:ser>
          <c:idx val="7"/>
          <c:order val="7"/>
          <c:tx>
            <c:strRef>
              <c:f>put!$M$10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put!$M$11:$M$27</c:f>
              <c:numCache>
                <c:formatCode>General</c:formatCode>
                <c:ptCount val="17"/>
                <c:pt idx="0">
                  <c:v>-0.99675007087750611</c:v>
                </c:pt>
                <c:pt idx="1">
                  <c:v>-0.98851657476804122</c:v>
                </c:pt>
                <c:pt idx="2">
                  <c:v>-0.96853667944616317</c:v>
                </c:pt>
                <c:pt idx="3">
                  <c:v>-0.92976291941623557</c:v>
                </c:pt>
                <c:pt idx="4">
                  <c:v>-0.86719866762994358</c:v>
                </c:pt>
                <c:pt idx="5">
                  <c:v>-0.78063641017552954</c:v>
                </c:pt>
                <c:pt idx="6">
                  <c:v>-0.67538030929215342</c:v>
                </c:pt>
                <c:pt idx="7">
                  <c:v>-0.56063294575822775</c:v>
                </c:pt>
                <c:pt idx="8">
                  <c:v>-0.44663641507110596</c:v>
                </c:pt>
                <c:pt idx="9">
                  <c:v>-0.34203727030691766</c:v>
                </c:pt>
                <c:pt idx="10">
                  <c:v>-0.25239750657251647</c:v>
                </c:pt>
                <c:pt idx="11">
                  <c:v>-0.17997586012231237</c:v>
                </c:pt>
                <c:pt idx="12">
                  <c:v>-0.12437874850463737</c:v>
                </c:pt>
                <c:pt idx="13">
                  <c:v>-8.3551201402274566E-2</c:v>
                </c:pt>
                <c:pt idx="14">
                  <c:v>-5.4707853004439699E-2</c:v>
                </c:pt>
                <c:pt idx="15">
                  <c:v>-3.5008571780824504E-2</c:v>
                </c:pt>
                <c:pt idx="16">
                  <c:v>-2.1947030461860972E-2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ED3-4BC6-BC8C-4C73FAEAFDE6}"/>
            </c:ext>
          </c:extLst>
        </c:ser>
        <c:ser>
          <c:idx val="8"/>
          <c:order val="8"/>
          <c:tx>
            <c:strRef>
              <c:f>put!$N$10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put!$N$11:$N$27</c:f>
              <c:numCache>
                <c:formatCode>General</c:formatCode>
                <c:ptCount val="17"/>
                <c:pt idx="0">
                  <c:v>-0.99461362130869291</c:v>
                </c:pt>
                <c:pt idx="1">
                  <c:v>-0.9833365493457592</c:v>
                </c:pt>
                <c:pt idx="2">
                  <c:v>-0.95885400744147464</c:v>
                </c:pt>
                <c:pt idx="3">
                  <c:v>-0.91526598820601524</c:v>
                </c:pt>
                <c:pt idx="4">
                  <c:v>-0.8493775152454146</c:v>
                </c:pt>
                <c:pt idx="5">
                  <c:v>-0.76246291657331267</c:v>
                </c:pt>
                <c:pt idx="6">
                  <c:v>-0.66019529381624775</c:v>
                </c:pt>
                <c:pt idx="7">
                  <c:v>-0.55094011572048185</c:v>
                </c:pt>
                <c:pt idx="8">
                  <c:v>-0.44342053804454018</c:v>
                </c:pt>
                <c:pt idx="9">
                  <c:v>-0.34478110979113263</c:v>
                </c:pt>
                <c:pt idx="10">
                  <c:v>-0.25958308974686217</c:v>
                </c:pt>
                <c:pt idx="11">
                  <c:v>-0.18972433093783714</c:v>
                </c:pt>
                <c:pt idx="12">
                  <c:v>-0.13496549959519877</c:v>
                </c:pt>
                <c:pt idx="13">
                  <c:v>-9.3689528830588564E-2</c:v>
                </c:pt>
                <c:pt idx="14">
                  <c:v>-6.3619125849340485E-2</c:v>
                </c:pt>
                <c:pt idx="15">
                  <c:v>-4.2354591752513771E-2</c:v>
                </c:pt>
                <c:pt idx="16">
                  <c:v>-2.7703754722868346E-2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D3-4BC6-BC8C-4C73FAEAFDE6}"/>
            </c:ext>
          </c:extLst>
        </c:ser>
        <c:ser>
          <c:idx val="9"/>
          <c:order val="9"/>
          <c:tx>
            <c:strRef>
              <c:f>put!$O$10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put!$O$11:$O$27</c:f>
              <c:numCache>
                <c:formatCode>General</c:formatCode>
                <c:ptCount val="17"/>
                <c:pt idx="0">
                  <c:v>-0.9918944546456071</c:v>
                </c:pt>
                <c:pt idx="1">
                  <c:v>-0.97746039429844445</c:v>
                </c:pt>
                <c:pt idx="2">
                  <c:v>-0.94880489471011209</c:v>
                </c:pt>
                <c:pt idx="3">
                  <c:v>-0.9011984232382525</c:v>
                </c:pt>
                <c:pt idx="4">
                  <c:v>-0.83290728409305792</c:v>
                </c:pt>
                <c:pt idx="5">
                  <c:v>-0.7462049004262935</c:v>
                </c:pt>
                <c:pt idx="6">
                  <c:v>-0.64683983773027076</c:v>
                </c:pt>
                <c:pt idx="7">
                  <c:v>-0.54239387215072843</c:v>
                </c:pt>
                <c:pt idx="8">
                  <c:v>-0.4403823076297575</c:v>
                </c:pt>
                <c:pt idx="9">
                  <c:v>-0.34680867419920269</c:v>
                </c:pt>
                <c:pt idx="10">
                  <c:v>-0.26547683131082922</c:v>
                </c:pt>
                <c:pt idx="11">
                  <c:v>-0.19799359259378047</c:v>
                </c:pt>
                <c:pt idx="12">
                  <c:v>-0.14420688925670166</c:v>
                </c:pt>
                <c:pt idx="13">
                  <c:v>-0.10280707440266668</c:v>
                </c:pt>
                <c:pt idx="14">
                  <c:v>-7.1895089760057207E-2</c:v>
                </c:pt>
                <c:pt idx="15">
                  <c:v>-4.9418010408147417E-2</c:v>
                </c:pt>
                <c:pt idx="16">
                  <c:v>-3.3448813603455418E-2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ED3-4BC6-BC8C-4C73FAEAFDE6}"/>
            </c:ext>
          </c:extLst>
        </c:ser>
        <c:ser>
          <c:idx val="10"/>
          <c:order val="10"/>
          <c:tx>
            <c:strRef>
              <c:f>put!$P$10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put!$P$11:$P$27</c:f>
              <c:numCache>
                <c:formatCode>General</c:formatCode>
                <c:ptCount val="17"/>
                <c:pt idx="0">
                  <c:v>-0.94452182202059942</c:v>
                </c:pt>
                <c:pt idx="1">
                  <c:v>-0.90505685531529534</c:v>
                </c:pt>
                <c:pt idx="2">
                  <c:v>-0.85288892223498691</c:v>
                </c:pt>
                <c:pt idx="3">
                  <c:v>-0.78958372202412042</c:v>
                </c:pt>
                <c:pt idx="4">
                  <c:v>-0.7179625656379226</c:v>
                </c:pt>
                <c:pt idx="5">
                  <c:v>-0.64149552812518496</c:v>
                </c:pt>
                <c:pt idx="6">
                  <c:v>-0.56370662389654669</c:v>
                </c:pt>
                <c:pt idx="7">
                  <c:v>-0.48772135767095182</c:v>
                </c:pt>
                <c:pt idx="8">
                  <c:v>-0.41600201428631822</c:v>
                </c:pt>
                <c:pt idx="9">
                  <c:v>-0.35025529522042032</c:v>
                </c:pt>
                <c:pt idx="10">
                  <c:v>-0.2914669006454369</c:v>
                </c:pt>
                <c:pt idx="11">
                  <c:v>-0.24001164001031328</c:v>
                </c:pt>
                <c:pt idx="12">
                  <c:v>-0.19579537926180235</c:v>
                </c:pt>
                <c:pt idx="13">
                  <c:v>-0.15839802446828499</c:v>
                </c:pt>
                <c:pt idx="14">
                  <c:v>-0.12719944668745575</c:v>
                </c:pt>
                <c:pt idx="15">
                  <c:v>-0.10148028157804423</c:v>
                </c:pt>
                <c:pt idx="16">
                  <c:v>-8.0496295997073863E-2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D3-4BC6-BC8C-4C73FAEAFDE6}"/>
            </c:ext>
          </c:extLst>
        </c:ser>
        <c:ser>
          <c:idx val="11"/>
          <c:order val="11"/>
          <c:tx>
            <c:strRef>
              <c:f>put!$Q$10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put!$Q$11:$Q$27</c:f>
              <c:numCache>
                <c:formatCode>General</c:formatCode>
                <c:ptCount val="17"/>
                <c:pt idx="0">
                  <c:v>-0.88778242147662834</c:v>
                </c:pt>
                <c:pt idx="1">
                  <c:v>-0.83738213822355212</c:v>
                </c:pt>
                <c:pt idx="2">
                  <c:v>-0.77929792459466751</c:v>
                </c:pt>
                <c:pt idx="3">
                  <c:v>-0.7158845880678294</c:v>
                </c:pt>
                <c:pt idx="4">
                  <c:v>-0.64964133490352116</c:v>
                </c:pt>
                <c:pt idx="5">
                  <c:v>-0.58291019299022284</c:v>
                </c:pt>
                <c:pt idx="6">
                  <c:v>-0.51768409900435353</c:v>
                </c:pt>
                <c:pt idx="7">
                  <c:v>-0.45551611552615734</c:v>
                </c:pt>
                <c:pt idx="8">
                  <c:v>-0.39750608598211901</c:v>
                </c:pt>
                <c:pt idx="9">
                  <c:v>-0.3443379223573686</c:v>
                </c:pt>
                <c:pt idx="10">
                  <c:v>-0.29634414861059299</c:v>
                </c:pt>
                <c:pt idx="11">
                  <c:v>-0.25358023320856948</c:v>
                </c:pt>
                <c:pt idx="12">
                  <c:v>-0.21589724078774752</c:v>
                </c:pt>
                <c:pt idx="13">
                  <c:v>-0.18300629935642132</c:v>
                </c:pt>
                <c:pt idx="14">
                  <c:v>-0.15453199824934205</c:v>
                </c:pt>
                <c:pt idx="15">
                  <c:v>-0.13005419969363385</c:v>
                </c:pt>
                <c:pt idx="16">
                  <c:v>-0.10913912348794974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ED3-4BC6-BC8C-4C73FAEAFDE6}"/>
            </c:ext>
          </c:extLst>
        </c:ser>
        <c:ser>
          <c:idx val="12"/>
          <c:order val="12"/>
          <c:tx>
            <c:strRef>
              <c:f>put!$R$10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put!$R$11:$R$27</c:f>
              <c:numCache>
                <c:formatCode>General</c:formatCode>
                <c:ptCount val="17"/>
                <c:pt idx="0">
                  <c:v>-0.83573128027159116</c:v>
                </c:pt>
                <c:pt idx="1">
                  <c:v>-0.78140801553503314</c:v>
                </c:pt>
                <c:pt idx="2">
                  <c:v>-0.72297001881272516</c:v>
                </c:pt>
                <c:pt idx="3">
                  <c:v>-0.66246690705453493</c:v>
                </c:pt>
                <c:pt idx="4">
                  <c:v>-0.60174208889703951</c:v>
                </c:pt>
                <c:pt idx="5">
                  <c:v>-0.54232677254784156</c:v>
                </c:pt>
                <c:pt idx="6">
                  <c:v>-0.48540248571576572</c:v>
                </c:pt>
                <c:pt idx="7">
                  <c:v>-0.43181044779477695</c:v>
                </c:pt>
                <c:pt idx="8">
                  <c:v>-0.38208857781104733</c:v>
                </c:pt>
                <c:pt idx="9">
                  <c:v>-0.33652148286606043</c:v>
                </c:pt>
                <c:pt idx="10">
                  <c:v>-0.29519344894865263</c:v>
                </c:pt>
                <c:pt idx="11">
                  <c:v>-0.25803836305997996</c:v>
                </c:pt>
                <c:pt idx="12">
                  <c:v>-0.22488339146361092</c:v>
                </c:pt>
                <c:pt idx="13">
                  <c:v>-0.19548519667211639</c:v>
                </c:pt>
                <c:pt idx="14">
                  <c:v>-0.16955868613384428</c:v>
                </c:pt>
                <c:pt idx="15">
                  <c:v>-0.14679895478660199</c:v>
                </c:pt>
                <c:pt idx="16">
                  <c:v>-0.12689738962132047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ED3-4BC6-BC8C-4C73FAEAFDE6}"/>
            </c:ext>
          </c:extLst>
        </c:ser>
        <c:ser>
          <c:idx val="13"/>
          <c:order val="13"/>
          <c:tx>
            <c:strRef>
              <c:f>put!$S$10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put!$E$11:$E$27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put!$S$11:$S$27</c:f>
              <c:numCache>
                <c:formatCode>General</c:formatCode>
                <c:ptCount val="17"/>
                <c:pt idx="0">
                  <c:v>-0.79011796313899829</c:v>
                </c:pt>
                <c:pt idx="1">
                  <c:v>-0.73494879354496201</c:v>
                </c:pt>
                <c:pt idx="2">
                  <c:v>-0.67800925822604985</c:v>
                </c:pt>
                <c:pt idx="3">
                  <c:v>-0.62090803102434033</c:v>
                </c:pt>
                <c:pt idx="4">
                  <c:v>-0.5649588516263524</c:v>
                </c:pt>
                <c:pt idx="5">
                  <c:v>-0.51116620365399934</c:v>
                </c:pt>
                <c:pt idx="6">
                  <c:v>-0.46024483687683237</c:v>
                </c:pt>
                <c:pt idx="7">
                  <c:v>-0.41265721312345893</c:v>
                </c:pt>
                <c:pt idx="8">
                  <c:v>-0.36865783860820911</c:v>
                </c:pt>
                <c:pt idx="9">
                  <c:v>-0.32833755733835912</c:v>
                </c:pt>
                <c:pt idx="10">
                  <c:v>-0.29166393636753718</c:v>
                </c:pt>
                <c:pt idx="11">
                  <c:v>-0.25851595379743597</c:v>
                </c:pt>
                <c:pt idx="12">
                  <c:v>-0.22871250967264012</c:v>
                </c:pt>
                <c:pt idx="13">
                  <c:v>-0.20203503441308623</c:v>
                </c:pt>
                <c:pt idx="14">
                  <c:v>-0.17824485149296021</c:v>
                </c:pt>
                <c:pt idx="15">
                  <c:v>-0.1570960983419486</c:v>
                </c:pt>
                <c:pt idx="16">
                  <c:v>-0.13834501863406246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ED3-4BC6-BC8C-4C73FAEAFDE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893224416"/>
        <c:axId val="893238336"/>
        <c:axId val="1925296992"/>
      </c:surface3DChart>
      <c:catAx>
        <c:axId val="89322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aseline="0"/>
                  <a:t>price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  <c:auto val="1"/>
        <c:lblAlgn val="ctr"/>
        <c:lblOffset val="100"/>
        <c:noMultiLvlLbl val="0"/>
      </c:catAx>
      <c:valAx>
        <c:axId val="8932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24416"/>
        <c:crosses val="autoZero"/>
        <c:crossBetween val="midCat"/>
      </c:valAx>
      <c:serAx>
        <c:axId val="1925296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time</a:t>
                </a:r>
                <a:r>
                  <a:rPr lang="it-IT" baseline="0"/>
                  <a:t> at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Delta,</a:t>
            </a:r>
            <a:r>
              <a:rPr lang="it-IT" baseline="0"/>
              <a:t> volatility = 0,1</a:t>
            </a:r>
          </a:p>
        </c:rich>
      </c:tx>
      <c:layout>
        <c:manualLayout>
          <c:xMode val="edge"/>
          <c:yMode val="edge"/>
          <c:x val="0.36749300087489067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put!$X$10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put!$X$11:$X$27</c:f>
              <c:numCache>
                <c:formatCode>General</c:formatCode>
                <c:ptCount val="17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-0.99999999999879974</c:v>
                </c:pt>
                <c:pt idx="5">
                  <c:v>-0.99999982272133159</c:v>
                </c:pt>
                <c:pt idx="6">
                  <c:v>-0.99948892482853091</c:v>
                </c:pt>
                <c:pt idx="7">
                  <c:v>-0.94232585548392311</c:v>
                </c:pt>
                <c:pt idx="8">
                  <c:v>-0.48108360000070371</c:v>
                </c:pt>
                <c:pt idx="9">
                  <c:v>-5.5881951625111226E-2</c:v>
                </c:pt>
                <c:pt idx="10">
                  <c:v>-1.1014982272458118E-3</c:v>
                </c:pt>
                <c:pt idx="11">
                  <c:v>-3.964449127424885E-6</c:v>
                </c:pt>
                <c:pt idx="12">
                  <c:v>-3.0691061914112083E-9</c:v>
                </c:pt>
                <c:pt idx="13">
                  <c:v>-6.0662586065518553E-13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B-482E-8DAB-115894206D0C}"/>
            </c:ext>
          </c:extLst>
        </c:ser>
        <c:ser>
          <c:idx val="1"/>
          <c:order val="1"/>
          <c:tx>
            <c:strRef>
              <c:f>put!$Y$10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put!$Y$11:$Y$27</c:f>
              <c:numCache>
                <c:formatCode>General</c:formatCode>
                <c:ptCount val="17"/>
                <c:pt idx="0">
                  <c:v>-1</c:v>
                </c:pt>
                <c:pt idx="1">
                  <c:v>-1</c:v>
                </c:pt>
                <c:pt idx="2">
                  <c:v>-0.99999999999999867</c:v>
                </c:pt>
                <c:pt idx="3">
                  <c:v>-0.99999999990278976</c:v>
                </c:pt>
                <c:pt idx="4">
                  <c:v>-0.99999957290199704</c:v>
                </c:pt>
                <c:pt idx="5">
                  <c:v>-0.99981942099236665</c:v>
                </c:pt>
                <c:pt idx="6">
                  <c:v>-0.9889559860924052</c:v>
                </c:pt>
                <c:pt idx="7">
                  <c:v>-0.85990016135422198</c:v>
                </c:pt>
                <c:pt idx="8">
                  <c:v>-0.4732581961130774</c:v>
                </c:pt>
                <c:pt idx="9">
                  <c:v>-0.12341910750431651</c:v>
                </c:pt>
                <c:pt idx="10">
                  <c:v>-1.3964492157249486E-2</c:v>
                </c:pt>
                <c:pt idx="11">
                  <c:v>-7.0583548483338365E-4</c:v>
                </c:pt>
                <c:pt idx="12">
                  <c:v>-1.7071243458399721E-5</c:v>
                </c:pt>
                <c:pt idx="13">
                  <c:v>-2.132604316473774E-7</c:v>
                </c:pt>
                <c:pt idx="14">
                  <c:v>-1.4806853521065477E-9</c:v>
                </c:pt>
                <c:pt idx="15">
                  <c:v>-6.1083360591851488E-12</c:v>
                </c:pt>
                <c:pt idx="16">
                  <c:v>-1.5876189252139739E-14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B-482E-8DAB-115894206D0C}"/>
            </c:ext>
          </c:extLst>
        </c:ser>
        <c:ser>
          <c:idx val="2"/>
          <c:order val="2"/>
          <c:tx>
            <c:strRef>
              <c:f>put!$Z$10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put!$Z$11:$Z$27</c:f>
              <c:numCache>
                <c:formatCode>General</c:formatCode>
                <c:ptCount val="17"/>
                <c:pt idx="0">
                  <c:v>-1</c:v>
                </c:pt>
                <c:pt idx="1">
                  <c:v>-0.99999999999999645</c:v>
                </c:pt>
                <c:pt idx="2">
                  <c:v>-0.99999999993611632</c:v>
                </c:pt>
                <c:pt idx="3">
                  <c:v>-0.99999988306170484</c:v>
                </c:pt>
                <c:pt idx="4">
                  <c:v>-0.99996722240854641</c:v>
                </c:pt>
                <c:pt idx="5">
                  <c:v>-0.99804304196816818</c:v>
                </c:pt>
                <c:pt idx="6">
                  <c:v>-0.96722237353959195</c:v>
                </c:pt>
                <c:pt idx="7">
                  <c:v>-0.80353746475916554</c:v>
                </c:pt>
                <c:pt idx="8">
                  <c:v>-0.46726038328732289</c:v>
                </c:pt>
                <c:pt idx="9">
                  <c:v>-0.16529135445498933</c:v>
                </c:pt>
                <c:pt idx="10">
                  <c:v>-3.420654138486845E-2</c:v>
                </c:pt>
                <c:pt idx="11">
                  <c:v>-4.22113045457706E-3</c:v>
                </c:pt>
                <c:pt idx="12">
                  <c:v>-3.2376867290073719E-4</c:v>
                </c:pt>
                <c:pt idx="13">
                  <c:v>-1.6180389819542285E-5</c:v>
                </c:pt>
                <c:pt idx="14">
                  <c:v>-5.5166492773928155E-7</c:v>
                </c:pt>
                <c:pt idx="15">
                  <c:v>-1.3389116704232151E-8</c:v>
                </c:pt>
                <c:pt idx="16">
                  <c:v>-2.4035928802845774E-10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B-482E-8DAB-115894206D0C}"/>
            </c:ext>
          </c:extLst>
        </c:ser>
        <c:ser>
          <c:idx val="3"/>
          <c:order val="3"/>
          <c:tx>
            <c:strRef>
              <c:f>put!$AA$10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put!$AA$11:$AA$27</c:f>
              <c:numCache>
                <c:formatCode>General</c:formatCode>
                <c:ptCount val="17"/>
                <c:pt idx="0">
                  <c:v>-0.99999999999999933</c:v>
                </c:pt>
                <c:pt idx="1">
                  <c:v>-0.99999999999068701</c:v>
                </c:pt>
                <c:pt idx="2">
                  <c:v>-0.99999998527351153</c:v>
                </c:pt>
                <c:pt idx="3">
                  <c:v>-0.9999957815132362</c:v>
                </c:pt>
                <c:pt idx="4">
                  <c:v>-0.99970190412486359</c:v>
                </c:pt>
                <c:pt idx="5">
                  <c:v>-0.99333411575638086</c:v>
                </c:pt>
                <c:pt idx="6">
                  <c:v>-0.94191189201267966</c:v>
                </c:pt>
                <c:pt idx="7">
                  <c:v>-0.76305059187866298</c:v>
                </c:pt>
                <c:pt idx="8">
                  <c:v>-0.46220970609333534</c:v>
                </c:pt>
                <c:pt idx="9">
                  <c:v>-0.19316048645017747</c:v>
                </c:pt>
                <c:pt idx="10">
                  <c:v>-5.4593883865311277E-2</c:v>
                </c:pt>
                <c:pt idx="11">
                  <c:v>-1.0591727709338028E-2</c:v>
                </c:pt>
                <c:pt idx="12">
                  <c:v>-1.4524545858777271E-3</c:v>
                </c:pt>
                <c:pt idx="13">
                  <c:v>-1.4555918115333188E-4</c:v>
                </c:pt>
                <c:pt idx="14">
                  <c:v>-1.101717495310961E-5</c:v>
                </c:pt>
                <c:pt idx="15">
                  <c:v>-6.4939633814820041E-7</c:v>
                </c:pt>
                <c:pt idx="16">
                  <c:v>-3.0650944671251068E-8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B-482E-8DAB-115894206D0C}"/>
            </c:ext>
          </c:extLst>
        </c:ser>
        <c:ser>
          <c:idx val="4"/>
          <c:order val="4"/>
          <c:tx>
            <c:strRef>
              <c:f>put!$AB$10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put!$AB$11:$AB$27</c:f>
              <c:numCache>
                <c:formatCode>General</c:formatCode>
                <c:ptCount val="17"/>
                <c:pt idx="0">
                  <c:v>-0.99999999999945288</c:v>
                </c:pt>
                <c:pt idx="1">
                  <c:v>-0.99999999892549984</c:v>
                </c:pt>
                <c:pt idx="2">
                  <c:v>-0.99999960552141942</c:v>
                </c:pt>
                <c:pt idx="3">
                  <c:v>-0.99996289573776764</c:v>
                </c:pt>
                <c:pt idx="4">
                  <c:v>-0.99885449850928076</c:v>
                </c:pt>
                <c:pt idx="5">
                  <c:v>-0.98582102812389361</c:v>
                </c:pt>
                <c:pt idx="6">
                  <c:v>-0.91681414086730562</c:v>
                </c:pt>
                <c:pt idx="7">
                  <c:v>-0.73215074084786935</c:v>
                </c:pt>
                <c:pt idx="8">
                  <c:v>-0.45776498668838594</c:v>
                </c:pt>
                <c:pt idx="9">
                  <c:v>-0.2129976697322995</c:v>
                </c:pt>
                <c:pt idx="10">
                  <c:v>-7.2979321151961596E-2</c:v>
                </c:pt>
                <c:pt idx="11">
                  <c:v>-1.8643924359551423E-2</c:v>
                </c:pt>
                <c:pt idx="12">
                  <c:v>-3.6321125620839556E-3</c:v>
                </c:pt>
                <c:pt idx="13">
                  <c:v>-5.5355097682452392E-4</c:v>
                </c:pt>
                <c:pt idx="14">
                  <c:v>-6.769082007296312E-5</c:v>
                </c:pt>
                <c:pt idx="15">
                  <c:v>-6.8011094226383406E-6</c:v>
                </c:pt>
                <c:pt idx="16">
                  <c:v>-5.7372667472410654E-7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B-482E-8DAB-115894206D0C}"/>
            </c:ext>
          </c:extLst>
        </c:ser>
        <c:ser>
          <c:idx val="5"/>
          <c:order val="5"/>
          <c:tx>
            <c:strRef>
              <c:f>put!$AC$10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put!$AC$11:$AC$27</c:f>
              <c:numCache>
                <c:formatCode>General</c:formatCode>
                <c:ptCount val="17"/>
                <c:pt idx="0">
                  <c:v>-0.99999999995369315</c:v>
                </c:pt>
                <c:pt idx="1">
                  <c:v>-0.99999997412552788</c:v>
                </c:pt>
                <c:pt idx="2">
                  <c:v>-0.99999641307660381</c:v>
                </c:pt>
                <c:pt idx="3">
                  <c:v>-0.99983952143013566</c:v>
                </c:pt>
                <c:pt idx="4">
                  <c:v>-0.99715020541618327</c:v>
                </c:pt>
                <c:pt idx="5">
                  <c:v>-0.97625595044034874</c:v>
                </c:pt>
                <c:pt idx="6">
                  <c:v>-0.89325185776813143</c:v>
                </c:pt>
                <c:pt idx="7">
                  <c:v>-0.70746843461389441</c:v>
                </c:pt>
                <c:pt idx="8">
                  <c:v>-0.45375117893531969</c:v>
                </c:pt>
                <c:pt idx="9">
                  <c:v>-0.22781322631362899</c:v>
                </c:pt>
                <c:pt idx="10">
                  <c:v>-8.9048323051647005E-2</c:v>
                </c:pt>
                <c:pt idx="11">
                  <c:v>-2.7396855446360169E-2</c:v>
                </c:pt>
                <c:pt idx="12">
                  <c:v>-6.7565841192067655E-3</c:v>
                </c:pt>
                <c:pt idx="13">
                  <c:v>-1.3634308405563456E-3</c:v>
                </c:pt>
                <c:pt idx="14">
                  <c:v>-2.2976787752915229E-4</c:v>
                </c:pt>
                <c:pt idx="15">
                  <c:v>-3.2963859568746479E-5</c:v>
                </c:pt>
                <c:pt idx="16">
                  <c:v>-4.097458834229073E-6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B-482E-8DAB-115894206D0C}"/>
            </c:ext>
          </c:extLst>
        </c:ser>
        <c:ser>
          <c:idx val="6"/>
          <c:order val="6"/>
          <c:tx>
            <c:strRef>
              <c:f>put!$AD$10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put!$AD$11:$AD$27</c:f>
              <c:numCache>
                <c:formatCode>General</c:formatCode>
                <c:ptCount val="17"/>
                <c:pt idx="0">
                  <c:v>-0.9999999988845516</c:v>
                </c:pt>
                <c:pt idx="1">
                  <c:v>-0.99999974609953168</c:v>
                </c:pt>
                <c:pt idx="2">
                  <c:v>-0.9999824507459707</c:v>
                </c:pt>
                <c:pt idx="3">
                  <c:v>-0.99953842815149707</c:v>
                </c:pt>
                <c:pt idx="4">
                  <c:v>-0.99448231126656217</c:v>
                </c:pt>
                <c:pt idx="5">
                  <c:v>-0.96538943258594301</c:v>
                </c:pt>
                <c:pt idx="6">
                  <c:v>-0.87156077913162922</c:v>
                </c:pt>
                <c:pt idx="7">
                  <c:v>-0.68707388235667555</c:v>
                </c:pt>
                <c:pt idx="8">
                  <c:v>-0.45006425675703965</c:v>
                </c:pt>
                <c:pt idx="9">
                  <c:v>-0.239269917494766</c:v>
                </c:pt>
                <c:pt idx="10">
                  <c:v>-0.1029941893437627</c:v>
                </c:pt>
                <c:pt idx="11">
                  <c:v>-3.6249348015701011E-2</c:v>
                </c:pt>
                <c:pt idx="12">
                  <c:v>-1.0592855898519771E-2</c:v>
                </c:pt>
                <c:pt idx="13">
                  <c:v>-2.6145206848648961E-3</c:v>
                </c:pt>
                <c:pt idx="14">
                  <c:v>-5.5441197797978514E-4</c:v>
                </c:pt>
                <c:pt idx="15">
                  <c:v>-1.0263741426164152E-4</c:v>
                </c:pt>
                <c:pt idx="16">
                  <c:v>-1.6834810336541217E-5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B-482E-8DAB-115894206D0C}"/>
            </c:ext>
          </c:extLst>
        </c:ser>
        <c:ser>
          <c:idx val="7"/>
          <c:order val="7"/>
          <c:tx>
            <c:strRef>
              <c:f>put!$AE$10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put!$AE$11:$AE$27</c:f>
              <c:numCache>
                <c:formatCode>General</c:formatCode>
                <c:ptCount val="17"/>
                <c:pt idx="0">
                  <c:v>-0.99999998776771981</c:v>
                </c:pt>
                <c:pt idx="1">
                  <c:v>-0.99999858049035051</c:v>
                </c:pt>
                <c:pt idx="2">
                  <c:v>-0.99994179911634218</c:v>
                </c:pt>
                <c:pt idx="3">
                  <c:v>-0.99897268285935592</c:v>
                </c:pt>
                <c:pt idx="4">
                  <c:v>-0.99087869452629052</c:v>
                </c:pt>
                <c:pt idx="5">
                  <c:v>-0.95379820378478741</c:v>
                </c:pt>
                <c:pt idx="6">
                  <c:v>-0.85171156569915274</c:v>
                </c:pt>
                <c:pt idx="7">
                  <c:v>-0.66978239987143284</c:v>
                </c:pt>
                <c:pt idx="8">
                  <c:v>-0.44663641507110596</c:v>
                </c:pt>
                <c:pt idx="9">
                  <c:v>-0.24836156369458307</c:v>
                </c:pt>
                <c:pt idx="10">
                  <c:v>-0.11511544953316066</c:v>
                </c:pt>
                <c:pt idx="11">
                  <c:v>-4.4871958417935009E-2</c:v>
                </c:pt>
                <c:pt idx="12">
                  <c:v>-1.4905931616100987E-2</c:v>
                </c:pt>
                <c:pt idx="13">
                  <c:v>-4.2820091080512102E-3</c:v>
                </c:pt>
                <c:pt idx="14">
                  <c:v>-1.0793388372125623E-3</c:v>
                </c:pt>
                <c:pt idx="15">
                  <c:v>-2.4202099636327912E-4</c:v>
                </c:pt>
                <c:pt idx="16">
                  <c:v>-4.8889517762384926E-5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CB-482E-8DAB-115894206D0C}"/>
            </c:ext>
          </c:extLst>
        </c:ser>
        <c:ser>
          <c:idx val="8"/>
          <c:order val="8"/>
          <c:tx>
            <c:strRef>
              <c:f>put!$AF$10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put!$AF$11:$AF$27</c:f>
              <c:numCache>
                <c:formatCode>General</c:formatCode>
                <c:ptCount val="17"/>
                <c:pt idx="0">
                  <c:v>-0.99999992069449628</c:v>
                </c:pt>
                <c:pt idx="1">
                  <c:v>-0.99999455112734237</c:v>
                </c:pt>
                <c:pt idx="2">
                  <c:v>-0.99985120076411815</c:v>
                </c:pt>
                <c:pt idx="3">
                  <c:v>-0.99807460447904706</c:v>
                </c:pt>
                <c:pt idx="4">
                  <c:v>-0.98644176377083581</c:v>
                </c:pt>
                <c:pt idx="5">
                  <c:v>-0.94188514642659571</c:v>
                </c:pt>
                <c:pt idx="6">
                  <c:v>-0.83355143322926772</c:v>
                </c:pt>
                <c:pt idx="7">
                  <c:v>-0.65482358809332131</c:v>
                </c:pt>
                <c:pt idx="8">
                  <c:v>-0.44342053804454018</c:v>
                </c:pt>
                <c:pt idx="9">
                  <c:v>-0.25572036656605568</c:v>
                </c:pt>
                <c:pt idx="10">
                  <c:v>-0.12569907598544605</c:v>
                </c:pt>
                <c:pt idx="11">
                  <c:v>-5.3098771928445476E-2</c:v>
                </c:pt>
                <c:pt idx="12">
                  <c:v>-1.9502200944108816E-2</c:v>
                </c:pt>
                <c:pt idx="13">
                  <c:v>-6.3077661675613461E-3</c:v>
                </c:pt>
                <c:pt idx="14">
                  <c:v>-1.8195289047336916E-3</c:v>
                </c:pt>
                <c:pt idx="15">
                  <c:v>-4.737266396053208E-4</c:v>
                </c:pt>
                <c:pt idx="16">
                  <c:v>-1.125547698992424E-4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CB-482E-8DAB-115894206D0C}"/>
            </c:ext>
          </c:extLst>
        </c:ser>
        <c:ser>
          <c:idx val="9"/>
          <c:order val="9"/>
          <c:tx>
            <c:strRef>
              <c:f>put!$AG$10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put!$AG$11:$AG$27</c:f>
              <c:numCache>
                <c:formatCode>General</c:formatCode>
                <c:ptCount val="17"/>
                <c:pt idx="0">
                  <c:v>-0.99999964435644462</c:v>
                </c:pt>
                <c:pt idx="1">
                  <c:v>-0.99998393569273369</c:v>
                </c:pt>
                <c:pt idx="2">
                  <c:v>-0.99968313211324389</c:v>
                </c:pt>
                <c:pt idx="3">
                  <c:v>-0.99680261138352733</c:v>
                </c:pt>
                <c:pt idx="4">
                  <c:v>-0.98130296953188956</c:v>
                </c:pt>
                <c:pt idx="5">
                  <c:v>-0.92991917065856666</c:v>
                </c:pt>
                <c:pt idx="6">
                  <c:v>-0.81689759699323372</c:v>
                </c:pt>
                <c:pt idx="7">
                  <c:v>-0.64167251171171547</c:v>
                </c:pt>
                <c:pt idx="8">
                  <c:v>-0.4403823076297575</c:v>
                </c:pt>
                <c:pt idx="9">
                  <c:v>-0.26176885450951881</c:v>
                </c:pt>
                <c:pt idx="10">
                  <c:v>-0.13499148005453798</c:v>
                </c:pt>
                <c:pt idx="11">
                  <c:v>-6.08569760408737E-2</c:v>
                </c:pt>
                <c:pt idx="12">
                  <c:v>-2.4235503765815403E-2</c:v>
                </c:pt>
                <c:pt idx="13">
                  <c:v>-8.6226549586319035E-3</c:v>
                </c:pt>
                <c:pt idx="14">
                  <c:v>-2.7716266237037823E-3</c:v>
                </c:pt>
                <c:pt idx="15">
                  <c:v>-8.1343453919457964E-4</c:v>
                </c:pt>
                <c:pt idx="16">
                  <c:v>-2.2010697477903296E-4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CB-482E-8DAB-115894206D0C}"/>
            </c:ext>
          </c:extLst>
        </c:ser>
        <c:ser>
          <c:idx val="10"/>
          <c:order val="10"/>
          <c:tx>
            <c:strRef>
              <c:f>put!$AH$10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put!$AH$11:$AH$27</c:f>
              <c:numCache>
                <c:formatCode>General</c:formatCode>
                <c:ptCount val="17"/>
                <c:pt idx="0">
                  <c:v>-0.99966300984690104</c:v>
                </c:pt>
                <c:pt idx="1">
                  <c:v>-0.99770126854070174</c:v>
                </c:pt>
                <c:pt idx="2">
                  <c:v>-0.98955428078343977</c:v>
                </c:pt>
                <c:pt idx="3">
                  <c:v>-0.9657791379984273</c:v>
                </c:pt>
                <c:pt idx="4">
                  <c:v>-0.91398831809174919</c:v>
                </c:pt>
                <c:pt idx="5">
                  <c:v>-0.82563366708758723</c:v>
                </c:pt>
                <c:pt idx="6">
                  <c:v>-0.70294143810382681</c:v>
                </c:pt>
                <c:pt idx="7">
                  <c:v>-0.55984108777794528</c:v>
                </c:pt>
                <c:pt idx="8">
                  <c:v>-0.41600201428631822</c:v>
                </c:pt>
                <c:pt idx="9">
                  <c:v>-0.28871910308263193</c:v>
                </c:pt>
                <c:pt idx="10">
                  <c:v>-0.18778807755388893</c:v>
                </c:pt>
                <c:pt idx="11">
                  <c:v>-0.11499236256428202</c:v>
                </c:pt>
                <c:pt idx="12">
                  <c:v>-6.6633805759227727E-2</c:v>
                </c:pt>
                <c:pt idx="13">
                  <c:v>-3.6727340119913188E-2</c:v>
                </c:pt>
                <c:pt idx="14">
                  <c:v>-1.93516504591843E-2</c:v>
                </c:pt>
                <c:pt idx="15">
                  <c:v>-9.7928364033782467E-3</c:v>
                </c:pt>
                <c:pt idx="16">
                  <c:v>-4.7800098788316481E-3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CB-482E-8DAB-115894206D0C}"/>
            </c:ext>
          </c:extLst>
        </c:ser>
        <c:ser>
          <c:idx val="11"/>
          <c:order val="11"/>
          <c:tx>
            <c:strRef>
              <c:f>put!$AI$10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put!$AI$11:$AI$27</c:f>
              <c:numCache>
                <c:formatCode>General</c:formatCode>
                <c:ptCount val="17"/>
                <c:pt idx="0">
                  <c:v>-0.99642145828700812</c:v>
                </c:pt>
                <c:pt idx="1">
                  <c:v>-0.98703700934248551</c:v>
                </c:pt>
                <c:pt idx="2">
                  <c:v>-0.96402672107027587</c:v>
                </c:pt>
                <c:pt idx="3">
                  <c:v>-0.91941174103204293</c:v>
                </c:pt>
                <c:pt idx="4">
                  <c:v>-0.84814553967118989</c:v>
                </c:pt>
                <c:pt idx="5">
                  <c:v>-0.75127132472481861</c:v>
                </c:pt>
                <c:pt idx="6">
                  <c:v>-0.6362644892772813</c:v>
                </c:pt>
                <c:pt idx="7">
                  <c:v>-0.51449212049483484</c:v>
                </c:pt>
                <c:pt idx="8">
                  <c:v>-0.39750608598211912</c:v>
                </c:pt>
                <c:pt idx="9">
                  <c:v>-0.29408226876632038</c:v>
                </c:pt>
                <c:pt idx="10">
                  <c:v>-0.20894675405446184</c:v>
                </c:pt>
                <c:pt idx="11">
                  <c:v>-0.14304833986221999</c:v>
                </c:pt>
                <c:pt idx="12">
                  <c:v>-9.468558585603748E-2</c:v>
                </c:pt>
                <c:pt idx="13">
                  <c:v>-6.07957993015249E-2</c:v>
                </c:pt>
                <c:pt idx="14">
                  <c:v>-3.7984588705097355E-2</c:v>
                </c:pt>
                <c:pt idx="15">
                  <c:v>-2.316017918913893E-2</c:v>
                </c:pt>
                <c:pt idx="16">
                  <c:v>-1.3817439592029412E-2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5CB-482E-8DAB-115894206D0C}"/>
            </c:ext>
          </c:extLst>
        </c:ser>
        <c:ser>
          <c:idx val="12"/>
          <c:order val="12"/>
          <c:tx>
            <c:strRef>
              <c:f>put!$AJ$10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put!$AJ$11:$AJ$27</c:f>
              <c:numCache>
                <c:formatCode>General</c:formatCode>
                <c:ptCount val="17"/>
                <c:pt idx="0">
                  <c:v>-0.98790594541152554</c:v>
                </c:pt>
                <c:pt idx="1">
                  <c:v>-0.96812430920432424</c:v>
                </c:pt>
                <c:pt idx="2">
                  <c:v>-0.93101255988538445</c:v>
                </c:pt>
                <c:pt idx="3">
                  <c:v>-0.87252541543240303</c:v>
                </c:pt>
                <c:pt idx="4">
                  <c:v>-0.79266920954781528</c:v>
                </c:pt>
                <c:pt idx="5">
                  <c:v>-0.69588255094248597</c:v>
                </c:pt>
                <c:pt idx="6">
                  <c:v>-0.5897113706196716</c:v>
                </c:pt>
                <c:pt idx="7">
                  <c:v>-0.48263811916107868</c:v>
                </c:pt>
                <c:pt idx="8">
                  <c:v>-0.38208857781104733</c:v>
                </c:pt>
                <c:pt idx="9">
                  <c:v>-0.29323765778258948</c:v>
                </c:pt>
                <c:pt idx="10">
                  <c:v>-0.21871189000521374</c:v>
                </c:pt>
                <c:pt idx="11">
                  <c:v>-0.15894344022156293</c:v>
                </c:pt>
                <c:pt idx="12">
                  <c:v>-0.11283127675234184</c:v>
                </c:pt>
                <c:pt idx="13">
                  <c:v>-7.8429078701002797E-2</c:v>
                </c:pt>
                <c:pt idx="14">
                  <c:v>-5.3500413442041594E-2</c:v>
                </c:pt>
                <c:pt idx="15">
                  <c:v>-3.5889050588990501E-2</c:v>
                </c:pt>
                <c:pt idx="16">
                  <c:v>-2.3719415395278443E-2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5CB-482E-8DAB-115894206D0C}"/>
            </c:ext>
          </c:extLst>
        </c:ser>
        <c:ser>
          <c:idx val="13"/>
          <c:order val="13"/>
          <c:tx>
            <c:strRef>
              <c:f>put!$AK$10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put!$W$11:$W$27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put!$AK$11:$AK$27</c:f>
              <c:numCache>
                <c:formatCode>General</c:formatCode>
                <c:ptCount val="17"/>
                <c:pt idx="0">
                  <c:v>-0.974356553225038</c:v>
                </c:pt>
                <c:pt idx="1">
                  <c:v>-0.94420754055435308</c:v>
                </c:pt>
                <c:pt idx="2">
                  <c:v>-0.89610914829245725</c:v>
                </c:pt>
                <c:pt idx="3">
                  <c:v>-0.82923414186780242</c:v>
                </c:pt>
                <c:pt idx="4">
                  <c:v>-0.74618038134057052</c:v>
                </c:pt>
                <c:pt idx="5">
                  <c:v>-0.65224792947554422</c:v>
                </c:pt>
                <c:pt idx="6">
                  <c:v>-0.55400095752449929</c:v>
                </c:pt>
                <c:pt idx="7">
                  <c:v>-0.45778339645558364</c:v>
                </c:pt>
                <c:pt idx="8">
                  <c:v>-0.36865783860820911</c:v>
                </c:pt>
                <c:pt idx="9">
                  <c:v>-0.28992410745836317</c:v>
                </c:pt>
                <c:pt idx="10">
                  <c:v>-0.22313437909788203</c:v>
                </c:pt>
                <c:pt idx="11">
                  <c:v>-0.16841574919746671</c:v>
                </c:pt>
                <c:pt idx="12">
                  <c:v>-0.12491199749354731</c:v>
                </c:pt>
                <c:pt idx="13">
                  <c:v>-9.1210373067739825E-2</c:v>
                </c:pt>
                <c:pt idx="14">
                  <c:v>-6.5682765684590083E-2</c:v>
                </c:pt>
                <c:pt idx="15">
                  <c:v>-4.67205445320521E-2</c:v>
                </c:pt>
                <c:pt idx="16">
                  <c:v>-3.2872391158081826E-2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5CB-482E-8DAB-115894206D0C}"/>
            </c:ext>
          </c:extLst>
        </c:ser>
        <c:bandFmts/>
        <c:axId val="893224416"/>
        <c:axId val="893238336"/>
        <c:axId val="1925296992"/>
      </c:surface3DChart>
      <c:catAx>
        <c:axId val="89322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aseline="0"/>
                  <a:t>price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  <c:auto val="1"/>
        <c:lblAlgn val="ctr"/>
        <c:lblOffset val="100"/>
        <c:noMultiLvlLbl val="0"/>
      </c:catAx>
      <c:valAx>
        <c:axId val="8932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24416"/>
        <c:crosses val="autoZero"/>
        <c:crossBetween val="midCat"/>
      </c:valAx>
      <c:serAx>
        <c:axId val="1925296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time</a:t>
                </a:r>
                <a:r>
                  <a:rPr lang="it-IT" baseline="0"/>
                  <a:t> at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9525">
      <a:solidFill>
        <a:schemeClr val="bg2"/>
      </a:solidFill>
    </a:ln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Delta,</a:t>
            </a:r>
            <a:r>
              <a:rPr lang="it-IT" baseline="0"/>
              <a:t> volatility = 0,3</a:t>
            </a:r>
          </a:p>
        </c:rich>
      </c:tx>
      <c:layout>
        <c:manualLayout>
          <c:xMode val="edge"/>
          <c:yMode val="edge"/>
          <c:x val="0.36749300087489067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put!$AP$10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put!$AP$11:$AP$27</c:f>
              <c:numCache>
                <c:formatCode>General</c:formatCode>
                <c:ptCount val="17"/>
                <c:pt idx="0">
                  <c:v>-0.99999994996583763</c:v>
                </c:pt>
                <c:pt idx="1">
                  <c:v>-0.99999631780591081</c:v>
                </c:pt>
                <c:pt idx="2">
                  <c:v>-0.99989292389718487</c:v>
                </c:pt>
                <c:pt idx="3">
                  <c:v>-0.99853247742148155</c:v>
                </c:pt>
                <c:pt idx="4">
                  <c:v>-0.98910947326415422</c:v>
                </c:pt>
                <c:pt idx="5">
                  <c:v>-0.95105041176998162</c:v>
                </c:pt>
                <c:pt idx="6">
                  <c:v>-0.85374292440200006</c:v>
                </c:pt>
                <c:pt idx="7">
                  <c:v>-0.68534693429781512</c:v>
                </c:pt>
                <c:pt idx="8">
                  <c:v>-0.47688423504863664</c:v>
                </c:pt>
                <c:pt idx="9">
                  <c:v>-0.28357001703173512</c:v>
                </c:pt>
                <c:pt idx="10">
                  <c:v>-0.14397429893497082</c:v>
                </c:pt>
                <c:pt idx="11">
                  <c:v>-6.2860563865533403E-2</c:v>
                </c:pt>
                <c:pt idx="12">
                  <c:v>-2.3862270071094094E-2</c:v>
                </c:pt>
                <c:pt idx="13">
                  <c:v>-7.9737541258025901E-3</c:v>
                </c:pt>
                <c:pt idx="14">
                  <c:v>-2.3748452032597012E-3</c:v>
                </c:pt>
                <c:pt idx="15">
                  <c:v>-6.3792946107255055E-4</c:v>
                </c:pt>
                <c:pt idx="16">
                  <c:v>-1.5625452050427313E-4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7-4027-9EE3-D369BF915139}"/>
            </c:ext>
          </c:extLst>
        </c:ser>
        <c:ser>
          <c:idx val="1"/>
          <c:order val="1"/>
          <c:tx>
            <c:strRef>
              <c:f>put!$AQ$10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put!$AQ$11:$AQ$27</c:f>
              <c:numCache>
                <c:formatCode>General</c:formatCode>
                <c:ptCount val="17"/>
                <c:pt idx="0">
                  <c:v>-0.99990252813746106</c:v>
                </c:pt>
                <c:pt idx="1">
                  <c:v>-0.99912262163087784</c:v>
                </c:pt>
                <c:pt idx="2">
                  <c:v>-0.99500981832634638</c:v>
                </c:pt>
                <c:pt idx="3">
                  <c:v>-0.98040881029842508</c:v>
                </c:pt>
                <c:pt idx="4">
                  <c:v>-0.94308666201370861</c:v>
                </c:pt>
                <c:pt idx="5">
                  <c:v>-0.87062603477158196</c:v>
                </c:pt>
                <c:pt idx="6">
                  <c:v>-0.75907237290923424</c:v>
                </c:pt>
                <c:pt idx="7">
                  <c:v>-0.6180366959210446</c:v>
                </c:pt>
                <c:pt idx="8">
                  <c:v>-0.46732766707817819</c:v>
                </c:pt>
                <c:pt idx="9">
                  <c:v>-0.32792519835401701</c:v>
                </c:pt>
                <c:pt idx="10">
                  <c:v>-0.21406685945973947</c:v>
                </c:pt>
                <c:pt idx="11">
                  <c:v>-0.13056736333207186</c:v>
                </c:pt>
                <c:pt idx="12">
                  <c:v>-7.4801691829901373E-2</c:v>
                </c:pt>
                <c:pt idx="13">
                  <c:v>-4.0474770416252692E-2</c:v>
                </c:pt>
                <c:pt idx="14">
                  <c:v>-2.0798132697888772E-2</c:v>
                </c:pt>
                <c:pt idx="15">
                  <c:v>-1.0201945596281514E-2</c:v>
                </c:pt>
                <c:pt idx="16">
                  <c:v>-4.8001191425864898E-3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A7-4027-9EE3-D369BF915139}"/>
            </c:ext>
          </c:extLst>
        </c:ser>
        <c:ser>
          <c:idx val="2"/>
          <c:order val="2"/>
          <c:tx>
            <c:strRef>
              <c:f>put!$AR$10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put!$AR$11:$AR$27</c:f>
              <c:numCache>
                <c:formatCode>General</c:formatCode>
                <c:ptCount val="17"/>
                <c:pt idx="0">
                  <c:v>-0.99868673402053365</c:v>
                </c:pt>
                <c:pt idx="1">
                  <c:v>-0.99415298895596782</c:v>
                </c:pt>
                <c:pt idx="2">
                  <c:v>-0.98078500536712698</c:v>
                </c:pt>
                <c:pt idx="3">
                  <c:v>-0.95056549342913066</c:v>
                </c:pt>
                <c:pt idx="4">
                  <c:v>-0.89573043536076724</c:v>
                </c:pt>
                <c:pt idx="5">
                  <c:v>-0.81290248778862639</c:v>
                </c:pt>
                <c:pt idx="6">
                  <c:v>-0.70567310001943828</c:v>
                </c:pt>
                <c:pt idx="7">
                  <c:v>-0.58384710662090655</c:v>
                </c:pt>
                <c:pt idx="8">
                  <c:v>-0.46000711241294456</c:v>
                </c:pt>
                <c:pt idx="9">
                  <c:v>-0.34555716588791241</c:v>
                </c:pt>
                <c:pt idx="10">
                  <c:v>-0.24810817610949054</c:v>
                </c:pt>
                <c:pt idx="11">
                  <c:v>-0.17080729051251253</c:v>
                </c:pt>
                <c:pt idx="12">
                  <c:v>-0.11314146829123639</c:v>
                </c:pt>
                <c:pt idx="13">
                  <c:v>-7.236182589639506E-2</c:v>
                </c:pt>
                <c:pt idx="14">
                  <c:v>-4.4837567406159407E-2</c:v>
                </c:pt>
                <c:pt idx="15">
                  <c:v>-2.7002641924538162E-2</c:v>
                </c:pt>
                <c:pt idx="16">
                  <c:v>-1.5852087113856994E-2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A7-4027-9EE3-D369BF915139}"/>
            </c:ext>
          </c:extLst>
        </c:ser>
        <c:ser>
          <c:idx val="3"/>
          <c:order val="3"/>
          <c:tx>
            <c:strRef>
              <c:f>put!$AS$10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put!$AS$11:$AS$27</c:f>
              <c:numCache>
                <c:formatCode>General</c:formatCode>
                <c:ptCount val="17"/>
                <c:pt idx="0">
                  <c:v>-0.99500733996609969</c:v>
                </c:pt>
                <c:pt idx="1">
                  <c:v>-0.98439853521310394</c:v>
                </c:pt>
                <c:pt idx="2">
                  <c:v>-0.96112490376939341</c:v>
                </c:pt>
                <c:pt idx="3">
                  <c:v>-0.91928338097899298</c:v>
                </c:pt>
                <c:pt idx="4">
                  <c:v>-0.85545490352774345</c:v>
                </c:pt>
                <c:pt idx="5">
                  <c:v>-0.77053193108328744</c:v>
                </c:pt>
                <c:pt idx="6">
                  <c:v>-0.66979547949050677</c:v>
                </c:pt>
                <c:pt idx="7">
                  <c:v>-0.56134857249801873</c:v>
                </c:pt>
                <c:pt idx="8">
                  <c:v>-0.45384601264142221</c:v>
                </c:pt>
                <c:pt idx="9">
                  <c:v>-0.35453815378573783</c:v>
                </c:pt>
                <c:pt idx="10">
                  <c:v>-0.2681957426118291</c:v>
                </c:pt>
                <c:pt idx="11">
                  <c:v>-0.19695159463482959</c:v>
                </c:pt>
                <c:pt idx="12">
                  <c:v>-0.14076936184194067</c:v>
                </c:pt>
                <c:pt idx="13">
                  <c:v>-9.8175116216428271E-2</c:v>
                </c:pt>
                <c:pt idx="14">
                  <c:v>-6.6971680787246357E-2</c:v>
                </c:pt>
                <c:pt idx="15">
                  <c:v>-4.4787839514464522E-2</c:v>
                </c:pt>
                <c:pt idx="16">
                  <c:v>-2.9424844782154347E-2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A7-4027-9EE3-D369BF915139}"/>
            </c:ext>
          </c:extLst>
        </c:ser>
        <c:ser>
          <c:idx val="4"/>
          <c:order val="4"/>
          <c:tx>
            <c:strRef>
              <c:f>put!$AT$10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put!$AT$11:$AT$27</c:f>
              <c:numCache>
                <c:formatCode>General</c:formatCode>
                <c:ptCount val="17"/>
                <c:pt idx="0">
                  <c:v>-0.98864918253526834</c:v>
                </c:pt>
                <c:pt idx="1">
                  <c:v>-0.97135514264148681</c:v>
                </c:pt>
                <c:pt idx="2">
                  <c:v>-0.93963844251047635</c:v>
                </c:pt>
                <c:pt idx="3">
                  <c:v>-0.88999660249603174</c:v>
                </c:pt>
                <c:pt idx="4">
                  <c:v>-0.82180678459839196</c:v>
                </c:pt>
                <c:pt idx="5">
                  <c:v>-0.73776993263156676</c:v>
                </c:pt>
                <c:pt idx="6">
                  <c:v>-0.64320465993398146</c:v>
                </c:pt>
                <c:pt idx="7">
                  <c:v>-0.54465278448532417</c:v>
                </c:pt>
                <c:pt idx="8">
                  <c:v>-0.44842711362451881</c:v>
                </c:pt>
                <c:pt idx="9">
                  <c:v>-0.35955994735600627</c:v>
                </c:pt>
                <c:pt idx="10">
                  <c:v>-0.28131727903685144</c:v>
                </c:pt>
                <c:pt idx="11">
                  <c:v>-0.21520789168988552</c:v>
                </c:pt>
                <c:pt idx="12">
                  <c:v>-0.16130507751855228</c:v>
                </c:pt>
                <c:pt idx="13">
                  <c:v>-0.1186931376101773</c:v>
                </c:pt>
                <c:pt idx="14">
                  <c:v>-8.5901509738383175E-2</c:v>
                </c:pt>
                <c:pt idx="15">
                  <c:v>-6.1252647423470141E-2</c:v>
                </c:pt>
                <c:pt idx="16">
                  <c:v>-4.3101013576703928E-2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A7-4027-9EE3-D369BF915139}"/>
            </c:ext>
          </c:extLst>
        </c:ser>
        <c:ser>
          <c:idx val="5"/>
          <c:order val="5"/>
          <c:tx>
            <c:strRef>
              <c:f>put!$AU$10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put!$AU$11:$AU$27</c:f>
              <c:numCache>
                <c:formatCode>General</c:formatCode>
                <c:ptCount val="17"/>
                <c:pt idx="0">
                  <c:v>-0.9801200211979566</c:v>
                </c:pt>
                <c:pt idx="1">
                  <c:v>-0.95653186252639477</c:v>
                </c:pt>
                <c:pt idx="2">
                  <c:v>-0.91817123136383305</c:v>
                </c:pt>
                <c:pt idx="3">
                  <c:v>-0.86345561048023245</c:v>
                </c:pt>
                <c:pt idx="4">
                  <c:v>-0.79339207963546399</c:v>
                </c:pt>
                <c:pt idx="5">
                  <c:v>-0.71135950475813281</c:v>
                </c:pt>
                <c:pt idx="6">
                  <c:v>-0.62224795286560064</c:v>
                </c:pt>
                <c:pt idx="7">
                  <c:v>-0.53137304929510343</c:v>
                </c:pt>
                <c:pt idx="8">
                  <c:v>-0.44353629460817168</c:v>
                </c:pt>
                <c:pt idx="9">
                  <c:v>-0.3624308207054423</c:v>
                </c:pt>
                <c:pt idx="10">
                  <c:v>-0.29041967693435344</c:v>
                </c:pt>
                <c:pt idx="11">
                  <c:v>-0.22860493515588864</c:v>
                </c:pt>
                <c:pt idx="12">
                  <c:v>-0.17706804981193724</c:v>
                </c:pt>
                <c:pt idx="13">
                  <c:v>-0.13517294858026196</c:v>
                </c:pt>
                <c:pt idx="14">
                  <c:v>-0.10185624547043504</c:v>
                </c:pt>
                <c:pt idx="15">
                  <c:v>-7.5864077548471465E-2</c:v>
                </c:pt>
                <c:pt idx="16">
                  <c:v>-5.5922434399909848E-2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A7-4027-9EE3-D369BF915139}"/>
            </c:ext>
          </c:extLst>
        </c:ser>
        <c:ser>
          <c:idx val="6"/>
          <c:order val="6"/>
          <c:tx>
            <c:strRef>
              <c:f>put!$AV$10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put!$AV$11:$AV$27</c:f>
              <c:numCache>
                <c:formatCode>General</c:formatCode>
                <c:ptCount val="17"/>
                <c:pt idx="0">
                  <c:v>-0.97006775523526267</c:v>
                </c:pt>
                <c:pt idx="1">
                  <c:v>-0.94096106457413042</c:v>
                </c:pt>
                <c:pt idx="2">
                  <c:v>-0.8975366081156535</c:v>
                </c:pt>
                <c:pt idx="3">
                  <c:v>-0.83958778898814013</c:v>
                </c:pt>
                <c:pt idx="4">
                  <c:v>-0.76902433777372758</c:v>
                </c:pt>
                <c:pt idx="5">
                  <c:v>-0.68938336584831517</c:v>
                </c:pt>
                <c:pt idx="6">
                  <c:v>-0.60502620477444458</c:v>
                </c:pt>
                <c:pt idx="7">
                  <c:v>-0.5203251694133888</c:v>
                </c:pt>
                <c:pt idx="8">
                  <c:v>-0.43904628326616701</c:v>
                </c:pt>
                <c:pt idx="9">
                  <c:v>-0.36400558258912941</c:v>
                </c:pt>
                <c:pt idx="10">
                  <c:v>-0.29697784742910749</c:v>
                </c:pt>
                <c:pt idx="11">
                  <c:v>-0.23878616098400873</c:v>
                </c:pt>
                <c:pt idx="12">
                  <c:v>-0.18949083797813837</c:v>
                </c:pt>
                <c:pt idx="13">
                  <c:v>-0.14861015340398076</c:v>
                </c:pt>
                <c:pt idx="14">
                  <c:v>-0.1153277701028006</c:v>
                </c:pt>
                <c:pt idx="15">
                  <c:v>-8.8663185428034641E-2</c:v>
                </c:pt>
                <c:pt idx="16">
                  <c:v>-6.7597592081242719E-2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A7-4027-9EE3-D369BF915139}"/>
            </c:ext>
          </c:extLst>
        </c:ser>
        <c:ser>
          <c:idx val="7"/>
          <c:order val="7"/>
          <c:tx>
            <c:strRef>
              <c:f>put!$AW$10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put!$AW$11:$AW$27</c:f>
              <c:numCache>
                <c:formatCode>General</c:formatCode>
                <c:ptCount val="17"/>
                <c:pt idx="0">
                  <c:v>-0.95904909766423552</c:v>
                </c:pt>
                <c:pt idx="1">
                  <c:v>-0.92527188397817484</c:v>
                </c:pt>
                <c:pt idx="2">
                  <c:v>-0.87804528554403938</c:v>
                </c:pt>
                <c:pt idx="3">
                  <c:v>-0.81810037029895166</c:v>
                </c:pt>
                <c:pt idx="4">
                  <c:v>-0.7478146507670137</c:v>
                </c:pt>
                <c:pt idx="5">
                  <c:v>-0.67064466370442455</c:v>
                </c:pt>
                <c:pt idx="6">
                  <c:v>-0.59044006826425854</c:v>
                </c:pt>
                <c:pt idx="7">
                  <c:v>-0.51084211699665127</c:v>
                </c:pt>
                <c:pt idx="8">
                  <c:v>-0.43487410610469346</c:v>
                </c:pt>
                <c:pt idx="9">
                  <c:v>-0.36474330915224373</c:v>
                </c:pt>
                <c:pt idx="10">
                  <c:v>-0.30181817478322093</c:v>
                </c:pt>
                <c:pt idx="11">
                  <c:v>-0.24672234308969565</c:v>
                </c:pt>
                <c:pt idx="12">
                  <c:v>-0.19948822940550293</c:v>
                </c:pt>
                <c:pt idx="13">
                  <c:v>-0.15972585603915745</c:v>
                </c:pt>
                <c:pt idx="14">
                  <c:v>-0.12677851771428283</c:v>
                </c:pt>
                <c:pt idx="15">
                  <c:v>-9.9850813935310367E-2</c:v>
                </c:pt>
                <c:pt idx="16">
                  <c:v>-7.8104680465358789E-2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A7-4027-9EE3-D369BF915139}"/>
            </c:ext>
          </c:extLst>
        </c:ser>
        <c:ser>
          <c:idx val="8"/>
          <c:order val="8"/>
          <c:tx>
            <c:strRef>
              <c:f>put!$AX$10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put!$AX$11:$AX$27</c:f>
              <c:numCache>
                <c:formatCode>General</c:formatCode>
                <c:ptCount val="17"/>
                <c:pt idx="0">
                  <c:v>-0.94748399738581035</c:v>
                </c:pt>
                <c:pt idx="1">
                  <c:v>-0.90982718659992456</c:v>
                </c:pt>
                <c:pt idx="2">
                  <c:v>-0.85977360332933828</c:v>
                </c:pt>
                <c:pt idx="3">
                  <c:v>-0.79867181429170175</c:v>
                </c:pt>
                <c:pt idx="4">
                  <c:v>-0.72910925383215464</c:v>
                </c:pt>
                <c:pt idx="5">
                  <c:v>-0.65435610431318025</c:v>
                </c:pt>
                <c:pt idx="6">
                  <c:v>-0.57780208416455869</c:v>
                </c:pt>
                <c:pt idx="7">
                  <c:v>-0.50251371636138731</c:v>
                </c:pt>
                <c:pt idx="8">
                  <c:v>-0.43096209583856271</c:v>
                </c:pt>
                <c:pt idx="9">
                  <c:v>-0.36491321269559851</c:v>
                </c:pt>
                <c:pt idx="10">
                  <c:v>-0.30544231654306619</c:v>
                </c:pt>
                <c:pt idx="11">
                  <c:v>-0.25302566857316078</c:v>
                </c:pt>
                <c:pt idx="12">
                  <c:v>-0.20766842830901577</c:v>
                </c:pt>
                <c:pt idx="13">
                  <c:v>-0.16903849174838326</c:v>
                </c:pt>
                <c:pt idx="14">
                  <c:v>-0.13658767823312523</c:v>
                </c:pt>
                <c:pt idx="15">
                  <c:v>-0.10965117703705984</c:v>
                </c:pt>
                <c:pt idx="16">
                  <c:v>-8.7522828477867298E-2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AA7-4027-9EE3-D369BF915139}"/>
            </c:ext>
          </c:extLst>
        </c:ser>
        <c:ser>
          <c:idx val="9"/>
          <c:order val="9"/>
          <c:tx>
            <c:strRef>
              <c:f>put!$AY$10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put!$AY$11:$AY$27</c:f>
              <c:numCache>
                <c:formatCode>General</c:formatCode>
                <c:ptCount val="17"/>
                <c:pt idx="0">
                  <c:v>-0.93567143682162501</c:v>
                </c:pt>
                <c:pt idx="1">
                  <c:v>-0.89482611219229768</c:v>
                </c:pt>
                <c:pt idx="2">
                  <c:v>-0.84269193278455323</c:v>
                </c:pt>
                <c:pt idx="3">
                  <c:v>-0.78100943988166782</c:v>
                </c:pt>
                <c:pt idx="4">
                  <c:v>-0.71242345118592665</c:v>
                </c:pt>
                <c:pt idx="5">
                  <c:v>-0.63997666916532903</c:v>
                </c:pt>
                <c:pt idx="6">
                  <c:v>-0.56665658907905203</c:v>
                </c:pt>
                <c:pt idx="7">
                  <c:v>-0.49507092011561626</c:v>
                </c:pt>
                <c:pt idx="8">
                  <c:v>-0.42726824069695946</c:v>
                </c:pt>
                <c:pt idx="9">
                  <c:v>-0.36468367724410999</c:v>
                </c:pt>
                <c:pt idx="10">
                  <c:v>-0.30817362101832413</c:v>
                </c:pt>
                <c:pt idx="11">
                  <c:v>-0.25810246366170242</c:v>
                </c:pt>
                <c:pt idx="12">
                  <c:v>-0.21445103070189353</c:v>
                </c:pt>
                <c:pt idx="13">
                  <c:v>-0.17692558288666227</c:v>
                </c:pt>
                <c:pt idx="14">
                  <c:v>-0.14505487619059876</c:v>
                </c:pt>
                <c:pt idx="15">
                  <c:v>-0.11826948842735363</c:v>
                </c:pt>
                <c:pt idx="16">
                  <c:v>-9.5962181134868874E-2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AA7-4027-9EE3-D369BF915139}"/>
            </c:ext>
          </c:extLst>
        </c:ser>
        <c:ser>
          <c:idx val="10"/>
          <c:order val="10"/>
          <c:tx>
            <c:strRef>
              <c:f>put!$AZ$10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put!$AZ$11:$AZ$27</c:f>
              <c:numCache>
                <c:formatCode>General</c:formatCode>
                <c:ptCount val="17"/>
                <c:pt idx="0">
                  <c:v>-0.82760802885631146</c:v>
                </c:pt>
                <c:pt idx="1">
                  <c:v>-0.77520315606192436</c:v>
                </c:pt>
                <c:pt idx="2">
                  <c:v>-0.71952075660120351</c:v>
                </c:pt>
                <c:pt idx="3">
                  <c:v>-0.66231908916757454</c:v>
                </c:pt>
                <c:pt idx="4">
                  <c:v>-0.60514295751881164</c:v>
                </c:pt>
                <c:pt idx="5">
                  <c:v>-0.54925855366537546</c:v>
                </c:pt>
                <c:pt idx="6">
                  <c:v>-0.49563750571488163</c:v>
                </c:pt>
                <c:pt idx="7">
                  <c:v>-0.44497280460428268</c:v>
                </c:pt>
                <c:pt idx="8">
                  <c:v>-0.39771250319529661</c:v>
                </c:pt>
                <c:pt idx="9">
                  <c:v>-0.35410097844860078</c:v>
                </c:pt>
                <c:pt idx="10">
                  <c:v>-0.31422106223939261</c:v>
                </c:pt>
                <c:pt idx="11">
                  <c:v>-0.27803309935298359</c:v>
                </c:pt>
                <c:pt idx="12">
                  <c:v>-0.245408953933274</c:v>
                </c:pt>
                <c:pt idx="13">
                  <c:v>-0.21616027879298261</c:v>
                </c:pt>
                <c:pt idx="14">
                  <c:v>-0.19006114648737371</c:v>
                </c:pt>
                <c:pt idx="15">
                  <c:v>-0.16686556750780079</c:v>
                </c:pt>
                <c:pt idx="16">
                  <c:v>-0.14632061111336547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AA7-4027-9EE3-D369BF915139}"/>
            </c:ext>
          </c:extLst>
        </c:ser>
        <c:ser>
          <c:idx val="11"/>
          <c:order val="11"/>
          <c:tx>
            <c:strRef>
              <c:f>put!$BA$10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put!$BA$11:$BA$27</c:f>
              <c:numCache>
                <c:formatCode>General</c:formatCode>
                <c:ptCount val="17"/>
                <c:pt idx="0">
                  <c:v>-0.74714796680976803</c:v>
                </c:pt>
                <c:pt idx="1">
                  <c:v>-0.6954993169592607</c:v>
                </c:pt>
                <c:pt idx="2">
                  <c:v>-0.64389089311574621</c:v>
                </c:pt>
                <c:pt idx="3">
                  <c:v>-0.59332314529799546</c:v>
                </c:pt>
                <c:pt idx="4">
                  <c:v>-0.54454758788761459</c:v>
                </c:pt>
                <c:pt idx="5">
                  <c:v>-0.49809512869829664</c:v>
                </c:pt>
                <c:pt idx="6">
                  <c:v>-0.45431124070599771</c:v>
                </c:pt>
                <c:pt idx="7">
                  <c:v>-0.41339176139808453</c:v>
                </c:pt>
                <c:pt idx="8">
                  <c:v>-0.37541594204455841</c:v>
                </c:pt>
                <c:pt idx="9">
                  <c:v>-0.34037519782795722</c:v>
                </c:pt>
                <c:pt idx="10">
                  <c:v>-0.30819711245370862</c:v>
                </c:pt>
                <c:pt idx="11">
                  <c:v>-0.27876486598286454</c:v>
                </c:pt>
                <c:pt idx="12">
                  <c:v>-0.25193255955166927</c:v>
                </c:pt>
                <c:pt idx="13">
                  <c:v>-0.22753702816334076</c:v>
                </c:pt>
                <c:pt idx="14">
                  <c:v>-0.20540674368816236</c:v>
                </c:pt>
                <c:pt idx="15">
                  <c:v>-0.18536836561406411</c:v>
                </c:pt>
                <c:pt idx="16">
                  <c:v>-0.16725142786114877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AA7-4027-9EE3-D369BF915139}"/>
            </c:ext>
          </c:extLst>
        </c:ser>
        <c:ser>
          <c:idx val="12"/>
          <c:order val="12"/>
          <c:tx>
            <c:strRef>
              <c:f>put!$BB$10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put!$BB$11:$BB$27</c:f>
              <c:numCache>
                <c:formatCode>General</c:formatCode>
                <c:ptCount val="17"/>
                <c:pt idx="0">
                  <c:v>-0.68605874158405855</c:v>
                </c:pt>
                <c:pt idx="1">
                  <c:v>-0.63732017542195851</c:v>
                </c:pt>
                <c:pt idx="2">
                  <c:v>-0.59009586095973765</c:v>
                </c:pt>
                <c:pt idx="3">
                  <c:v>-0.54490681007005426</c:v>
                </c:pt>
                <c:pt idx="4">
                  <c:v>-0.50209014965405951</c:v>
                </c:pt>
                <c:pt idx="5">
                  <c:v>-0.46183900015825552</c:v>
                </c:pt>
                <c:pt idx="6">
                  <c:v>-0.42423701798348556</c:v>
                </c:pt>
                <c:pt idx="7">
                  <c:v>-0.38928699917989928</c:v>
                </c:pt>
                <c:pt idx="8">
                  <c:v>-0.35693383673749857</c:v>
                </c:pt>
                <c:pt idx="9">
                  <c:v>-0.32708251377171815</c:v>
                </c:pt>
                <c:pt idx="10">
                  <c:v>-0.29961193101075256</c:v>
                </c:pt>
                <c:pt idx="11">
                  <c:v>-0.27438534458062125</c:v>
                </c:pt>
                <c:pt idx="12">
                  <c:v>-0.25125810561422335</c:v>
                </c:pt>
                <c:pt idx="13">
                  <c:v>-0.23008328807271095</c:v>
                </c:pt>
                <c:pt idx="14">
                  <c:v>-0.21071568645830396</c:v>
                </c:pt>
                <c:pt idx="15">
                  <c:v>-0.19301457050780468</c:v>
                </c:pt>
                <c:pt idx="16">
                  <c:v>-0.17684550299325896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AA7-4027-9EE3-D369BF915139}"/>
            </c:ext>
          </c:extLst>
        </c:ser>
        <c:ser>
          <c:idx val="13"/>
          <c:order val="13"/>
          <c:tx>
            <c:strRef>
              <c:f>put!$BC$10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put!$AO$11:$AO$27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put!$BC$11:$BC$27</c:f>
              <c:numCache>
                <c:formatCode>General</c:formatCode>
                <c:ptCount val="17"/>
                <c:pt idx="0">
                  <c:v>-0.63741139706825356</c:v>
                </c:pt>
                <c:pt idx="1">
                  <c:v>-0.59181932468991505</c:v>
                </c:pt>
                <c:pt idx="2">
                  <c:v>-0.54845300509914008</c:v>
                </c:pt>
                <c:pt idx="3">
                  <c:v>-0.50754168118532883</c:v>
                </c:pt>
                <c:pt idx="4">
                  <c:v>-0.46919124044230576</c:v>
                </c:pt>
                <c:pt idx="5">
                  <c:v>-0.43341874291344296</c:v>
                </c:pt>
                <c:pt idx="6">
                  <c:v>-0.40017907667774644</c:v>
                </c:pt>
                <c:pt idx="7">
                  <c:v>-0.36938513644082593</c:v>
                </c:pt>
                <c:pt idx="8">
                  <c:v>-0.34092285507232256</c:v>
                </c:pt>
                <c:pt idx="9">
                  <c:v>-0.31466223641772739</c:v>
                </c:pt>
                <c:pt idx="10">
                  <c:v>-0.29046533054367063</c:v>
                </c:pt>
                <c:pt idx="11">
                  <c:v>-0.2681918990694907</c:v>
                </c:pt>
                <c:pt idx="12">
                  <c:v>-0.24770335266730614</c:v>
                </c:pt>
                <c:pt idx="13">
                  <c:v>-0.22886540770586983</c:v>
                </c:pt>
                <c:pt idx="14">
                  <c:v>-0.21154980187022532</c:v>
                </c:pt>
                <c:pt idx="15">
                  <c:v>-0.19563532516962057</c:v>
                </c:pt>
                <c:pt idx="16">
                  <c:v>-0.18100835859699094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AA7-4027-9EE3-D369BF915139}"/>
            </c:ext>
          </c:extLst>
        </c:ser>
        <c:bandFmts/>
        <c:axId val="893224416"/>
        <c:axId val="893238336"/>
        <c:axId val="1925296992"/>
      </c:surface3DChart>
      <c:catAx>
        <c:axId val="89322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aseline="0"/>
                  <a:t>price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  <c:auto val="1"/>
        <c:lblAlgn val="ctr"/>
        <c:lblOffset val="100"/>
        <c:noMultiLvlLbl val="0"/>
      </c:catAx>
      <c:valAx>
        <c:axId val="8932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24416"/>
        <c:crosses val="autoZero"/>
        <c:crossBetween val="midCat"/>
      </c:valAx>
      <c:serAx>
        <c:axId val="1925296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time</a:t>
                </a:r>
                <a:r>
                  <a:rPr lang="it-IT" baseline="0"/>
                  <a:t> at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9323833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solidFill>
        <a:schemeClr val="bg2"/>
      </a:solidFill>
    </a:ln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Theta,</a:t>
            </a:r>
            <a:r>
              <a:rPr lang="it-IT" baseline="0"/>
              <a:t> volatility = 0,2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put!$F$50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put!$F$51:$F$67</c:f>
              <c:numCache>
                <c:formatCode>General</c:formatCode>
                <c:ptCount val="17"/>
                <c:pt idx="0">
                  <c:v>2.7369876707761614E-3</c:v>
                </c:pt>
                <c:pt idx="1">
                  <c:v>2.7369876681515035E-3</c:v>
                </c:pt>
                <c:pt idx="2">
                  <c:v>2.7369837302933173E-3</c:v>
                </c:pt>
                <c:pt idx="3">
                  <c:v>2.7359479027115495E-3</c:v>
                </c:pt>
                <c:pt idx="4">
                  <c:v>2.6717645775621779E-3</c:v>
                </c:pt>
                <c:pt idx="5">
                  <c:v>1.5028967980634915E-3</c:v>
                </c:pt>
                <c:pt idx="6">
                  <c:v>-5.7855324286142451E-3</c:v>
                </c:pt>
                <c:pt idx="7">
                  <c:v>-2.2353693340459061E-2</c:v>
                </c:pt>
                <c:pt idx="8">
                  <c:v>-3.3138839605564345E-2</c:v>
                </c:pt>
                <c:pt idx="9">
                  <c:v>-2.5337933274044776E-2</c:v>
                </c:pt>
                <c:pt idx="10">
                  <c:v>-1.117283449865239E-2</c:v>
                </c:pt>
                <c:pt idx="11">
                  <c:v>-3.0723408263804877E-3</c:v>
                </c:pt>
                <c:pt idx="12">
                  <c:v>-5.6104741696458066E-4</c:v>
                </c:pt>
                <c:pt idx="13">
                  <c:v>-7.1710968338680714E-5</c:v>
                </c:pt>
                <c:pt idx="14">
                  <c:v>-6.7083287840061452E-6</c:v>
                </c:pt>
                <c:pt idx="15">
                  <c:v>-4.77193182814048E-7</c:v>
                </c:pt>
                <c:pt idx="16">
                  <c:v>-2.6677459502926939E-8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7-4C74-BD06-E6379DF9D11C}"/>
            </c:ext>
          </c:extLst>
        </c:ser>
        <c:ser>
          <c:idx val="1"/>
          <c:order val="1"/>
          <c:tx>
            <c:strRef>
              <c:f>put!$G$50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put!$G$51:$G$67</c:f>
              <c:numCache>
                <c:formatCode>General</c:formatCode>
                <c:ptCount val="17"/>
                <c:pt idx="0">
                  <c:v>2.7342502643824419E-3</c:v>
                </c:pt>
                <c:pt idx="1">
                  <c:v>2.7340492412950088E-3</c:v>
                </c:pt>
                <c:pt idx="2">
                  <c:v>2.7263113586952744E-3</c:v>
                </c:pt>
                <c:pt idx="3">
                  <c:v>2.6039411944277975E-3</c:v>
                </c:pt>
                <c:pt idx="4">
                  <c:v>1.6916127881992887E-3</c:v>
                </c:pt>
                <c:pt idx="5">
                  <c:v>-1.8490017602469807E-3</c:v>
                </c:pt>
                <c:pt idx="6">
                  <c:v>-9.448028391835412E-3</c:v>
                </c:pt>
                <c:pt idx="7">
                  <c:v>-1.8443459652378272E-2</c:v>
                </c:pt>
                <c:pt idx="8">
                  <c:v>-2.2993612858065116E-2</c:v>
                </c:pt>
                <c:pt idx="9">
                  <c:v>-2.0450501631154607E-2</c:v>
                </c:pt>
                <c:pt idx="10">
                  <c:v>-1.3748919358963569E-2</c:v>
                </c:pt>
                <c:pt idx="11">
                  <c:v>-7.2801271656312378E-3</c:v>
                </c:pt>
                <c:pt idx="12">
                  <c:v>-3.136389797684581E-3</c:v>
                </c:pt>
                <c:pt idx="13">
                  <c:v>-1.1292793655355525E-3</c:v>
                </c:pt>
                <c:pt idx="14">
                  <c:v>-3.476026125224739E-4</c:v>
                </c:pt>
                <c:pt idx="15">
                  <c:v>-9.3252521724367709E-5</c:v>
                </c:pt>
                <c:pt idx="16">
                  <c:v>-2.2168953354892726E-5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47-4C74-BD06-E6379DF9D11C}"/>
            </c:ext>
          </c:extLst>
        </c:ser>
        <c:ser>
          <c:idx val="2"/>
          <c:order val="2"/>
          <c:tx>
            <c:strRef>
              <c:f>put!$H$50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put!$H$51:$H$67</c:f>
              <c:numCache>
                <c:formatCode>General</c:formatCode>
                <c:ptCount val="17"/>
                <c:pt idx="0">
                  <c:v>2.7311833890562628E-3</c:v>
                </c:pt>
                <c:pt idx="1">
                  <c:v>2.7235870145911321E-3</c:v>
                </c:pt>
                <c:pt idx="2">
                  <c:v>2.6393786805498434E-3</c:v>
                </c:pt>
                <c:pt idx="3">
                  <c:v>2.1321410984476998E-3</c:v>
                </c:pt>
                <c:pt idx="4">
                  <c:v>3.1601953838322728E-4</c:v>
                </c:pt>
                <c:pt idx="5">
                  <c:v>-3.8003837784603184E-3</c:v>
                </c:pt>
                <c:pt idx="6">
                  <c:v>-9.9066528213895035E-3</c:v>
                </c:pt>
                <c:pt idx="7">
                  <c:v>-1.5711393758076779E-2</c:v>
                </c:pt>
                <c:pt idx="8">
                  <c:v>-1.849238810150582E-2</c:v>
                </c:pt>
                <c:pt idx="9">
                  <c:v>-1.73078842713002E-2</c:v>
                </c:pt>
                <c:pt idx="10">
                  <c:v>-1.3403979058221752E-2</c:v>
                </c:pt>
                <c:pt idx="11">
                  <c:v>-8.8369860716336762E-3</c:v>
                </c:pt>
                <c:pt idx="12">
                  <c:v>-5.0715467988013624E-3</c:v>
                </c:pt>
                <c:pt idx="13">
                  <c:v>-2.5803533415990182E-3</c:v>
                </c:pt>
                <c:pt idx="14">
                  <c:v>-1.1818803747454113E-3</c:v>
                </c:pt>
                <c:pt idx="15">
                  <c:v>-4.9371602905946019E-4</c:v>
                </c:pt>
                <c:pt idx="16">
                  <c:v>-1.902127436565496E-4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47-4C74-BD06-E6379DF9D11C}"/>
            </c:ext>
          </c:extLst>
        </c:ser>
        <c:ser>
          <c:idx val="3"/>
          <c:order val="3"/>
          <c:tx>
            <c:strRef>
              <c:f>put!$I$50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put!$I$51:$I$67</c:f>
              <c:numCache>
                <c:formatCode>General</c:formatCode>
                <c:ptCount val="17"/>
                <c:pt idx="0">
                  <c:v>2.7243724463814679E-3</c:v>
                </c:pt>
                <c:pt idx="1">
                  <c:v>2.6811806459428435E-3</c:v>
                </c:pt>
                <c:pt idx="2">
                  <c:v>2.4274870564234192E-3</c:v>
                </c:pt>
                <c:pt idx="3">
                  <c:v>1.4944162689969106E-3</c:v>
                </c:pt>
                <c:pt idx="4">
                  <c:v>-8.0282702751496946E-4</c:v>
                </c:pt>
                <c:pt idx="5">
                  <c:v>-4.7642125812214931E-3</c:v>
                </c:pt>
                <c:pt idx="6">
                  <c:v>-9.6446379181134578E-3</c:v>
                </c:pt>
                <c:pt idx="7">
                  <c:v>-1.3818778486852864E-2</c:v>
                </c:pt>
                <c:pt idx="8">
                  <c:v>-1.5805322284266579E-2</c:v>
                </c:pt>
                <c:pt idx="9">
                  <c:v>-1.517994164338104E-2</c:v>
                </c:pt>
                <c:pt idx="10">
                  <c:v>-1.2622858717771737E-2</c:v>
                </c:pt>
                <c:pt idx="11">
                  <c:v>-9.2899077420582205E-3</c:v>
                </c:pt>
                <c:pt idx="12">
                  <c:v>-6.1557878360793076E-3</c:v>
                </c:pt>
                <c:pt idx="13">
                  <c:v>-3.724313657538292E-3</c:v>
                </c:pt>
                <c:pt idx="14">
                  <c:v>-2.0814487313496398E-3</c:v>
                </c:pt>
                <c:pt idx="15">
                  <c:v>-1.0852581265595436E-3</c:v>
                </c:pt>
                <c:pt idx="16">
                  <c:v>-5.3237761856354078E-4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47-4C74-BD06-E6379DF9D11C}"/>
            </c:ext>
          </c:extLst>
        </c:ser>
        <c:ser>
          <c:idx val="4"/>
          <c:order val="4"/>
          <c:tx>
            <c:strRef>
              <c:f>put!$J$50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put!$J$51:$J$67</c:f>
              <c:numCache>
                <c:formatCode>General</c:formatCode>
                <c:ptCount val="17"/>
                <c:pt idx="0">
                  <c:v>2.7058361172622833E-3</c:v>
                </c:pt>
                <c:pt idx="1">
                  <c:v>2.5898788296770648E-3</c:v>
                </c:pt>
                <c:pt idx="2">
                  <c:v>2.127271829645852E-3</c:v>
                </c:pt>
                <c:pt idx="3">
                  <c:v>8.6688433771052226E-4</c:v>
                </c:pt>
                <c:pt idx="4">
                  <c:v>-1.6057693434508638E-3</c:v>
                </c:pt>
                <c:pt idx="5">
                  <c:v>-5.2215040062623076E-3</c:v>
                </c:pt>
                <c:pt idx="6">
                  <c:v>-9.2099953475645747E-3</c:v>
                </c:pt>
                <c:pt idx="7">
                  <c:v>-1.242393818581145E-2</c:v>
                </c:pt>
                <c:pt idx="8">
                  <c:v>-1.3969072746898376E-2</c:v>
                </c:pt>
                <c:pt idx="9">
                  <c:v>-1.3628647635494213E-2</c:v>
                </c:pt>
                <c:pt idx="10">
                  <c:v>-1.1830226857952278E-2</c:v>
                </c:pt>
                <c:pt idx="11">
                  <c:v>-9.3031841258980393E-3</c:v>
                </c:pt>
                <c:pt idx="12">
                  <c:v>-6.721572069511658E-3</c:v>
                </c:pt>
                <c:pt idx="13">
                  <c:v>-4.5129520648673543E-3</c:v>
                </c:pt>
                <c:pt idx="14">
                  <c:v>-2.8426010117029513E-3</c:v>
                </c:pt>
                <c:pt idx="15">
                  <c:v>-1.6932109103448476E-3</c:v>
                </c:pt>
                <c:pt idx="16">
                  <c:v>-9.6031261788383844E-4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47-4C74-BD06-E6379DF9D11C}"/>
            </c:ext>
          </c:extLst>
        </c:ser>
        <c:ser>
          <c:idx val="5"/>
          <c:order val="5"/>
          <c:tx>
            <c:strRef>
              <c:f>put!$K$50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put!$K$51:$K$67</c:f>
              <c:numCache>
                <c:formatCode>General</c:formatCode>
                <c:ptCount val="17"/>
                <c:pt idx="0">
                  <c:v>2.6684533991827102E-3</c:v>
                </c:pt>
                <c:pt idx="1">
                  <c:v>2.4532726531850649E-3</c:v>
                </c:pt>
                <c:pt idx="2">
                  <c:v>1.7917326461260278E-3</c:v>
                </c:pt>
                <c:pt idx="3">
                  <c:v>3.185721391347315E-4</c:v>
                </c:pt>
                <c:pt idx="4">
                  <c:v>-2.1635647121954257E-3</c:v>
                </c:pt>
                <c:pt idx="5">
                  <c:v>-5.4157270600014443E-3</c:v>
                </c:pt>
                <c:pt idx="6">
                  <c:v>-8.75230159651612E-3</c:v>
                </c:pt>
                <c:pt idx="7">
                  <c:v>-1.1344447678725895E-2</c:v>
                </c:pt>
                <c:pt idx="8">
                  <c:v>-1.2611812053725156E-2</c:v>
                </c:pt>
                <c:pt idx="9">
                  <c:v>-1.2435752478359053E-2</c:v>
                </c:pt>
                <c:pt idx="10">
                  <c:v>-1.1110304871270228E-2</c:v>
                </c:pt>
                <c:pt idx="11">
                  <c:v>-9.1334328622189338E-3</c:v>
                </c:pt>
                <c:pt idx="12">
                  <c:v>-6.9918512955231011E-3</c:v>
                </c:pt>
                <c:pt idx="13">
                  <c:v>-5.032689648778314E-3</c:v>
                </c:pt>
                <c:pt idx="14">
                  <c:v>-3.4335066038971751E-3</c:v>
                </c:pt>
                <c:pt idx="15">
                  <c:v>-2.2353029611994137E-3</c:v>
                </c:pt>
                <c:pt idx="16">
                  <c:v>-1.3966671669448823E-3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47-4C74-BD06-E6379DF9D11C}"/>
            </c:ext>
          </c:extLst>
        </c:ser>
        <c:ser>
          <c:idx val="6"/>
          <c:order val="6"/>
          <c:tx>
            <c:strRef>
              <c:f>put!$L$50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put!$L$51:$L$67</c:f>
              <c:numCache>
                <c:formatCode>General</c:formatCode>
                <c:ptCount val="17"/>
                <c:pt idx="0">
                  <c:v>2.6099133627872427E-3</c:v>
                </c:pt>
                <c:pt idx="1">
                  <c:v>2.2851686389550453E-3</c:v>
                </c:pt>
                <c:pt idx="2">
                  <c:v>1.4574375252183983E-3</c:v>
                </c:pt>
                <c:pt idx="3">
                  <c:v>-1.3736968218990028E-4</c:v>
                </c:pt>
                <c:pt idx="4">
                  <c:v>-2.5473518305614883E-3</c:v>
                </c:pt>
                <c:pt idx="5">
                  <c:v>-5.4679490114194545E-3</c:v>
                </c:pt>
                <c:pt idx="6">
                  <c:v>-8.316396631598456E-3</c:v>
                </c:pt>
                <c:pt idx="7">
                  <c:v>-1.0477948844249879E-2</c:v>
                </c:pt>
                <c:pt idx="8">
                  <c:v>-1.155558812334685E-2</c:v>
                </c:pt>
                <c:pt idx="9">
                  <c:v>-1.1482276147885462E-2</c:v>
                </c:pt>
                <c:pt idx="10">
                  <c:v>-1.0473173138676106E-2</c:v>
                </c:pt>
                <c:pt idx="11">
                  <c:v>-8.8881062411593475E-3</c:v>
                </c:pt>
                <c:pt idx="12">
                  <c:v>-7.091938203323646E-3</c:v>
                </c:pt>
                <c:pt idx="13">
                  <c:v>-5.3654685291421563E-3</c:v>
                </c:pt>
                <c:pt idx="14">
                  <c:v>-3.87581998473537E-3</c:v>
                </c:pt>
                <c:pt idx="15">
                  <c:v>-2.6889067992530305E-3</c:v>
                </c:pt>
                <c:pt idx="16">
                  <c:v>-1.80055641051715E-3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47-4C74-BD06-E6379DF9D11C}"/>
            </c:ext>
          </c:extLst>
        </c:ser>
        <c:ser>
          <c:idx val="7"/>
          <c:order val="7"/>
          <c:tx>
            <c:strRef>
              <c:f>put!$M$50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put!$M$51:$M$67</c:f>
              <c:numCache>
                <c:formatCode>General</c:formatCode>
                <c:ptCount val="17"/>
                <c:pt idx="0">
                  <c:v>2.5321197887192225E-3</c:v>
                </c:pt>
                <c:pt idx="1">
                  <c:v>2.1000666026867384E-3</c:v>
                </c:pt>
                <c:pt idx="2">
                  <c:v>1.1438947914170113E-3</c:v>
                </c:pt>
                <c:pt idx="3">
                  <c:v>-5.0836527146027048E-4</c:v>
                </c:pt>
                <c:pt idx="4">
                  <c:v>-2.8096338385570309E-3</c:v>
                </c:pt>
                <c:pt idx="5">
                  <c:v>-5.4411906845027802E-3</c:v>
                </c:pt>
                <c:pt idx="6">
                  <c:v>-7.914630659693174E-3</c:v>
                </c:pt>
                <c:pt idx="7">
                  <c:v>-9.7628174195835919E-3</c:v>
                </c:pt>
                <c:pt idx="8">
                  <c:v>-1.0703119067116943E-2</c:v>
                </c:pt>
                <c:pt idx="9">
                  <c:v>-1.0697729851840782E-2</c:v>
                </c:pt>
                <c:pt idx="10">
                  <c:v>-9.911388061711596E-3</c:v>
                </c:pt>
                <c:pt idx="11">
                  <c:v>-8.6154580731875336E-3</c:v>
                </c:pt>
                <c:pt idx="12">
                  <c:v>-7.0921118946542534E-3</c:v>
                </c:pt>
                <c:pt idx="13">
                  <c:v>-5.570369512093362E-3</c:v>
                </c:pt>
                <c:pt idx="14">
                  <c:v>-4.2003869756897889E-3</c:v>
                </c:pt>
                <c:pt idx="15">
                  <c:v>-3.0566349010857532E-3</c:v>
                </c:pt>
                <c:pt idx="16">
                  <c:v>-2.1560497796347662E-3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47-4C74-BD06-E6379DF9D11C}"/>
            </c:ext>
          </c:extLst>
        </c:ser>
        <c:ser>
          <c:idx val="8"/>
          <c:order val="8"/>
          <c:tx>
            <c:strRef>
              <c:f>put!$N$50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put!$N$51:$N$67</c:f>
              <c:numCache>
                <c:formatCode>General</c:formatCode>
                <c:ptCount val="17"/>
                <c:pt idx="0">
                  <c:v>2.4391215321312278E-3</c:v>
                </c:pt>
                <c:pt idx="1">
                  <c:v>1.9094247024980878E-3</c:v>
                </c:pt>
                <c:pt idx="2">
                  <c:v>8.5949509555350754E-4</c:v>
                </c:pt>
                <c:pt idx="3">
                  <c:v>-8.0736803854946748E-4</c:v>
                </c:pt>
                <c:pt idx="4">
                  <c:v>-2.9866838245830654E-3</c:v>
                </c:pt>
                <c:pt idx="5">
                  <c:v>-5.3698786361846941E-3</c:v>
                </c:pt>
                <c:pt idx="6">
                  <c:v>-7.5483910362374399E-3</c:v>
                </c:pt>
                <c:pt idx="7">
                  <c:v>-9.1596527495402015E-3</c:v>
                </c:pt>
                <c:pt idx="8">
                  <c:v>-9.9961389805360654E-3</c:v>
                </c:pt>
                <c:pt idx="9">
                  <c:v>-1.0037508628097647E-2</c:v>
                </c:pt>
                <c:pt idx="10">
                  <c:v>-9.4143099762009474E-3</c:v>
                </c:pt>
                <c:pt idx="11">
                  <c:v>-8.3381205893114374E-3</c:v>
                </c:pt>
                <c:pt idx="12">
                  <c:v>-7.032870539297003E-3</c:v>
                </c:pt>
                <c:pt idx="13">
                  <c:v>-5.6875385297949933E-3</c:v>
                </c:pt>
                <c:pt idx="14">
                  <c:v>-4.4346960683529198E-3</c:v>
                </c:pt>
                <c:pt idx="15">
                  <c:v>-3.3494776845680997E-3</c:v>
                </c:pt>
                <c:pt idx="16">
                  <c:v>-2.4602616949728345E-3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47-4C74-BD06-E6379DF9D11C}"/>
            </c:ext>
          </c:extLst>
        </c:ser>
        <c:ser>
          <c:idx val="9"/>
          <c:order val="9"/>
          <c:tx>
            <c:strRef>
              <c:f>put!$O$50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put!$O$51:$O$67</c:f>
              <c:numCache>
                <c:formatCode>General</c:formatCode>
                <c:ptCount val="17"/>
                <c:pt idx="0">
                  <c:v>2.3354763350554903E-3</c:v>
                </c:pt>
                <c:pt idx="1">
                  <c:v>1.7211502940559253E-3</c:v>
                </c:pt>
                <c:pt idx="2">
                  <c:v>6.0642943156033588E-4</c:v>
                </c:pt>
                <c:pt idx="3">
                  <c:v>-1.0473414030026421E-3</c:v>
                </c:pt>
                <c:pt idx="4">
                  <c:v>-3.1032982462020553E-3</c:v>
                </c:pt>
                <c:pt idx="5">
                  <c:v>-5.27360248654999E-3</c:v>
                </c:pt>
                <c:pt idx="6">
                  <c:v>-7.2153676469695043E-3</c:v>
                </c:pt>
                <c:pt idx="7">
                  <c:v>-8.6420006790627942E-3</c:v>
                </c:pt>
                <c:pt idx="8">
                  <c:v>-9.3973369336955298E-3</c:v>
                </c:pt>
                <c:pt idx="9">
                  <c:v>-9.4718798609859673E-3</c:v>
                </c:pt>
                <c:pt idx="10">
                  <c:v>-8.9719113156662058E-3</c:v>
                </c:pt>
                <c:pt idx="11">
                  <c:v>-8.0668457030440462E-3</c:v>
                </c:pt>
                <c:pt idx="12">
                  <c:v>-6.9382662430604305E-3</c:v>
                </c:pt>
                <c:pt idx="13">
                  <c:v>-5.7440220500802573E-3</c:v>
                </c:pt>
                <c:pt idx="14">
                  <c:v>-4.6005244339118734E-3</c:v>
                </c:pt>
                <c:pt idx="15">
                  <c:v>-3.5798905673844849E-3</c:v>
                </c:pt>
                <c:pt idx="16">
                  <c:v>-2.71622027950277E-3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47-4C74-BD06-E6379DF9D11C}"/>
            </c:ext>
          </c:extLst>
        </c:ser>
        <c:ser>
          <c:idx val="10"/>
          <c:order val="10"/>
          <c:tx>
            <c:strRef>
              <c:f>put!$P$50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put!$P$51:$P$67</c:f>
              <c:numCache>
                <c:formatCode>General</c:formatCode>
                <c:ptCount val="17"/>
                <c:pt idx="0">
                  <c:v>1.3022609290857393E-3</c:v>
                </c:pt>
                <c:pt idx="1">
                  <c:v>4.0905022899808899E-4</c:v>
                </c:pt>
                <c:pt idx="2">
                  <c:v>-6.8117645149719578E-4</c:v>
                </c:pt>
                <c:pt idx="3">
                  <c:v>-1.8783454086114145E-3</c:v>
                </c:pt>
                <c:pt idx="4">
                  <c:v>-3.0735485480211373E-3</c:v>
                </c:pt>
                <c:pt idx="5">
                  <c:v>-4.1627151007786675E-3</c:v>
                </c:pt>
                <c:pt idx="6">
                  <c:v>-5.0644056698343071E-3</c:v>
                </c:pt>
                <c:pt idx="7">
                  <c:v>-5.7287656216537565E-3</c:v>
                </c:pt>
                <c:pt idx="8">
                  <c:v>-6.138241400135685E-3</c:v>
                </c:pt>
                <c:pt idx="9">
                  <c:v>-6.3025691424194947E-3</c:v>
                </c:pt>
                <c:pt idx="10">
                  <c:v>-6.2509409052981593E-3</c:v>
                </c:pt>
                <c:pt idx="11">
                  <c:v>-6.0237333331058119E-3</c:v>
                </c:pt>
                <c:pt idx="12">
                  <c:v>-5.6653259116828305E-3</c:v>
                </c:pt>
                <c:pt idx="13">
                  <c:v>-5.2187209701390711E-3</c:v>
                </c:pt>
                <c:pt idx="14">
                  <c:v>-4.7220780021840353E-3</c:v>
                </c:pt>
                <c:pt idx="15">
                  <c:v>-4.2069199577750094E-3</c:v>
                </c:pt>
                <c:pt idx="16">
                  <c:v>-3.6976151421703653E-3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47-4C74-BD06-E6379DF9D11C}"/>
            </c:ext>
          </c:extLst>
        </c:ser>
        <c:ser>
          <c:idx val="11"/>
          <c:order val="11"/>
          <c:tx>
            <c:strRef>
              <c:f>put!$Q$50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put!$Q$51:$Q$67</c:f>
              <c:numCache>
                <c:formatCode>General</c:formatCode>
                <c:ptCount val="17"/>
                <c:pt idx="0">
                  <c:v>6.9098634980145949E-4</c:v>
                </c:pt>
                <c:pt idx="1">
                  <c:v>-1.1338905485931629E-4</c:v>
                </c:pt>
                <c:pt idx="2">
                  <c:v>-9.7710975123002294E-4</c:v>
                </c:pt>
                <c:pt idx="3">
                  <c:v>-1.8402756750863318E-3</c:v>
                </c:pt>
                <c:pt idx="4">
                  <c:v>-2.6481740627990365E-3</c:v>
                </c:pt>
                <c:pt idx="5">
                  <c:v>-3.3577084508555448E-3</c:v>
                </c:pt>
                <c:pt idx="6">
                  <c:v>-3.9402410367218527E-3</c:v>
                </c:pt>
                <c:pt idx="7">
                  <c:v>-4.3815416867150365E-3</c:v>
                </c:pt>
                <c:pt idx="8">
                  <c:v>-4.6798522776267957E-3</c:v>
                </c:pt>
                <c:pt idx="9">
                  <c:v>-4.8430215081854125E-3</c:v>
                </c:pt>
                <c:pt idx="10">
                  <c:v>-4.8854395779968493E-3</c:v>
                </c:pt>
                <c:pt idx="11">
                  <c:v>-4.8252397801522833E-3</c:v>
                </c:pt>
                <c:pt idx="12">
                  <c:v>-4.6820071806894497E-3</c:v>
                </c:pt>
                <c:pt idx="13">
                  <c:v>-4.4750693444743847E-3</c:v>
                </c:pt>
                <c:pt idx="14">
                  <c:v>-4.2223402775834482E-3</c:v>
                </c:pt>
                <c:pt idx="15">
                  <c:v>-3.9396344046232117E-3</c:v>
                </c:pt>
                <c:pt idx="16">
                  <c:v>-3.6403476552568136E-3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47-4C74-BD06-E6379DF9D11C}"/>
            </c:ext>
          </c:extLst>
        </c:ser>
        <c:ser>
          <c:idx val="12"/>
          <c:order val="12"/>
          <c:tx>
            <c:strRef>
              <c:f>put!$R$50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put!$R$51:$R$67</c:f>
              <c:numCache>
                <c:formatCode>General</c:formatCode>
                <c:ptCount val="17"/>
                <c:pt idx="0">
                  <c:v>3.761310769749192E-4</c:v>
                </c:pt>
                <c:pt idx="1">
                  <c:v>-3.0927853968273645E-4</c:v>
                </c:pt>
                <c:pt idx="2">
                  <c:v>-1.0018151422914946E-3</c:v>
                </c:pt>
                <c:pt idx="3">
                  <c:v>-1.6647853649347716E-3</c:v>
                </c:pt>
                <c:pt idx="4">
                  <c:v>-2.2687752121636393E-3</c:v>
                </c:pt>
                <c:pt idx="5">
                  <c:v>-2.793085587726426E-3</c:v>
                </c:pt>
                <c:pt idx="6">
                  <c:v>-3.2256386306901749E-3</c:v>
                </c:pt>
                <c:pt idx="7">
                  <c:v>-3.5619278970186645E-3</c:v>
                </c:pt>
                <c:pt idx="8">
                  <c:v>-3.8035018966751022E-3</c:v>
                </c:pt>
                <c:pt idx="9">
                  <c:v>-3.9563362077628958E-3</c:v>
                </c:pt>
                <c:pt idx="10">
                  <c:v>-4.0293175824571746E-3</c:v>
                </c:pt>
                <c:pt idx="11">
                  <c:v>-4.032957373223919E-3</c:v>
                </c:pt>
                <c:pt idx="12">
                  <c:v>-3.9783766429105413E-3</c:v>
                </c:pt>
                <c:pt idx="13">
                  <c:v>-3.8765581575190581E-3</c:v>
                </c:pt>
                <c:pt idx="14">
                  <c:v>-3.737834668931427E-3</c:v>
                </c:pt>
                <c:pt idx="15">
                  <c:v>-3.571571888440709E-3</c:v>
                </c:pt>
                <c:pt idx="16">
                  <c:v>-3.3860028351736086E-3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47-4C74-BD06-E6379DF9D11C}"/>
            </c:ext>
          </c:extLst>
        </c:ser>
        <c:ser>
          <c:idx val="13"/>
          <c:order val="13"/>
          <c:tx>
            <c:strRef>
              <c:f>put!$S$50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put!$E$51:$E$67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put!$S$51:$S$67</c:f>
              <c:numCache>
                <c:formatCode>General</c:formatCode>
                <c:ptCount val="17"/>
                <c:pt idx="0">
                  <c:v>2.1469384650633341E-4</c:v>
                </c:pt>
                <c:pt idx="1">
                  <c:v>-3.7064281675585519E-4</c:v>
                </c:pt>
                <c:pt idx="2">
                  <c:v>-9.4217369568633962E-4</c:v>
                </c:pt>
                <c:pt idx="3">
                  <c:v>-1.4768536767150327E-3</c:v>
                </c:pt>
                <c:pt idx="4">
                  <c:v>-1.9577605248443197E-3</c:v>
                </c:pt>
                <c:pt idx="5">
                  <c:v>-2.3740436737532339E-3</c:v>
                </c:pt>
                <c:pt idx="6">
                  <c:v>-2.7202465942149276E-3</c:v>
                </c:pt>
                <c:pt idx="7">
                  <c:v>-2.9953265990165325E-3</c:v>
                </c:pt>
                <c:pt idx="8">
                  <c:v>-3.2015978564393908E-3</c:v>
                </c:pt>
                <c:pt idx="9">
                  <c:v>-3.3437364987098516E-3</c:v>
                </c:pt>
                <c:pt idx="10">
                  <c:v>-3.4279205896141289E-3</c:v>
                </c:pt>
                <c:pt idx="11">
                  <c:v>-3.4611324953331248E-3</c:v>
                </c:pt>
                <c:pt idx="12">
                  <c:v>-3.4506231874944608E-3</c:v>
                </c:pt>
                <c:pt idx="13">
                  <c:v>-3.4035226258233085E-3</c:v>
                </c:pt>
                <c:pt idx="14">
                  <c:v>-3.326573504386927E-3</c:v>
                </c:pt>
                <c:pt idx="15">
                  <c:v>-3.2259640839824287E-3</c:v>
                </c:pt>
                <c:pt idx="16">
                  <c:v>-3.1072372734374278E-3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47-4C74-BD06-E6379DF9D11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layout>
            <c:manualLayout>
              <c:xMode val="edge"/>
              <c:yMode val="edge"/>
              <c:x val="0.8829618499983054"/>
              <c:y val="0.33191745226603231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Theta,</a:t>
            </a:r>
            <a:r>
              <a:rPr lang="it-IT" baseline="0"/>
              <a:t> volatility = 0,1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put!$X$50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put!$X$51:$X$67</c:f>
              <c:numCache>
                <c:formatCode>General</c:formatCode>
                <c:ptCount val="17"/>
                <c:pt idx="0">
                  <c:v>2.73698767077637E-3</c:v>
                </c:pt>
                <c:pt idx="1">
                  <c:v>2.73698767077637E-3</c:v>
                </c:pt>
                <c:pt idx="2">
                  <c:v>2.73698767077637E-3</c:v>
                </c:pt>
                <c:pt idx="3">
                  <c:v>2.73698767077637E-3</c:v>
                </c:pt>
                <c:pt idx="4">
                  <c:v>2.736987670476494E-3</c:v>
                </c:pt>
                <c:pt idx="5">
                  <c:v>2.7369528246241263E-3</c:v>
                </c:pt>
                <c:pt idx="6">
                  <c:v>2.6650311675423923E-3</c:v>
                </c:pt>
                <c:pt idx="7">
                  <c:v>-2.1636153371659174E-3</c:v>
                </c:pt>
                <c:pt idx="8">
                  <c:v>-1.5911068490866903E-2</c:v>
                </c:pt>
                <c:pt idx="9">
                  <c:v>-4.9608203211801713E-3</c:v>
                </c:pt>
                <c:pt idx="10">
                  <c:v>-1.7197037201915763E-4</c:v>
                </c:pt>
                <c:pt idx="11">
                  <c:v>-9.1026597472338331E-7</c:v>
                </c:pt>
                <c:pt idx="12">
                  <c:v>-9.4327686789038751E-10</c:v>
                </c:pt>
                <c:pt idx="13">
                  <c:v>-2.3571887370682295E-13</c:v>
                </c:pt>
                <c:pt idx="14">
                  <c:v>-1.7092084797681276E-17</c:v>
                </c:pt>
                <c:pt idx="15">
                  <c:v>-4.1214544252196709E-22</c:v>
                </c:pt>
                <c:pt idx="16">
                  <c:v>-3.802078748469247E-27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7-48A4-B589-66C5DFAB35CA}"/>
            </c:ext>
          </c:extLst>
        </c:ser>
        <c:ser>
          <c:idx val="1"/>
          <c:order val="1"/>
          <c:tx>
            <c:strRef>
              <c:f>put!$Y$50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put!$Y$51:$Y$67</c:f>
              <c:numCache>
                <c:formatCode>General</c:formatCode>
                <c:ptCount val="17"/>
                <c:pt idx="0">
                  <c:v>2.7342520511433781E-3</c:v>
                </c:pt>
                <c:pt idx="1">
                  <c:v>2.7342520511433781E-3</c:v>
                </c:pt>
                <c:pt idx="2">
                  <c:v>2.7342520511431513E-3</c:v>
                </c:pt>
                <c:pt idx="3">
                  <c:v>2.7342520363935318E-3</c:v>
                </c:pt>
                <c:pt idx="4">
                  <c:v>2.7341976247177123E-3</c:v>
                </c:pt>
                <c:pt idx="5">
                  <c:v>2.7159013792084565E-3</c:v>
                </c:pt>
                <c:pt idx="6">
                  <c:v>1.9062783463565623E-3</c:v>
                </c:pt>
                <c:pt idx="7">
                  <c:v>-4.1022544901929961E-3</c:v>
                </c:pt>
                <c:pt idx="8">
                  <c:v>-1.0849827205252866E-2</c:v>
                </c:pt>
                <c:pt idx="9">
                  <c:v>-6.1990469292027006E-3</c:v>
                </c:pt>
                <c:pt idx="10">
                  <c:v>-1.157054108479694E-3</c:v>
                </c:pt>
                <c:pt idx="11">
                  <c:v>-8.3835276221432798E-5</c:v>
                </c:pt>
                <c:pt idx="12">
                  <c:v>-2.6810615988503049E-6</c:v>
                </c:pt>
                <c:pt idx="13">
                  <c:v>-4.2062112762999357E-8</c:v>
                </c:pt>
                <c:pt idx="14">
                  <c:v>-3.5398846706622487E-10</c:v>
                </c:pt>
                <c:pt idx="15">
                  <c:v>-1.7250462593439746E-12</c:v>
                </c:pt>
                <c:pt idx="16">
                  <c:v>-5.1991470097616873E-15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C7-48A4-B589-66C5DFAB35CA}"/>
            </c:ext>
          </c:extLst>
        </c:ser>
        <c:ser>
          <c:idx val="2"/>
          <c:order val="2"/>
          <c:tx>
            <c:strRef>
              <c:f>put!$Z$50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put!$Z$51:$Z$67</c:f>
              <c:numCache>
                <c:formatCode>General</c:formatCode>
                <c:ptCount val="17"/>
                <c:pt idx="0">
                  <c:v>2.7315191657626657E-3</c:v>
                </c:pt>
                <c:pt idx="1">
                  <c:v>2.7315191657622034E-3</c:v>
                </c:pt>
                <c:pt idx="2">
                  <c:v>2.7315191582835225E-3</c:v>
                </c:pt>
                <c:pt idx="3">
                  <c:v>2.7315071899205821E-3</c:v>
                </c:pt>
                <c:pt idx="4">
                  <c:v>2.7286820572850743E-3</c:v>
                </c:pt>
                <c:pt idx="5">
                  <c:v>2.5948863465673098E-3</c:v>
                </c:pt>
                <c:pt idx="6">
                  <c:v>1.0044879217009476E-3</c:v>
                </c:pt>
                <c:pt idx="7">
                  <c:v>-4.3451879896391739E-3</c:v>
                </c:pt>
                <c:pt idx="8">
                  <c:v>-8.60807341901265E-3</c:v>
                </c:pt>
                <c:pt idx="9">
                  <c:v>-6.0365470390692424E-3</c:v>
                </c:pt>
                <c:pt idx="10">
                  <c:v>-1.9807656054553558E-3</c:v>
                </c:pt>
                <c:pt idx="11">
                  <c:v>-3.4402057267930822E-4</c:v>
                </c:pt>
                <c:pt idx="12">
                  <c:v>-3.45569355231561E-5</c:v>
                </c:pt>
                <c:pt idx="13">
                  <c:v>-2.1568335382080204E-6</c:v>
                </c:pt>
                <c:pt idx="14">
                  <c:v>-8.8826832988843578E-8</c:v>
                </c:pt>
                <c:pt idx="15">
                  <c:v>-2.5408119636916923E-9</c:v>
                </c:pt>
                <c:pt idx="16">
                  <c:v>-5.2751895684107299E-11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C7-48A4-B589-66C5DFAB35CA}"/>
            </c:ext>
          </c:extLst>
        </c:ser>
        <c:ser>
          <c:idx val="3"/>
          <c:order val="3"/>
          <c:tx>
            <c:strRef>
              <c:f>put!$AA$50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put!$AA$51:$AA$67</c:f>
              <c:numCache>
                <c:formatCode>General</c:formatCode>
                <c:ptCount val="17"/>
                <c:pt idx="0">
                  <c:v>2.7287890119012696E-3</c:v>
                </c:pt>
                <c:pt idx="1">
                  <c:v>2.7287890109855581E-3</c:v>
                </c:pt>
                <c:pt idx="2">
                  <c:v>2.7287877079677945E-3</c:v>
                </c:pt>
                <c:pt idx="3">
                  <c:v>2.7284611230269612E-3</c:v>
                </c:pt>
                <c:pt idx="4">
                  <c:v>2.7090935228917747E-3</c:v>
                </c:pt>
                <c:pt idx="5">
                  <c:v>2.3699826390183283E-3</c:v>
                </c:pt>
                <c:pt idx="6">
                  <c:v>3.2547041196452701E-4</c:v>
                </c:pt>
                <c:pt idx="7">
                  <c:v>-4.2177691109953272E-3</c:v>
                </c:pt>
                <c:pt idx="8">
                  <c:v>-7.2720935063408229E-3</c:v>
                </c:pt>
                <c:pt idx="9">
                  <c:v>-5.6584929110683052E-3</c:v>
                </c:pt>
                <c:pt idx="10">
                  <c:v>-2.4658480216537353E-3</c:v>
                </c:pt>
                <c:pt idx="11">
                  <c:v>-6.6388258692422967E-4</c:v>
                </c:pt>
                <c:pt idx="12">
                  <c:v>-1.1829354384093272E-4</c:v>
                </c:pt>
                <c:pt idx="13">
                  <c:v>-1.4735696929004577E-5</c:v>
                </c:pt>
                <c:pt idx="14">
                  <c:v>-1.3431444565806379E-6</c:v>
                </c:pt>
                <c:pt idx="15">
                  <c:v>-9.311532834199606E-8</c:v>
                </c:pt>
                <c:pt idx="16">
                  <c:v>-5.0755296123552296E-9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C7-48A4-B589-66C5DFAB35CA}"/>
            </c:ext>
          </c:extLst>
        </c:ser>
        <c:ser>
          <c:idx val="4"/>
          <c:order val="4"/>
          <c:tx>
            <c:strRef>
              <c:f>put!$AB$50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put!$AB$51:$AB$67</c:f>
              <c:numCache>
                <c:formatCode>General</c:formatCode>
                <c:ptCount val="17"/>
                <c:pt idx="0">
                  <c:v>2.7260615867822466E-3</c:v>
                </c:pt>
                <c:pt idx="1">
                  <c:v>2.7260615017932724E-3</c:v>
                </c:pt>
                <c:pt idx="2">
                  <c:v>2.7260334153252509E-3</c:v>
                </c:pt>
                <c:pt idx="3">
                  <c:v>2.7237278178330292E-3</c:v>
                </c:pt>
                <c:pt idx="4">
                  <c:v>2.6644938675962912E-3</c:v>
                </c:pt>
                <c:pt idx="5">
                  <c:v>2.0997267541734295E-3</c:v>
                </c:pt>
                <c:pt idx="6">
                  <c:v>-1.4214538446385351E-4</c:v>
                </c:pt>
                <c:pt idx="7">
                  <c:v>-4.0029165471530594E-3</c:v>
                </c:pt>
                <c:pt idx="8">
                  <c:v>-6.3606845464254458E-3</c:v>
                </c:pt>
                <c:pt idx="9">
                  <c:v>-5.2730625717209026E-3</c:v>
                </c:pt>
                <c:pt idx="10">
                  <c:v>-2.7271916938682987E-3</c:v>
                </c:pt>
                <c:pt idx="11">
                  <c:v>-9.5592565244897846E-4</c:v>
                </c:pt>
                <c:pt idx="12">
                  <c:v>-2.4038869737890955E-4</c:v>
                </c:pt>
                <c:pt idx="13">
                  <c:v>-4.5352637540043614E-5</c:v>
                </c:pt>
                <c:pt idx="14">
                  <c:v>-6.6607628320193806E-6</c:v>
                </c:pt>
                <c:pt idx="15">
                  <c:v>-7.8564373082263762E-7</c:v>
                </c:pt>
                <c:pt idx="16">
                  <c:v>-7.6436282668983804E-8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C7-48A4-B589-66C5DFAB35CA}"/>
            </c:ext>
          </c:extLst>
        </c:ser>
        <c:ser>
          <c:idx val="5"/>
          <c:order val="5"/>
          <c:tx>
            <c:strRef>
              <c:f>put!$AC$50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put!$AC$51:$AC$67</c:f>
              <c:numCache>
                <c:formatCode>General</c:formatCode>
                <c:ptCount val="17"/>
                <c:pt idx="0">
                  <c:v>2.7233368844878569E-3</c:v>
                </c:pt>
                <c:pt idx="1">
                  <c:v>2.7233351713396789E-3</c:v>
                </c:pt>
                <c:pt idx="2">
                  <c:v>2.7231217181562582E-3</c:v>
                </c:pt>
                <c:pt idx="3">
                  <c:v>2.7148318641840598E-3</c:v>
                </c:pt>
                <c:pt idx="4">
                  <c:v>2.5936484049536909E-3</c:v>
                </c:pt>
                <c:pt idx="5">
                  <c:v>1.8282638494498769E-3</c:v>
                </c:pt>
                <c:pt idx="6">
                  <c:v>-4.5931398019787419E-4</c:v>
                </c:pt>
                <c:pt idx="7">
                  <c:v>-3.7767023460758852E-3</c:v>
                </c:pt>
                <c:pt idx="8">
                  <c:v>-5.6881733161267493E-3</c:v>
                </c:pt>
                <c:pt idx="9">
                  <c:v>-4.9223883831321525E-3</c:v>
                </c:pt>
                <c:pt idx="10">
                  <c:v>-2.8558700327011317E-3</c:v>
                </c:pt>
                <c:pt idx="11">
                  <c:v>-1.1942517116109745E-3</c:v>
                </c:pt>
                <c:pt idx="12">
                  <c:v>-3.7803578062776364E-4</c:v>
                </c:pt>
                <c:pt idx="13">
                  <c:v>-9.4093855533704476E-5</c:v>
                </c:pt>
                <c:pt idx="14">
                  <c:v>-1.8998334818575405E-5</c:v>
                </c:pt>
                <c:pt idx="15">
                  <c:v>-3.1943402597006314E-6</c:v>
                </c:pt>
                <c:pt idx="16">
                  <c:v>-4.5737711017686157E-7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C7-48A4-B589-66C5DFAB35CA}"/>
            </c:ext>
          </c:extLst>
        </c:ser>
        <c:ser>
          <c:idx val="6"/>
          <c:order val="6"/>
          <c:tx>
            <c:strRef>
              <c:f>put!$AD$50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put!$AD$51:$AD$67</c:f>
              <c:numCache>
                <c:formatCode>General</c:formatCode>
                <c:ptCount val="17"/>
                <c:pt idx="0">
                  <c:v>2.7206148430655463E-3</c:v>
                </c:pt>
                <c:pt idx="1">
                  <c:v>2.7206003913315571E-3</c:v>
                </c:pt>
                <c:pt idx="2">
                  <c:v>2.7197055370446234E-3</c:v>
                </c:pt>
                <c:pt idx="3">
                  <c:v>2.6994214207331228E-3</c:v>
                </c:pt>
                <c:pt idx="4">
                  <c:v>2.5020883547780511E-3</c:v>
                </c:pt>
                <c:pt idx="5">
                  <c:v>1.577065164892637E-3</c:v>
                </c:pt>
                <c:pt idx="6">
                  <c:v>-6.7458755172880298E-4</c:v>
                </c:pt>
                <c:pt idx="7">
                  <c:v>-3.5616704406075776E-3</c:v>
                </c:pt>
                <c:pt idx="8">
                  <c:v>-5.1657267958832029E-3</c:v>
                </c:pt>
                <c:pt idx="9">
                  <c:v>-4.6118858112849884E-3</c:v>
                </c:pt>
                <c:pt idx="10">
                  <c:v>-2.9062204233349172E-3</c:v>
                </c:pt>
                <c:pt idx="11">
                  <c:v>-1.3792194841931724E-3</c:v>
                </c:pt>
                <c:pt idx="12">
                  <c:v>-5.1477471665191833E-4</c:v>
                </c:pt>
                <c:pt idx="13">
                  <c:v>-1.5621567508456447E-4</c:v>
                </c:pt>
                <c:pt idx="14">
                  <c:v>-3.9601624614972343E-5</c:v>
                </c:pt>
                <c:pt idx="15">
                  <c:v>-8.5788714931118337E-6</c:v>
                </c:pt>
                <c:pt idx="16">
                  <c:v>-1.6190390032836951E-6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C7-48A4-B589-66C5DFAB35CA}"/>
            </c:ext>
          </c:extLst>
        </c:ser>
        <c:ser>
          <c:idx val="7"/>
          <c:order val="7"/>
          <c:tx>
            <c:strRef>
              <c:f>put!$AE$50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put!$AE$51:$AE$67</c:f>
              <c:numCache>
                <c:formatCode>General</c:formatCode>
                <c:ptCount val="17"/>
                <c:pt idx="0">
                  <c:v>2.717894991356171E-3</c:v>
                </c:pt>
                <c:pt idx="1">
                  <c:v>2.7178242176149887E-3</c:v>
                </c:pt>
                <c:pt idx="2">
                  <c:v>2.7152366603648355E-3</c:v>
                </c:pt>
                <c:pt idx="3">
                  <c:v>2.6761909237987382E-3</c:v>
                </c:pt>
                <c:pt idx="4">
                  <c:v>2.3971621675453018E-3</c:v>
                </c:pt>
                <c:pt idx="5">
                  <c:v>1.3537659206208576E-3</c:v>
                </c:pt>
                <c:pt idx="6">
                  <c:v>-8.2082279625593458E-4</c:v>
                </c:pt>
                <c:pt idx="7">
                  <c:v>-3.3639304951682408E-3</c:v>
                </c:pt>
                <c:pt idx="8">
                  <c:v>-4.7447973290473998E-3</c:v>
                </c:pt>
                <c:pt idx="9">
                  <c:v>-4.3381422205414277E-3</c:v>
                </c:pt>
                <c:pt idx="10">
                  <c:v>-2.9097453916765111E-3</c:v>
                </c:pt>
                <c:pt idx="11">
                  <c:v>-1.5188932614896246E-3</c:v>
                </c:pt>
                <c:pt idx="12">
                  <c:v>-6.4164780583293127E-4</c:v>
                </c:pt>
                <c:pt idx="13">
                  <c:v>-2.2597634049806292E-4</c:v>
                </c:pt>
                <c:pt idx="14">
                  <c:v>-6.796048941380101E-5</c:v>
                </c:pt>
                <c:pt idx="15">
                  <c:v>-1.7806421570445618E-5</c:v>
                </c:pt>
                <c:pt idx="16">
                  <c:v>-4.1343479108071655E-6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C7-48A4-B589-66C5DFAB35CA}"/>
            </c:ext>
          </c:extLst>
        </c:ser>
        <c:ser>
          <c:idx val="8"/>
          <c:order val="8"/>
          <c:tx>
            <c:strRef>
              <c:f>put!$AF$50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put!$AF$51:$AF$67</c:f>
              <c:numCache>
                <c:formatCode>General</c:formatCode>
                <c:ptCount val="17"/>
                <c:pt idx="0">
                  <c:v>2.7151752669386364E-3</c:v>
                </c:pt>
                <c:pt idx="1">
                  <c:v>2.7149340006734318E-3</c:v>
                </c:pt>
                <c:pt idx="2">
                  <c:v>2.7090913247758233E-3</c:v>
                </c:pt>
                <c:pt idx="3">
                  <c:v>2.6449970054799226E-3</c:v>
                </c:pt>
                <c:pt idx="4">
                  <c:v>2.2854220194747287E-3</c:v>
                </c:pt>
                <c:pt idx="5">
                  <c:v>1.159230446943943E-3</c:v>
                </c:pt>
                <c:pt idx="6">
                  <c:v>-9.196452233793728E-4</c:v>
                </c:pt>
                <c:pt idx="7">
                  <c:v>-3.1840977120607054E-3</c:v>
                </c:pt>
                <c:pt idx="8">
                  <c:v>-4.3963168317399841E-3</c:v>
                </c:pt>
                <c:pt idx="9">
                  <c:v>-4.0960580512230567E-3</c:v>
                </c:pt>
                <c:pt idx="10">
                  <c:v>-2.8850022800522403E-3</c:v>
                </c:pt>
                <c:pt idx="11">
                  <c:v>-1.6222622227578872E-3</c:v>
                </c:pt>
                <c:pt idx="12">
                  <c:v>-7.5479226849663238E-4</c:v>
                </c:pt>
                <c:pt idx="13">
                  <c:v>-2.9851562770684929E-4</c:v>
                </c:pt>
                <c:pt idx="14">
                  <c:v>-1.0255167468833492E-4</c:v>
                </c:pt>
                <c:pt idx="15">
                  <c:v>-3.1157625335136652E-5</c:v>
                </c:pt>
                <c:pt idx="16">
                  <c:v>-8.5004585925970107E-6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C7-48A4-B589-66C5DFAB35CA}"/>
            </c:ext>
          </c:extLst>
        </c:ser>
        <c:ser>
          <c:idx val="9"/>
          <c:order val="9"/>
          <c:tx>
            <c:strRef>
              <c:f>put!$AG$50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put!$AG$51:$AG$67</c:f>
              <c:numCache>
                <c:formatCode>General</c:formatCode>
                <c:ptCount val="17"/>
                <c:pt idx="0">
                  <c:v>2.7124496814563011E-3</c:v>
                </c:pt>
                <c:pt idx="1">
                  <c:v>2.7118113255903383E-3</c:v>
                </c:pt>
                <c:pt idx="2">
                  <c:v>2.7007126574436647E-3</c:v>
                </c:pt>
                <c:pt idx="3">
                  <c:v>2.6065398030953174E-3</c:v>
                </c:pt>
                <c:pt idx="4">
                  <c:v>2.1718412619782853E-3</c:v>
                </c:pt>
                <c:pt idx="5">
                  <c:v>9.9142779139579896E-4</c:v>
                </c:pt>
                <c:pt idx="6">
                  <c:v>-9.8537466592099176E-4</c:v>
                </c:pt>
                <c:pt idx="7">
                  <c:v>-3.020955616388793E-3</c:v>
                </c:pt>
                <c:pt idx="8">
                  <c:v>-4.1016771207405441E-3</c:v>
                </c:pt>
                <c:pt idx="9">
                  <c:v>-3.8807740832942374E-3</c:v>
                </c:pt>
                <c:pt idx="10">
                  <c:v>-2.8431926698325306E-3</c:v>
                </c:pt>
                <c:pt idx="11">
                  <c:v>-1.6971887424640914E-3</c:v>
                </c:pt>
                <c:pt idx="12">
                  <c:v>-8.532444068109537E-4</c:v>
                </c:pt>
                <c:pt idx="13">
                  <c:v>-3.7032455483885655E-4</c:v>
                </c:pt>
                <c:pt idx="14">
                  <c:v>-1.4152768968138935E-4</c:v>
                </c:pt>
                <c:pt idx="15">
                  <c:v>-4.8411813287537353E-5</c:v>
                </c:pt>
                <c:pt idx="16">
                  <c:v>-1.502818847742091E-5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AC7-48A4-B589-66C5DFAB35CA}"/>
            </c:ext>
          </c:extLst>
        </c:ser>
        <c:ser>
          <c:idx val="10"/>
          <c:order val="10"/>
          <c:tx>
            <c:strRef>
              <c:f>put!$AH$50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put!$AH$51:$AH$67</c:f>
              <c:numCache>
                <c:formatCode>General</c:formatCode>
                <c:ptCount val="17"/>
                <c:pt idx="0">
                  <c:v>2.6777786781916209E-3</c:v>
                </c:pt>
                <c:pt idx="1">
                  <c:v>2.636256850920411E-3</c:v>
                </c:pt>
                <c:pt idx="2">
                  <c:v>2.4786464884592042E-3</c:v>
                </c:pt>
                <c:pt idx="3">
                  <c:v>2.0678267632014743E-3</c:v>
                </c:pt>
                <c:pt idx="4">
                  <c:v>1.2919784888695642E-3</c:v>
                </c:pt>
                <c:pt idx="5">
                  <c:v>1.9091013157734264E-4</c:v>
                </c:pt>
                <c:pt idx="6">
                  <c:v>-1.0035977788304662E-3</c:v>
                </c:pt>
                <c:pt idx="7">
                  <c:v>-1.9785491505575929E-3</c:v>
                </c:pt>
                <c:pt idx="8">
                  <c:v>-2.5112909331076955E-3</c:v>
                </c:pt>
                <c:pt idx="9">
                  <c:v>-2.5643732589290171E-3</c:v>
                </c:pt>
                <c:pt idx="10">
                  <c:v>-2.2576864412027428E-3</c:v>
                </c:pt>
                <c:pt idx="11">
                  <c:v>-1.7732027728926353E-3</c:v>
                </c:pt>
                <c:pt idx="12">
                  <c:v>-1.2690030597552933E-3</c:v>
                </c:pt>
                <c:pt idx="13">
                  <c:v>-8.4000356312287925E-4</c:v>
                </c:pt>
                <c:pt idx="14">
                  <c:v>-5.2021014622463939E-4</c:v>
                </c:pt>
                <c:pt idx="15">
                  <c:v>-3.0417599944527411E-4</c:v>
                </c:pt>
                <c:pt idx="16">
                  <c:v>-1.6919483046220864E-4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AC7-48A4-B589-66C5DFAB35CA}"/>
            </c:ext>
          </c:extLst>
        </c:ser>
        <c:ser>
          <c:idx val="11"/>
          <c:order val="11"/>
          <c:tx>
            <c:strRef>
              <c:f>put!$AI$50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put!$AI$51:$AI$67</c:f>
              <c:numCache>
                <c:formatCode>General</c:formatCode>
                <c:ptCount val="17"/>
                <c:pt idx="0">
                  <c:v>2.6022924146134056E-3</c:v>
                </c:pt>
                <c:pt idx="1">
                  <c:v>2.4653250745481675E-3</c:v>
                </c:pt>
                <c:pt idx="2">
                  <c:v>2.1567199445482483E-3</c:v>
                </c:pt>
                <c:pt idx="3">
                  <c:v>1.6185935558991307E-3</c:v>
                </c:pt>
                <c:pt idx="4">
                  <c:v>8.663592203983862E-4</c:v>
                </c:pt>
                <c:pt idx="5">
                  <c:v>3.9807915022645707E-6</c:v>
                </c:pt>
                <c:pt idx="6">
                  <c:v>-8.1374746930769468E-4</c:v>
                </c:pt>
                <c:pt idx="7">
                  <c:v>-1.4454418941416232E-3</c:v>
                </c:pt>
                <c:pt idx="8">
                  <c:v>-1.8128530149686235E-3</c:v>
                </c:pt>
                <c:pt idx="9">
                  <c:v>-1.9137847337905173E-3</c:v>
                </c:pt>
                <c:pt idx="10">
                  <c:v>-1.8030200646294589E-3</c:v>
                </c:pt>
                <c:pt idx="11">
                  <c:v>-1.5601833228523082E-3</c:v>
                </c:pt>
                <c:pt idx="12">
                  <c:v>-1.2617226552998602E-3</c:v>
                </c:pt>
                <c:pt idx="13">
                  <c:v>-9.6499999305044116E-4</c:v>
                </c:pt>
                <c:pt idx="14">
                  <c:v>-7.0418355798821221E-4</c:v>
                </c:pt>
                <c:pt idx="15">
                  <c:v>-4.9364540928879743E-4</c:v>
                </c:pt>
                <c:pt idx="16">
                  <c:v>-3.3428262422333479E-4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C7-48A4-B589-66C5DFAB35CA}"/>
            </c:ext>
          </c:extLst>
        </c:ser>
        <c:ser>
          <c:idx val="12"/>
          <c:order val="12"/>
          <c:tx>
            <c:strRef>
              <c:f>put!$AJ$50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put!$AJ$51:$AJ$67</c:f>
              <c:numCache>
                <c:formatCode>General</c:formatCode>
                <c:ptCount val="17"/>
                <c:pt idx="0">
                  <c:v>2.4844823879870519E-3</c:v>
                </c:pt>
                <c:pt idx="1">
                  <c:v>2.2611557174552297E-3</c:v>
                </c:pt>
                <c:pt idx="2">
                  <c:v>1.874248487418931E-3</c:v>
                </c:pt>
                <c:pt idx="3">
                  <c:v>1.3223751747173382E-3</c:v>
                </c:pt>
                <c:pt idx="4">
                  <c:v>6.5728157328434633E-4</c:v>
                </c:pt>
                <c:pt idx="5">
                  <c:v>-3.0981516651429796E-5</c:v>
                </c:pt>
                <c:pt idx="6">
                  <c:v>-6.456819254768185E-4</c:v>
                </c:pt>
                <c:pt idx="7">
                  <c:v>-1.1136057139535102E-3</c:v>
                </c:pt>
                <c:pt idx="8">
                  <c:v>-1.4009342041512206E-3</c:v>
                </c:pt>
                <c:pt idx="9">
                  <c:v>-1.5125992291142962E-3</c:v>
                </c:pt>
                <c:pt idx="10">
                  <c:v>-1.4806986334198401E-3</c:v>
                </c:pt>
                <c:pt idx="11">
                  <c:v>-1.3496273756649013E-3</c:v>
                </c:pt>
                <c:pt idx="12">
                  <c:v>-1.1635882798017277E-3</c:v>
                </c:pt>
                <c:pt idx="13">
                  <c:v>-9.5891884853933657E-4</c:v>
                </c:pt>
                <c:pt idx="14">
                  <c:v>-7.611234775459359E-4</c:v>
                </c:pt>
                <c:pt idx="15">
                  <c:v>-5.8523608335436436E-4</c:v>
                </c:pt>
                <c:pt idx="16">
                  <c:v>-4.3792444295589079E-4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AC7-48A4-B589-66C5DFAB35CA}"/>
            </c:ext>
          </c:extLst>
        </c:ser>
        <c:ser>
          <c:idx val="13"/>
          <c:order val="13"/>
          <c:tx>
            <c:strRef>
              <c:f>put!$AK$50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put!$W$51:$W$67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put!$AK$51:$AK$67</c:f>
              <c:numCache>
                <c:formatCode>General</c:formatCode>
                <c:ptCount val="17"/>
                <c:pt idx="0">
                  <c:v>2.3478202400294664E-3</c:v>
                </c:pt>
                <c:pt idx="1">
                  <c:v>2.0674566070827609E-3</c:v>
                </c:pt>
                <c:pt idx="2">
                  <c:v>1.652493793190949E-3</c:v>
                </c:pt>
                <c:pt idx="3">
                  <c:v>1.1272042761236863E-3</c:v>
                </c:pt>
                <c:pt idx="4">
                  <c:v>5.4681790955094466E-4</c:v>
                </c:pt>
                <c:pt idx="5">
                  <c:v>-1.9880952650765707E-5</c:v>
                </c:pt>
                <c:pt idx="6">
                  <c:v>-5.1061291300622447E-4</c:v>
                </c:pt>
                <c:pt idx="7">
                  <c:v>-8.83766533944297E-4</c:v>
                </c:pt>
                <c:pt idx="8">
                  <c:v>-1.1232701094255546E-3</c:v>
                </c:pt>
                <c:pt idx="9">
                  <c:v>-1.2355244795430628E-3</c:v>
                </c:pt>
                <c:pt idx="10">
                  <c:v>-1.2420099515542873E-3</c:v>
                </c:pt>
                <c:pt idx="11">
                  <c:v>-1.1711184750142871E-3</c:v>
                </c:pt>
                <c:pt idx="12">
                  <c:v>-1.0515086355217581E-3</c:v>
                </c:pt>
                <c:pt idx="13">
                  <c:v>-9.0787747325871474E-4</c:v>
                </c:pt>
                <c:pt idx="14">
                  <c:v>-7.5903956329621608E-4</c:v>
                </c:pt>
                <c:pt idx="15">
                  <c:v>-6.1771276838781222E-4</c:v>
                </c:pt>
                <c:pt idx="16">
                  <c:v>-4.9131216454326046E-4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AC7-48A4-B589-66C5DFAB35CA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Theta,</a:t>
            </a:r>
            <a:r>
              <a:rPr lang="it-IT" baseline="0"/>
              <a:t> volatility = 0,3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put!$AP$50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put!$AP$51:$AP$67</c:f>
              <c:numCache>
                <c:formatCode>General</c:formatCode>
                <c:ptCount val="17"/>
                <c:pt idx="0">
                  <c:v>2.7369661207863514E-3</c:v>
                </c:pt>
                <c:pt idx="1">
                  <c:v>2.73552311865379E-3</c:v>
                </c:pt>
                <c:pt idx="2">
                  <c:v>2.6983884189776216E-3</c:v>
                </c:pt>
                <c:pt idx="3">
                  <c:v>2.267845244253725E-3</c:v>
                </c:pt>
                <c:pt idx="4">
                  <c:v>-2.7090178978859671E-4</c:v>
                </c:pt>
                <c:pt idx="5">
                  <c:v>-8.573890884554158E-3</c:v>
                </c:pt>
                <c:pt idx="6">
                  <c:v>-2.4419962812072104E-2</c:v>
                </c:pt>
                <c:pt idx="7">
                  <c:v>-4.1870757903526894E-2</c:v>
                </c:pt>
                <c:pt idx="8">
                  <c:v>-5.0349364829210229E-2</c:v>
                </c:pt>
                <c:pt idx="9">
                  <c:v>-4.5348740470274006E-2</c:v>
                </c:pt>
                <c:pt idx="10">
                  <c:v>-3.1970644617648467E-2</c:v>
                </c:pt>
                <c:pt idx="11">
                  <c:v>-1.8256034777468455E-2</c:v>
                </c:pt>
                <c:pt idx="12">
                  <c:v>-8.6835494009977875E-3</c:v>
                </c:pt>
                <c:pt idx="13">
                  <c:v>-3.5222776176344313E-3</c:v>
                </c:pt>
                <c:pt idx="14">
                  <c:v>-1.2429256242580886E-3</c:v>
                </c:pt>
                <c:pt idx="15">
                  <c:v>-3.8812948063912634E-4</c:v>
                </c:pt>
                <c:pt idx="16">
                  <c:v>-1.0884479513561149E-4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1-419C-933C-FA67B428BAC6}"/>
            </c:ext>
          </c:extLst>
        </c:ser>
        <c:ser>
          <c:idx val="1"/>
          <c:order val="1"/>
          <c:tx>
            <c:strRef>
              <c:f>put!$AQ$50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put!$AQ$51:$AQ$67</c:f>
              <c:numCache>
                <c:formatCode>General</c:formatCode>
                <c:ptCount val="17"/>
                <c:pt idx="0">
                  <c:v>2.7127902149210563E-3</c:v>
                </c:pt>
                <c:pt idx="1">
                  <c:v>2.5543992621398976E-3</c:v>
                </c:pt>
                <c:pt idx="2">
                  <c:v>1.796572770343367E-3</c:v>
                </c:pt>
                <c:pt idx="3">
                  <c:v>-5.83099962366826E-4</c:v>
                </c:pt>
                <c:pt idx="4">
                  <c:v>-5.7851869838675104E-3</c:v>
                </c:pt>
                <c:pt idx="5">
                  <c:v>-1.4016398594192977E-2</c:v>
                </c:pt>
                <c:pt idx="6">
                  <c:v>-2.3580262004253779E-2</c:v>
                </c:pt>
                <c:pt idx="7">
                  <c:v>-3.1464743470104958E-2</c:v>
                </c:pt>
                <c:pt idx="8">
                  <c:v>-3.5113059731644601E-2</c:v>
                </c:pt>
                <c:pt idx="9">
                  <c:v>-3.3821544752277513E-2</c:v>
                </c:pt>
                <c:pt idx="10">
                  <c:v>-2.8762962026924854E-2</c:v>
                </c:pt>
                <c:pt idx="11">
                  <c:v>-2.1982192809764389E-2</c:v>
                </c:pt>
                <c:pt idx="12">
                  <c:v>-1.5316564127066192E-2</c:v>
                </c:pt>
                <c:pt idx="13">
                  <c:v>-9.847288009836079E-3</c:v>
                </c:pt>
                <c:pt idx="14">
                  <c:v>-5.9012111557048205E-3</c:v>
                </c:pt>
                <c:pt idx="15">
                  <c:v>-3.3250125344702623E-3</c:v>
                </c:pt>
                <c:pt idx="16">
                  <c:v>-1.7746152051570988E-3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41-419C-933C-FA67B428BAC6}"/>
            </c:ext>
          </c:extLst>
        </c:ser>
        <c:ser>
          <c:idx val="2"/>
          <c:order val="2"/>
          <c:tx>
            <c:strRef>
              <c:f>put!$AR$50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put!$AR$51:$AR$67</c:f>
              <c:numCache>
                <c:formatCode>General</c:formatCode>
                <c:ptCount val="17"/>
                <c:pt idx="0">
                  <c:v>2.5348963473979221E-3</c:v>
                </c:pt>
                <c:pt idx="1">
                  <c:v>1.9111806553080363E-3</c:v>
                </c:pt>
                <c:pt idx="2">
                  <c:v>2.3879299622321366E-4</c:v>
                </c:pt>
                <c:pt idx="3">
                  <c:v>-3.1148094078443734E-3</c:v>
                </c:pt>
                <c:pt idx="4">
                  <c:v>-8.339773500277349E-3</c:v>
                </c:pt>
                <c:pt idx="5">
                  <c:v>-1.4810842710555145E-2</c:v>
                </c:pt>
                <c:pt idx="6">
                  <c:v>-2.1199827842377981E-2</c:v>
                </c:pt>
                <c:pt idx="7">
                  <c:v>-2.6039697627186276E-2</c:v>
                </c:pt>
                <c:pt idx="8">
                  <c:v>-2.8346955843910376E-2</c:v>
                </c:pt>
                <c:pt idx="9">
                  <c:v>-2.7929702326295758E-2</c:v>
                </c:pt>
                <c:pt idx="10">
                  <c:v>-2.5294125196318431E-2</c:v>
                </c:pt>
                <c:pt idx="11">
                  <c:v>-2.1311796544707853E-2</c:v>
                </c:pt>
                <c:pt idx="12">
                  <c:v>-1.6870781621426471E-2</c:v>
                </c:pt>
                <c:pt idx="13">
                  <c:v>-1.265052516692884E-2</c:v>
                </c:pt>
                <c:pt idx="14">
                  <c:v>-9.0474289005563931E-3</c:v>
                </c:pt>
                <c:pt idx="15">
                  <c:v>-6.2076331745189259E-3</c:v>
                </c:pt>
                <c:pt idx="16">
                  <c:v>-4.1066857421157132E-3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41-419C-933C-FA67B428BAC6}"/>
            </c:ext>
          </c:extLst>
        </c:ser>
        <c:ser>
          <c:idx val="3"/>
          <c:order val="3"/>
          <c:tx>
            <c:strRef>
              <c:f>put!$AS$50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put!$AS$51:$AS$67</c:f>
              <c:numCache>
                <c:formatCode>General</c:formatCode>
                <c:ptCount val="17"/>
                <c:pt idx="0">
                  <c:v>2.1580434253893012E-3</c:v>
                </c:pt>
                <c:pt idx="1">
                  <c:v>1.0483536598917605E-3</c:v>
                </c:pt>
                <c:pt idx="2">
                  <c:v>-1.1701334326739055E-3</c:v>
                </c:pt>
                <c:pt idx="3">
                  <c:v>-4.7178424611457942E-3</c:v>
                </c:pt>
                <c:pt idx="4">
                  <c:v>-9.3825530410515424E-3</c:v>
                </c:pt>
                <c:pt idx="5">
                  <c:v>-1.4500971851656292E-2</c:v>
                </c:pt>
                <c:pt idx="6">
                  <c:v>-1.9177263898138515E-2</c:v>
                </c:pt>
                <c:pt idx="7">
                  <c:v>-2.2602952623713191E-2</c:v>
                </c:pt>
                <c:pt idx="8">
                  <c:v>-2.4304273552138919E-2</c:v>
                </c:pt>
                <c:pt idx="9">
                  <c:v>-2.4222810873362071E-2</c:v>
                </c:pt>
                <c:pt idx="10">
                  <c:v>-2.264211835800814E-2</c:v>
                </c:pt>
                <c:pt idx="11">
                  <c:v>-2.003485776805607E-2</c:v>
                </c:pt>
                <c:pt idx="12">
                  <c:v>-1.6908236400234391E-2</c:v>
                </c:pt>
                <c:pt idx="13">
                  <c:v>-1.3694903812861406E-2</c:v>
                </c:pt>
                <c:pt idx="14">
                  <c:v>-1.0701449995665607E-2</c:v>
                </c:pt>
                <c:pt idx="15">
                  <c:v>-8.1036654110936152E-3</c:v>
                </c:pt>
                <c:pt idx="16">
                  <c:v>-5.9694045681502605E-3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41-419C-933C-FA67B428BAC6}"/>
            </c:ext>
          </c:extLst>
        </c:ser>
        <c:ser>
          <c:idx val="4"/>
          <c:order val="4"/>
          <c:tx>
            <c:strRef>
              <c:f>put!$AT$50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put!$AT$51:$AT$67</c:f>
              <c:numCache>
                <c:formatCode>General</c:formatCode>
                <c:ptCount val="17"/>
                <c:pt idx="0">
                  <c:v>1.6708578227451938E-3</c:v>
                </c:pt>
                <c:pt idx="1">
                  <c:v>2.0530949406103387E-4</c:v>
                </c:pt>
                <c:pt idx="2">
                  <c:v>-2.2490271883622544E-3</c:v>
                </c:pt>
                <c:pt idx="3">
                  <c:v>-5.675157963179335E-3</c:v>
                </c:pt>
                <c:pt idx="4">
                  <c:v>-9.7467482514543222E-3</c:v>
                </c:pt>
                <c:pt idx="5">
                  <c:v>-1.3908163904716506E-2</c:v>
                </c:pt>
                <c:pt idx="6">
                  <c:v>-1.754860035325875E-2</c:v>
                </c:pt>
                <c:pt idx="7">
                  <c:v>-2.0178833020453056E-2</c:v>
                </c:pt>
                <c:pt idx="8">
                  <c:v>-2.1539217098377639E-2</c:v>
                </c:pt>
                <c:pt idx="9">
                  <c:v>-2.1617426774484402E-2</c:v>
                </c:pt>
                <c:pt idx="10">
                  <c:v>-2.0596429872293411E-2</c:v>
                </c:pt>
                <c:pt idx="11">
                  <c:v>-1.8770554051707931E-2</c:v>
                </c:pt>
                <c:pt idx="12">
                  <c:v>-1.6463447550282492E-2</c:v>
                </c:pt>
                <c:pt idx="13">
                  <c:v>-1.3967678731699695E-2</c:v>
                </c:pt>
                <c:pt idx="14">
                  <c:v>-1.1511569516793704E-2</c:v>
                </c:pt>
                <c:pt idx="15">
                  <c:v>-9.2495066110793982E-3</c:v>
                </c:pt>
                <c:pt idx="16">
                  <c:v>-7.2680334862315829E-3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41-419C-933C-FA67B428BAC6}"/>
            </c:ext>
          </c:extLst>
        </c:ser>
        <c:ser>
          <c:idx val="5"/>
          <c:order val="5"/>
          <c:tx>
            <c:strRef>
              <c:f>put!$AU$50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put!$AU$51:$AU$67</c:f>
              <c:numCache>
                <c:formatCode>General</c:formatCode>
                <c:ptCount val="17"/>
                <c:pt idx="0">
                  <c:v>1.1598108875601402E-3</c:v>
                </c:pt>
                <c:pt idx="1">
                  <c:v>-5.2607377037844729E-4</c:v>
                </c:pt>
                <c:pt idx="2">
                  <c:v>-3.0346328996749003E-3</c:v>
                </c:pt>
                <c:pt idx="3">
                  <c:v>-6.234206160008234E-3</c:v>
                </c:pt>
                <c:pt idx="4">
                  <c:v>-9.7915806579623923E-3</c:v>
                </c:pt>
                <c:pt idx="5">
                  <c:v>-1.3264370046731009E-2</c:v>
                </c:pt>
                <c:pt idx="6">
                  <c:v>-1.622304880111531E-2</c:v>
                </c:pt>
                <c:pt idx="7">
                  <c:v>-1.8350925175206326E-2</c:v>
                </c:pt>
                <c:pt idx="8">
                  <c:v>-1.9493643766713562E-2</c:v>
                </c:pt>
                <c:pt idx="9">
                  <c:v>-1.9657135994269642E-2</c:v>
                </c:pt>
                <c:pt idx="10">
                  <c:v>-1.8970338278884745E-2</c:v>
                </c:pt>
                <c:pt idx="11">
                  <c:v>-1.7633653721619243E-2</c:v>
                </c:pt>
                <c:pt idx="12">
                  <c:v>-1.5870035014832754E-2</c:v>
                </c:pt>
                <c:pt idx="13">
                  <c:v>-1.3888182812305928E-2</c:v>
                </c:pt>
                <c:pt idx="14">
                  <c:v>-1.1860599154107971E-2</c:v>
                </c:pt>
                <c:pt idx="15">
                  <c:v>-9.9148146749049437E-3</c:v>
                </c:pt>
                <c:pt idx="16">
                  <c:v>-8.134111396140788E-3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41-419C-933C-FA67B428BAC6}"/>
            </c:ext>
          </c:extLst>
        </c:ser>
        <c:ser>
          <c:idx val="6"/>
          <c:order val="6"/>
          <c:tx>
            <c:strRef>
              <c:f>put!$AV$50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put!$AV$51:$AV$67</c:f>
              <c:numCache>
                <c:formatCode>General</c:formatCode>
                <c:ptCount val="17"/>
                <c:pt idx="0">
                  <c:v>6.7426926579585746E-4</c:v>
                </c:pt>
                <c:pt idx="1">
                  <c:v>-1.1296391627610156E-3</c:v>
                </c:pt>
                <c:pt idx="2">
                  <c:v>-3.5968315842971679E-3</c:v>
                </c:pt>
                <c:pt idx="3">
                  <c:v>-6.5484363729721769E-3</c:v>
                </c:pt>
                <c:pt idx="4">
                  <c:v>-9.6800549519099246E-3</c:v>
                </c:pt>
                <c:pt idx="5">
                  <c:v>-1.2642245354374498E-2</c:v>
                </c:pt>
                <c:pt idx="6">
                  <c:v>-1.5123564175827881E-2</c:v>
                </c:pt>
                <c:pt idx="7">
                  <c:v>-1.6908551879349875E-2</c:v>
                </c:pt>
                <c:pt idx="8">
                  <c:v>-1.7900386521683777E-2</c:v>
                </c:pt>
                <c:pt idx="9">
                  <c:v>-1.8112607423571968E-2</c:v>
                </c:pt>
                <c:pt idx="10">
                  <c:v>-1.7641675930736744E-2</c:v>
                </c:pt>
                <c:pt idx="11">
                  <c:v>-1.6632811871094076E-2</c:v>
                </c:pt>
                <c:pt idx="12">
                  <c:v>-1.5248371992372842E-2</c:v>
                </c:pt>
                <c:pt idx="13">
                  <c:v>-1.3643787502838123E-2</c:v>
                </c:pt>
                <c:pt idx="14">
                  <c:v>-1.195246693943542E-2</c:v>
                </c:pt>
                <c:pt idx="15">
                  <c:v>-1.0278746077886911E-2</c:v>
                </c:pt>
                <c:pt idx="16">
                  <c:v>-8.6968826158502887E-3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41-419C-933C-FA67B428BAC6}"/>
            </c:ext>
          </c:extLst>
        </c:ser>
        <c:ser>
          <c:idx val="7"/>
          <c:order val="7"/>
          <c:tx>
            <c:strRef>
              <c:f>put!$AW$50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put!$AW$51:$AW$67</c:f>
              <c:numCache>
                <c:formatCode>General</c:formatCode>
                <c:ptCount val="17"/>
                <c:pt idx="0">
                  <c:v>2.3585514689703581E-4</c:v>
                </c:pt>
                <c:pt idx="1">
                  <c:v>-1.6166459589286057E-3</c:v>
                </c:pt>
                <c:pt idx="2">
                  <c:v>-3.9956290701259429E-3</c:v>
                </c:pt>
                <c:pt idx="3">
                  <c:v>-6.7094183334425852E-3</c:v>
                </c:pt>
                <c:pt idx="4">
                  <c:v>-9.4912859727681338E-3</c:v>
                </c:pt>
                <c:pt idx="5">
                  <c:v>-1.2063740167309683E-2</c:v>
                </c:pt>
                <c:pt idx="6">
                  <c:v>-1.4194831439433122E-2</c:v>
                </c:pt>
                <c:pt idx="7">
                  <c:v>-1.573234892636638E-2</c:v>
                </c:pt>
                <c:pt idx="8">
                  <c:v>-1.6613366626398847E-2</c:v>
                </c:pt>
                <c:pt idx="9">
                  <c:v>-1.685446653771612E-2</c:v>
                </c:pt>
                <c:pt idx="10">
                  <c:v>-1.653099139192165E-2</c:v>
                </c:pt>
                <c:pt idx="11">
                  <c:v>-1.575310331642172E-2</c:v>
                </c:pt>
                <c:pt idx="12">
                  <c:v>-1.4644096217387131E-2</c:v>
                </c:pt>
                <c:pt idx="13">
                  <c:v>-1.3323796430345515E-2</c:v>
                </c:pt>
                <c:pt idx="14">
                  <c:v>-1.1897792642507902E-2</c:v>
                </c:pt>
                <c:pt idx="15">
                  <c:v>-1.0451914438433286E-2</c:v>
                </c:pt>
                <c:pt idx="16">
                  <c:v>-9.0507555181672389E-3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41-419C-933C-FA67B428BAC6}"/>
            </c:ext>
          </c:extLst>
        </c:ser>
        <c:ser>
          <c:idx val="8"/>
          <c:order val="8"/>
          <c:tx>
            <c:strRef>
              <c:f>put!$AX$50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put!$AX$51:$AX$67</c:f>
              <c:numCache>
                <c:formatCode>General</c:formatCode>
                <c:ptCount val="17"/>
                <c:pt idx="0">
                  <c:v>-1.4921850533568544E-4</c:v>
                </c:pt>
                <c:pt idx="1">
                  <c:v>-2.0054321746973149E-3</c:v>
                </c:pt>
                <c:pt idx="2">
                  <c:v>-4.2757896358924137E-3</c:v>
                </c:pt>
                <c:pt idx="3">
                  <c:v>-6.7725572685451004E-3</c:v>
                </c:pt>
                <c:pt idx="4">
                  <c:v>-9.2658243416587748E-3</c:v>
                </c:pt>
                <c:pt idx="5">
                  <c:v>-1.1533126908220094E-2</c:v>
                </c:pt>
                <c:pt idx="6">
                  <c:v>-1.3397755788800269E-2</c:v>
                </c:pt>
                <c:pt idx="7">
                  <c:v>-1.4749006934609021E-2</c:v>
                </c:pt>
                <c:pt idx="8">
                  <c:v>-1.5545076766806422E-2</c:v>
                </c:pt>
                <c:pt idx="9">
                  <c:v>-1.5803491493196056E-2</c:v>
                </c:pt>
                <c:pt idx="10">
                  <c:v>-1.558503699936176E-2</c:v>
                </c:pt>
                <c:pt idx="11">
                  <c:v>-1.4976257870414924E-2</c:v>
                </c:pt>
                <c:pt idx="12">
                  <c:v>-1.4073896279568614E-2</c:v>
                </c:pt>
                <c:pt idx="13">
                  <c:v>-1.2972951273900604E-2</c:v>
                </c:pt>
                <c:pt idx="14">
                  <c:v>-1.1758749273191451E-2</c:v>
                </c:pt>
                <c:pt idx="15">
                  <c:v>-1.0502619294046396E-2</c:v>
                </c:pt>
                <c:pt idx="16">
                  <c:v>-9.2603910874088126E-3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41-419C-933C-FA67B428BAC6}"/>
            </c:ext>
          </c:extLst>
        </c:ser>
        <c:ser>
          <c:idx val="9"/>
          <c:order val="9"/>
          <c:tx>
            <c:strRef>
              <c:f>put!$AY$50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put!$AY$51:$AY$67</c:f>
              <c:numCache>
                <c:formatCode>General</c:formatCode>
                <c:ptCount val="17"/>
                <c:pt idx="0">
                  <c:v>-4.822264087044443E-4</c:v>
                </c:pt>
                <c:pt idx="1">
                  <c:v>-2.3140587963633987E-3</c:v>
                </c:pt>
                <c:pt idx="2">
                  <c:v>-4.4694557369071497E-3</c:v>
                </c:pt>
                <c:pt idx="3">
                  <c:v>-6.7722260036492243E-3</c:v>
                </c:pt>
                <c:pt idx="4">
                  <c:v>-9.0252805526068059E-3</c:v>
                </c:pt>
                <c:pt idx="5">
                  <c:v>-1.1048384058422862E-2</c:v>
                </c:pt>
                <c:pt idx="6">
                  <c:v>-1.270431425630272E-2</c:v>
                </c:pt>
                <c:pt idx="7">
                  <c:v>-1.3910697069792694E-2</c:v>
                </c:pt>
                <c:pt idx="8">
                  <c:v>-1.4639471459594581E-2</c:v>
                </c:pt>
                <c:pt idx="9">
                  <c:v>-1.4908108447828222E-2</c:v>
                </c:pt>
                <c:pt idx="10">
                  <c:v>-1.4766900984292366E-2</c:v>
                </c:pt>
                <c:pt idx="11">
                  <c:v>-1.4285740306019208E-2</c:v>
                </c:pt>
                <c:pt idx="12">
                  <c:v>-1.3542547315404741E-2</c:v>
                </c:pt>
                <c:pt idx="13">
                  <c:v>-1.2614390288216039E-2</c:v>
                </c:pt>
                <c:pt idx="14">
                  <c:v>-1.1571487678689008E-2</c:v>
                </c:pt>
                <c:pt idx="15">
                  <c:v>-1.0473791234868529E-2</c:v>
                </c:pt>
                <c:pt idx="16">
                  <c:v>-9.3696102770110309E-3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41-419C-933C-FA67B428BAC6}"/>
            </c:ext>
          </c:extLst>
        </c:ser>
        <c:ser>
          <c:idx val="10"/>
          <c:order val="10"/>
          <c:tx>
            <c:strRef>
              <c:f>put!$AZ$50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put!$AZ$51:$AZ$67</c:f>
              <c:numCache>
                <c:formatCode>General</c:formatCode>
                <c:ptCount val="17"/>
                <c:pt idx="0">
                  <c:v>-1.9958379491817678E-3</c:v>
                </c:pt>
                <c:pt idx="1">
                  <c:v>-3.2958937887904755E-3</c:v>
                </c:pt>
                <c:pt idx="2">
                  <c:v>-4.5899814123710808E-3</c:v>
                </c:pt>
                <c:pt idx="3">
                  <c:v>-5.8152160697901049E-3</c:v>
                </c:pt>
                <c:pt idx="4">
                  <c:v>-6.9222797166401534E-3</c:v>
                </c:pt>
                <c:pt idx="5">
                  <c:v>-7.8770067111233154E-3</c:v>
                </c:pt>
                <c:pt idx="6">
                  <c:v>-8.6597535666043321E-3</c:v>
                </c:pt>
                <c:pt idx="7">
                  <c:v>-9.2634511225849897E-3</c:v>
                </c:pt>
                <c:pt idx="8">
                  <c:v>-9.6910578274231E-3</c:v>
                </c:pt>
                <c:pt idx="9">
                  <c:v>-9.9529156774366863E-3</c:v>
                </c:pt>
                <c:pt idx="10">
                  <c:v>-1.0064315794168185E-2</c:v>
                </c:pt>
                <c:pt idx="11">
                  <c:v>-1.0043430818825897E-2</c:v>
                </c:pt>
                <c:pt idx="12">
                  <c:v>-9.9096679360021617E-3</c:v>
                </c:pt>
                <c:pt idx="13">
                  <c:v>-9.6824320596982875E-3</c:v>
                </c:pt>
                <c:pt idx="14">
                  <c:v>-9.3802536497604051E-3</c:v>
                </c:pt>
                <c:pt idx="15">
                  <c:v>-9.0202205281117373E-3</c:v>
                </c:pt>
                <c:pt idx="16">
                  <c:v>-8.6176505031720467E-3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41-419C-933C-FA67B428BAC6}"/>
            </c:ext>
          </c:extLst>
        </c:ser>
        <c:ser>
          <c:idx val="11"/>
          <c:order val="11"/>
          <c:tx>
            <c:strRef>
              <c:f>put!$BA$50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put!$BA$51:$BA$67</c:f>
              <c:numCache>
                <c:formatCode>General</c:formatCode>
                <c:ptCount val="17"/>
                <c:pt idx="0">
                  <c:v>-2.2060005499686956E-3</c:v>
                </c:pt>
                <c:pt idx="1">
                  <c:v>-3.1415597981716546E-3</c:v>
                </c:pt>
                <c:pt idx="2">
                  <c:v>-4.0289076836800327E-3</c:v>
                </c:pt>
                <c:pt idx="3">
                  <c:v>-4.8432822093258448E-3</c:v>
                </c:pt>
                <c:pt idx="4">
                  <c:v>-5.5679799070449086E-3</c:v>
                </c:pt>
                <c:pt idx="5">
                  <c:v>-6.1933937146141779E-3</c:v>
                </c:pt>
                <c:pt idx="6">
                  <c:v>-6.7157658929458451E-3</c:v>
                </c:pt>
                <c:pt idx="7">
                  <c:v>-7.1358951220000201E-3</c:v>
                </c:pt>
                <c:pt idx="8">
                  <c:v>-7.4579358633823419E-3</c:v>
                </c:pt>
                <c:pt idx="9">
                  <c:v>-7.6883579527885848E-3</c:v>
                </c:pt>
                <c:pt idx="10">
                  <c:v>-7.8350894190576913E-3</c:v>
                </c:pt>
                <c:pt idx="11">
                  <c:v>-7.9068389723219411E-3</c:v>
                </c:pt>
                <c:pt idx="12">
                  <c:v>-7.9125805802195137E-3</c:v>
                </c:pt>
                <c:pt idx="13">
                  <c:v>-7.8611765466302941E-3</c:v>
                </c:pt>
                <c:pt idx="14">
                  <c:v>-7.7611143161545586E-3</c:v>
                </c:pt>
                <c:pt idx="15">
                  <c:v>-7.6203336961118114E-3</c:v>
                </c:pt>
                <c:pt idx="16">
                  <c:v>-7.4461239388309165E-3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41-419C-933C-FA67B428BAC6}"/>
            </c:ext>
          </c:extLst>
        </c:ser>
        <c:ser>
          <c:idx val="12"/>
          <c:order val="12"/>
          <c:tx>
            <c:strRef>
              <c:f>put!$BB$50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put!$BB$51:$BB$67</c:f>
              <c:numCache>
                <c:formatCode>General</c:formatCode>
                <c:ptCount val="17"/>
                <c:pt idx="0">
                  <c:v>-2.1069882188597768E-3</c:v>
                </c:pt>
                <c:pt idx="1">
                  <c:v>-2.8265782157836337E-3</c:v>
                </c:pt>
                <c:pt idx="2">
                  <c:v>-3.4956615477670268E-3</c:v>
                </c:pt>
                <c:pt idx="3">
                  <c:v>-4.1032358554313119E-3</c:v>
                </c:pt>
                <c:pt idx="4">
                  <c:v>-4.642893532532502E-3</c:v>
                </c:pt>
                <c:pt idx="5">
                  <c:v>-5.11190236770547E-3</c:v>
                </c:pt>
                <c:pt idx="6">
                  <c:v>-5.5103438614366278E-3</c:v>
                </c:pt>
                <c:pt idx="7">
                  <c:v>-5.8403608063196241E-3</c:v>
                </c:pt>
                <c:pt idx="8">
                  <c:v>-6.1055308041069924E-3</c:v>
                </c:pt>
                <c:pt idx="9">
                  <c:v>-6.3103630449285195E-3</c:v>
                </c:pt>
                <c:pt idx="10">
                  <c:v>-6.4599060810362043E-3</c:v>
                </c:pt>
                <c:pt idx="11">
                  <c:v>-6.5594505452163353E-3</c:v>
                </c:pt>
                <c:pt idx="12">
                  <c:v>-6.6143102463653179E-3</c:v>
                </c:pt>
                <c:pt idx="13">
                  <c:v>-6.6296662431610401E-3</c:v>
                </c:pt>
                <c:pt idx="14">
                  <c:v>-6.6104604105655584E-3</c:v>
                </c:pt>
                <c:pt idx="15">
                  <c:v>-6.5613271378758813E-3</c:v>
                </c:pt>
                <c:pt idx="16">
                  <c:v>-6.4865538459903532E-3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41-419C-933C-FA67B428BAC6}"/>
            </c:ext>
          </c:extLst>
        </c:ser>
        <c:ser>
          <c:idx val="13"/>
          <c:order val="13"/>
          <c:tx>
            <c:strRef>
              <c:f>put!$BC$50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put!$AO$51:$AO$67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put!$BC$51:$BC$67</c:f>
              <c:numCache>
                <c:formatCode>General</c:formatCode>
                <c:ptCount val="17"/>
                <c:pt idx="0">
                  <c:v>-1.9290150616641398E-3</c:v>
                </c:pt>
                <c:pt idx="1">
                  <c:v>-2.5104809435227502E-3</c:v>
                </c:pt>
                <c:pt idx="2">
                  <c:v>-3.0461439603659685E-3</c:v>
                </c:pt>
                <c:pt idx="3">
                  <c:v>-3.5308963437030113E-3</c:v>
                </c:pt>
                <c:pt idx="4">
                  <c:v>-3.9623797492219512E-3</c:v>
                </c:pt>
                <c:pt idx="5">
                  <c:v>-4.3403084589839647E-3</c:v>
                </c:pt>
                <c:pt idx="6">
                  <c:v>-4.6659031845194968E-3</c:v>
                </c:pt>
                <c:pt idx="7">
                  <c:v>-4.941434056051343E-3</c:v>
                </c:pt>
                <c:pt idx="8">
                  <c:v>-5.1698616931810477E-3</c:v>
                </c:pt>
                <c:pt idx="9">
                  <c:v>-5.3545617538550616E-3</c:v>
                </c:pt>
                <c:pt idx="10">
                  <c:v>-5.4991180884398578E-3</c:v>
                </c:pt>
                <c:pt idx="11">
                  <c:v>-5.6071708896345942E-3</c:v>
                </c:pt>
                <c:pt idx="12">
                  <c:v>-5.6823080917594443E-3</c:v>
                </c:pt>
                <c:pt idx="13">
                  <c:v>-5.7279902432378575E-3</c:v>
                </c:pt>
                <c:pt idx="14">
                  <c:v>-5.7475009149815463E-3</c:v>
                </c:pt>
                <c:pt idx="15">
                  <c:v>-5.7439163156703761E-3</c:v>
                </c:pt>
                <c:pt idx="16">
                  <c:v>-5.7200891374558933E-3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41-419C-933C-FA67B428BAC6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Rho,</a:t>
            </a:r>
            <a:r>
              <a:rPr lang="it-IT" baseline="0"/>
              <a:t> volatility = 0,2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put!$F$89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put!$F$90:$F$106</c:f>
              <c:numCache>
                <c:formatCode>General</c:formatCode>
                <c:ptCount val="17"/>
                <c:pt idx="0">
                  <c:v>-9.9900049983337486E-2</c:v>
                </c:pt>
                <c:pt idx="1">
                  <c:v>-9.9900049982904665E-2</c:v>
                </c:pt>
                <c:pt idx="2">
                  <c:v>-9.990004920641285E-2</c:v>
                </c:pt>
                <c:pt idx="3">
                  <c:v>-9.9899799847947279E-2</c:v>
                </c:pt>
                <c:pt idx="4">
                  <c:v>-9.9880365963861073E-2</c:v>
                </c:pt>
                <c:pt idx="5">
                  <c:v>-9.9414292021761066E-2</c:v>
                </c:pt>
                <c:pt idx="6">
                  <c:v>-9.5273399454231758E-2</c:v>
                </c:pt>
                <c:pt idx="7">
                  <c:v>-7.950377346604158E-2</c:v>
                </c:pt>
                <c:pt idx="8">
                  <c:v>-5.0580151398953388E-2</c:v>
                </c:pt>
                <c:pt idx="9">
                  <c:v>-2.247110555512432E-2</c:v>
                </c:pt>
                <c:pt idx="10">
                  <c:v>-6.7889870502825947E-3</c:v>
                </c:pt>
                <c:pt idx="11">
                  <c:v>-1.4102913577582136E-3</c:v>
                </c:pt>
                <c:pt idx="12">
                  <c:v>-2.0702003804964794E-4</c:v>
                </c:pt>
                <c:pt idx="13">
                  <c:v>-2.2181932695997136E-5</c:v>
                </c:pt>
                <c:pt idx="14">
                  <c:v>-1.7921519198923481E-6</c:v>
                </c:pt>
                <c:pt idx="15">
                  <c:v>-1.1255785043228925E-7</c:v>
                </c:pt>
                <c:pt idx="16">
                  <c:v>-5.6502198463535636E-9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D4-45AA-8AE7-556EAEC27EE7}"/>
            </c:ext>
          </c:extLst>
        </c:ser>
        <c:ser>
          <c:idx val="1"/>
          <c:order val="1"/>
          <c:tx>
            <c:strRef>
              <c:f>put!$G$89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put!$G$90:$G$106</c:f>
              <c:numCache>
                <c:formatCode>General</c:formatCode>
                <c:ptCount val="17"/>
                <c:pt idx="0">
                  <c:v>-0.19960039875201666</c:v>
                </c:pt>
                <c:pt idx="1">
                  <c:v>-0.19960026927726371</c:v>
                </c:pt>
                <c:pt idx="2">
                  <c:v>-0.19959434275580998</c:v>
                </c:pt>
                <c:pt idx="3">
                  <c:v>-0.19948058234037422</c:v>
                </c:pt>
                <c:pt idx="4">
                  <c:v>-0.19841978436548499</c:v>
                </c:pt>
                <c:pt idx="5">
                  <c:v>-0.19302759112036566</c:v>
                </c:pt>
                <c:pt idx="6">
                  <c:v>-0.17664512161955698</c:v>
                </c:pt>
                <c:pt idx="7">
                  <c:v>-0.14458214370301661</c:v>
                </c:pt>
                <c:pt idx="8">
                  <c:v>-0.10158061093169939</c:v>
                </c:pt>
                <c:pt idx="9">
                  <c:v>-5.9968326579861765E-2</c:v>
                </c:pt>
                <c:pt idx="10">
                  <c:v>-2.9624429034828429E-2</c:v>
                </c:pt>
                <c:pt idx="11">
                  <c:v>-1.2325867132738097E-2</c:v>
                </c:pt>
                <c:pt idx="12">
                  <c:v>-4.3706588933653577E-3</c:v>
                </c:pt>
                <c:pt idx="13">
                  <c:v>-1.3391859871546453E-3</c:v>
                </c:pt>
                <c:pt idx="14">
                  <c:v>-3.5959910459001243E-4</c:v>
                </c:pt>
                <c:pt idx="15">
                  <c:v>-8.5770819532797691E-5</c:v>
                </c:pt>
                <c:pt idx="16">
                  <c:v>-1.8400851648051194E-5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D4-45AA-8AE7-556EAEC27EE7}"/>
            </c:ext>
          </c:extLst>
        </c:ser>
        <c:ser>
          <c:idx val="2"/>
          <c:order val="2"/>
          <c:tx>
            <c:strRef>
              <c:f>put!$H$89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put!$H$90:$H$106</c:f>
              <c:numCache>
                <c:formatCode>General</c:formatCode>
                <c:ptCount val="17"/>
                <c:pt idx="0">
                  <c:v>-0.29910094119721542</c:v>
                </c:pt>
                <c:pt idx="1">
                  <c:v>-0.29909013414212166</c:v>
                </c:pt>
                <c:pt idx="2">
                  <c:v>-0.29894794754297288</c:v>
                </c:pt>
                <c:pt idx="3">
                  <c:v>-0.29791018552939924</c:v>
                </c:pt>
                <c:pt idx="4">
                  <c:v>-0.29327187442853186</c:v>
                </c:pt>
                <c:pt idx="5">
                  <c:v>-0.27954086416817803</c:v>
                </c:pt>
                <c:pt idx="6">
                  <c:v>-0.25086087962514608</c:v>
                </c:pt>
                <c:pt idx="7">
                  <c:v>-0.2063564353985079</c:v>
                </c:pt>
                <c:pt idx="8">
                  <c:v>-0.15281809298363574</c:v>
                </c:pt>
                <c:pt idx="9">
                  <c:v>-0.10108778985951711</c:v>
                </c:pt>
                <c:pt idx="10">
                  <c:v>-5.9732254020951656E-2</c:v>
                </c:pt>
                <c:pt idx="11">
                  <c:v>-3.1684201115692687E-2</c:v>
                </c:pt>
                <c:pt idx="12">
                  <c:v>-1.5199706420834208E-2</c:v>
                </c:pt>
                <c:pt idx="13">
                  <c:v>-6.6506285905427323E-3</c:v>
                </c:pt>
                <c:pt idx="14">
                  <c:v>-2.6770963052205922E-3</c:v>
                </c:pt>
                <c:pt idx="15">
                  <c:v>-9.9962649464833248E-4</c:v>
                </c:pt>
                <c:pt idx="16">
                  <c:v>-3.4893521618526319E-4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D4-45AA-8AE7-556EAEC27EE7}"/>
            </c:ext>
          </c:extLst>
        </c:ser>
        <c:ser>
          <c:idx val="3"/>
          <c:order val="3"/>
          <c:tx>
            <c:strRef>
              <c:f>put!$I$89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put!$I$90:$I$106</c:f>
              <c:numCache>
                <c:formatCode>General</c:formatCode>
                <c:ptCount val="17"/>
                <c:pt idx="0">
                  <c:v>-0.39839383281279955</c:v>
                </c:pt>
                <c:pt idx="1">
                  <c:v>-0.39828613898434018</c:v>
                </c:pt>
                <c:pt idx="2">
                  <c:v>-0.39753608871221147</c:v>
                </c:pt>
                <c:pt idx="3">
                  <c:v>-0.39419735917183096</c:v>
                </c:pt>
                <c:pt idx="4">
                  <c:v>-0.38395353517001568</c:v>
                </c:pt>
                <c:pt idx="5">
                  <c:v>-0.36094855187459557</c:v>
                </c:pt>
                <c:pt idx="6">
                  <c:v>-0.32125751421305254</c:v>
                </c:pt>
                <c:pt idx="7">
                  <c:v>-0.26652860795022792</c:v>
                </c:pt>
                <c:pt idx="8">
                  <c:v>-0.20422688060793115</c:v>
                </c:pt>
                <c:pt idx="9">
                  <c:v>-0.14407573020157963</c:v>
                </c:pt>
                <c:pt idx="10">
                  <c:v>-9.3699290121329132E-2</c:v>
                </c:pt>
                <c:pt idx="11">
                  <c:v>-5.6401929841114549E-2</c:v>
                </c:pt>
                <c:pt idx="12">
                  <c:v>-3.1595730956826704E-2</c:v>
                </c:pt>
                <c:pt idx="13">
                  <c:v>-1.6571142382086741E-2</c:v>
                </c:pt>
                <c:pt idx="14">
                  <c:v>-8.1866116809250558E-3</c:v>
                </c:pt>
                <c:pt idx="15">
                  <c:v>-3.8319779767900762E-3</c:v>
                </c:pt>
                <c:pt idx="16">
                  <c:v>-1.7087825312208549E-3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D4-45AA-8AE7-556EAEC27EE7}"/>
            </c:ext>
          </c:extLst>
        </c:ser>
        <c:ser>
          <c:idx val="4"/>
          <c:order val="4"/>
          <c:tx>
            <c:strRef>
              <c:f>put!$J$89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put!$J$90:$J$106</c:f>
              <c:numCache>
                <c:formatCode>General</c:formatCode>
                <c:ptCount val="17"/>
                <c:pt idx="0">
                  <c:v>-0.49744035279710597</c:v>
                </c:pt>
                <c:pt idx="1">
                  <c:v>-0.49699382138164072</c:v>
                </c:pt>
                <c:pt idx="2">
                  <c:v>-0.49488315365673735</c:v>
                </c:pt>
                <c:pt idx="3">
                  <c:v>-0.48793118931720991</c:v>
                </c:pt>
                <c:pt idx="4">
                  <c:v>-0.47096501783520417</c:v>
                </c:pt>
                <c:pt idx="5">
                  <c:v>-0.43875068358505365</c:v>
                </c:pt>
                <c:pt idx="6">
                  <c:v>-0.38925508361484984</c:v>
                </c:pt>
                <c:pt idx="7">
                  <c:v>-0.32571967311131306</c:v>
                </c:pt>
                <c:pt idx="8">
                  <c:v>-0.25576885410967215</c:v>
                </c:pt>
                <c:pt idx="9">
                  <c:v>-0.18826439216165011</c:v>
                </c:pt>
                <c:pt idx="10">
                  <c:v>-0.13012028815236004</c:v>
                </c:pt>
                <c:pt idx="11">
                  <c:v>-8.4734081361611549E-2</c:v>
                </c:pt>
                <c:pt idx="12">
                  <c:v>-5.2212168137941772E-2</c:v>
                </c:pt>
                <c:pt idx="13">
                  <c:v>-3.058425410656284E-2</c:v>
                </c:pt>
                <c:pt idx="14">
                  <c:v>-1.7110072638825885E-2</c:v>
                </c:pt>
                <c:pt idx="15">
                  <c:v>-9.182683253990985E-3</c:v>
                </c:pt>
                <c:pt idx="16">
                  <c:v>-4.7475024340639443E-3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D4-45AA-8AE7-556EAEC27EE7}"/>
            </c:ext>
          </c:extLst>
        </c:ser>
        <c:ser>
          <c:idx val="5"/>
          <c:order val="5"/>
          <c:tx>
            <c:strRef>
              <c:f>put!$K$89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put!$K$90:$K$106</c:f>
              <c:numCache>
                <c:formatCode>General</c:formatCode>
                <c:ptCount val="17"/>
                <c:pt idx="0">
                  <c:v>-0.59615741088545715</c:v>
                </c:pt>
                <c:pt idx="1">
                  <c:v>-0.59497610389550271</c:v>
                </c:pt>
                <c:pt idx="2">
                  <c:v>-0.59067651342831895</c:v>
                </c:pt>
                <c:pt idx="3">
                  <c:v>-0.57911532755875661</c:v>
                </c:pt>
                <c:pt idx="4">
                  <c:v>-0.55492757242980617</c:v>
                </c:pt>
                <c:pt idx="5">
                  <c:v>-0.51390032109866013</c:v>
                </c:pt>
                <c:pt idx="6">
                  <c:v>-0.45558439750236124</c:v>
                </c:pt>
                <c:pt idx="7">
                  <c:v>-0.38423416226145973</c:v>
                </c:pt>
                <c:pt idx="8">
                  <c:v>-0.30741820985414314</c:v>
                </c:pt>
                <c:pt idx="9">
                  <c:v>-0.23331210863230878</c:v>
                </c:pt>
                <c:pt idx="10">
                  <c:v>-0.16827158447361532</c:v>
                </c:pt>
                <c:pt idx="11">
                  <c:v>-0.1156742572149194</c:v>
                </c:pt>
                <c:pt idx="12">
                  <c:v>-7.6059532268932792E-2</c:v>
                </c:pt>
                <c:pt idx="13">
                  <c:v>-4.8016470024207905E-2</c:v>
                </c:pt>
                <c:pt idx="14">
                  <c:v>-2.9212248017103624E-2</c:v>
                </c:pt>
                <c:pt idx="15">
                  <c:v>-1.7188123836696396E-2</c:v>
                </c:pt>
                <c:pt idx="16">
                  <c:v>-9.8137054815928444E-3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D4-45AA-8AE7-556EAEC27EE7}"/>
            </c:ext>
          </c:extLst>
        </c:ser>
        <c:ser>
          <c:idx val="6"/>
          <c:order val="6"/>
          <c:tx>
            <c:strRef>
              <c:f>put!$L$89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put!$L$90:$L$106</c:f>
              <c:numCache>
                <c:formatCode>General</c:formatCode>
                <c:ptCount val="17"/>
                <c:pt idx="0">
                  <c:v>-0.69443214691678545</c:v>
                </c:pt>
                <c:pt idx="1">
                  <c:v>-0.69202729459779011</c:v>
                </c:pt>
                <c:pt idx="2">
                  <c:v>-0.68477647194821667</c:v>
                </c:pt>
                <c:pt idx="3">
                  <c:v>-0.66792834360049602</c:v>
                </c:pt>
                <c:pt idx="4">
                  <c:v>-0.63637397192903389</c:v>
                </c:pt>
                <c:pt idx="5">
                  <c:v>-0.58701700610865204</c:v>
                </c:pt>
                <c:pt idx="6">
                  <c:v>-0.52067288526246502</c:v>
                </c:pt>
                <c:pt idx="7">
                  <c:v>-0.44224635428979553</c:v>
                </c:pt>
                <c:pt idx="8">
                  <c:v>-0.35915594909590859</c:v>
                </c:pt>
                <c:pt idx="9">
                  <c:v>-0.27901490922210381</c:v>
                </c:pt>
                <c:pt idx="10">
                  <c:v>-0.20772528778888061</c:v>
                </c:pt>
                <c:pt idx="11">
                  <c:v>-0.14859597428160154</c:v>
                </c:pt>
                <c:pt idx="12">
                  <c:v>-0.10244473451937502</c:v>
                </c:pt>
                <c:pt idx="13">
                  <c:v>-6.828114554790847E-2</c:v>
                </c:pt>
                <c:pt idx="14">
                  <c:v>-4.4135283421453918E-2</c:v>
                </c:pt>
                <c:pt idx="15">
                  <c:v>-2.7747891614049097E-2</c:v>
                </c:pt>
                <c:pt idx="16">
                  <c:v>-1.7015134616637791E-2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D4-45AA-8AE7-556EAEC27EE7}"/>
            </c:ext>
          </c:extLst>
        </c:ser>
        <c:ser>
          <c:idx val="7"/>
          <c:order val="7"/>
          <c:tx>
            <c:strRef>
              <c:f>put!$M$89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put!$M$90:$M$106</c:f>
              <c:numCache>
                <c:formatCode>General</c:formatCode>
                <c:ptCount val="17"/>
                <c:pt idx="0">
                  <c:v>-0.7921463018864362</c:v>
                </c:pt>
                <c:pt idx="1">
                  <c:v>-0.78800185672066991</c:v>
                </c:pt>
                <c:pt idx="2">
                  <c:v>-0.77716158229035659</c:v>
                </c:pt>
                <c:pt idx="3">
                  <c:v>-0.75459956615962376</c:v>
                </c:pt>
                <c:pt idx="4">
                  <c:v>-0.71572661144250882</c:v>
                </c:pt>
                <c:pt idx="5">
                  <c:v>-0.65852123968914777</c:v>
                </c:pt>
                <c:pt idx="6">
                  <c:v>-0.58479342652948596</c:v>
                </c:pt>
                <c:pt idx="7">
                  <c:v>-0.4998660895201758</c:v>
                </c:pt>
                <c:pt idx="8">
                  <c:v>-0.41096731210161042</c:v>
                </c:pt>
                <c:pt idx="9">
                  <c:v>-0.32523870361512375</c:v>
                </c:pt>
                <c:pt idx="10">
                  <c:v>-0.24820403087334711</c:v>
                </c:pt>
                <c:pt idx="11">
                  <c:v>-0.18308261698945505</c:v>
                </c:pt>
                <c:pt idx="12">
                  <c:v>-0.13087469431094345</c:v>
                </c:pt>
                <c:pt idx="13">
                  <c:v>-9.0908489929242164E-2</c:v>
                </c:pt>
                <c:pt idx="14">
                  <c:v>-6.1523368978177173E-2</c:v>
                </c:pt>
                <c:pt idx="15">
                  <c:v>-4.0668157638389463E-2</c:v>
                </c:pt>
                <c:pt idx="16">
                  <c:v>-2.6318913337857811E-2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D4-45AA-8AE7-556EAEC27EE7}"/>
            </c:ext>
          </c:extLst>
        </c:ser>
        <c:ser>
          <c:idx val="8"/>
          <c:order val="8"/>
          <c:tx>
            <c:strRef>
              <c:f>put!$N$89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put!$N$90:$N$106</c:f>
              <c:numCache>
                <c:formatCode>General</c:formatCode>
                <c:ptCount val="17"/>
                <c:pt idx="0">
                  <c:v>-0.88919402699541394</c:v>
                </c:pt>
                <c:pt idx="1">
                  <c:v>-0.88281318832772093</c:v>
                </c:pt>
                <c:pt idx="2">
                  <c:v>-0.86787848942993051</c:v>
                </c:pt>
                <c:pt idx="3">
                  <c:v>-0.83935697944585186</c:v>
                </c:pt>
                <c:pt idx="4">
                  <c:v>-0.79331520033742708</c:v>
                </c:pt>
                <c:pt idx="5">
                  <c:v>-0.72871028885159717</c:v>
                </c:pt>
                <c:pt idx="6">
                  <c:v>-0.64813159334649983</c:v>
                </c:pt>
                <c:pt idx="7">
                  <c:v>-0.55716734327099027</c:v>
                </c:pt>
                <c:pt idx="8">
                  <c:v>-0.46284039504608732</c:v>
                </c:pt>
                <c:pt idx="9">
                  <c:v>-0.37188929290105366</c:v>
                </c:pt>
                <c:pt idx="10">
                  <c:v>-0.28951588055875799</c:v>
                </c:pt>
                <c:pt idx="11">
                  <c:v>-0.21884217828463354</c:v>
                </c:pt>
                <c:pt idx="12">
                  <c:v>-0.16098898756528107</c:v>
                </c:pt>
                <c:pt idx="13">
                  <c:v>-0.11552875943323927</c:v>
                </c:pt>
                <c:pt idx="14">
                  <c:v>-8.1060435850244819E-2</c:v>
                </c:pt>
                <c:pt idx="15">
                  <c:v>-5.5731173432878374E-2</c:v>
                </c:pt>
                <c:pt idx="16">
                  <c:v>-3.7621859416077819E-2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D4-45AA-8AE7-556EAEC27EE7}"/>
            </c:ext>
          </c:extLst>
        </c:ser>
        <c:ser>
          <c:idx val="9"/>
          <c:order val="9"/>
          <c:tx>
            <c:strRef>
              <c:f>put!$O$89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put!$O$90:$O$106</c:f>
              <c:numCache>
                <c:formatCode>General</c:formatCode>
                <c:ptCount val="17"/>
                <c:pt idx="0">
                  <c:v>-0.98549024249215711</c:v>
                </c:pt>
                <c:pt idx="1">
                  <c:v>-0.97642162356209616</c:v>
                </c:pt>
                <c:pt idx="2">
                  <c:v>-0.95700847271534695</c:v>
                </c:pt>
                <c:pt idx="3">
                  <c:v>-0.9224082898162046</c:v>
                </c:pt>
                <c:pt idx="4">
                  <c:v>-0.86939811441071058</c:v>
                </c:pt>
                <c:pt idx="5">
                  <c:v>-0.79780177175508094</c:v>
                </c:pt>
                <c:pt idx="6">
                  <c:v>-0.71081972912872315</c:v>
                </c:pt>
                <c:pt idx="7">
                  <c:v>-0.61420241114846619</c:v>
                </c:pt>
                <c:pt idx="8">
                  <c:v>-0.51476532828002164</c:v>
                </c:pt>
                <c:pt idx="9">
                  <c:v>-0.418897208004952</c:v>
                </c:pt>
                <c:pt idx="10">
                  <c:v>-0.33152138842643392</c:v>
                </c:pt>
                <c:pt idx="11">
                  <c:v>-0.25566125133901568</c:v>
                </c:pt>
                <c:pt idx="12">
                  <c:v>-0.19251686638792742</c:v>
                </c:pt>
                <c:pt idx="13">
                  <c:v>-0.14185000790281932</c:v>
                </c:pt>
                <c:pt idx="14">
                  <c:v>-0.10247663661348411</c:v>
                </c:pt>
                <c:pt idx="15">
                  <c:v>-7.2725467232320304E-2</c:v>
                </c:pt>
                <c:pt idx="16">
                  <c:v>-5.0791250093462831E-2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7D4-45AA-8AE7-556EAEC27EE7}"/>
            </c:ext>
          </c:extLst>
        </c:ser>
        <c:ser>
          <c:idx val="10"/>
          <c:order val="10"/>
          <c:tx>
            <c:strRef>
              <c:f>put!$P$89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put!$P$90:$P$106</c:f>
              <c:numCache>
                <c:formatCode>General</c:formatCode>
                <c:ptCount val="17"/>
                <c:pt idx="0">
                  <c:v>-1.9010442651574975</c:v>
                </c:pt>
                <c:pt idx="1">
                  <c:v>-1.8516049152267084</c:v>
                </c:pt>
                <c:pt idx="2">
                  <c:v>-1.7810765397615398</c:v>
                </c:pt>
                <c:pt idx="3">
                  <c:v>-1.6892014647187603</c:v>
                </c:pt>
                <c:pt idx="4">
                  <c:v>-1.5781333252461023</c:v>
                </c:pt>
                <c:pt idx="5">
                  <c:v>-1.4519373350091147</c:v>
                </c:pt>
                <c:pt idx="6">
                  <c:v>-1.3158096309700396</c:v>
                </c:pt>
                <c:pt idx="7">
                  <c:v>-1.1752633104385721</c:v>
                </c:pt>
                <c:pt idx="8">
                  <c:v>-1.0354544111550688</c:v>
                </c:pt>
                <c:pt idx="9">
                  <c:v>-0.90072854957655835</c:v>
                </c:pt>
                <c:pt idx="10">
                  <c:v>-0.77439387810982696</c:v>
                </c:pt>
                <c:pt idx="11">
                  <c:v>-0.65868086279061155</c:v>
                </c:pt>
                <c:pt idx="12">
                  <c:v>-0.55483161920358515</c:v>
                </c:pt>
                <c:pt idx="13">
                  <c:v>-0.46326256041769354</c:v>
                </c:pt>
                <c:pt idx="14">
                  <c:v>-0.38375493287931833</c:v>
                </c:pt>
                <c:pt idx="15">
                  <c:v>-0.31564169863796115</c:v>
                </c:pt>
                <c:pt idx="16">
                  <c:v>-0.25797213572700117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D4-45AA-8AE7-556EAEC27EE7}"/>
            </c:ext>
          </c:extLst>
        </c:ser>
        <c:ser>
          <c:idx val="11"/>
          <c:order val="11"/>
          <c:tx>
            <c:strRef>
              <c:f>put!$Q$89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put!$Q$90:$Q$106</c:f>
              <c:numCache>
                <c:formatCode>General</c:formatCode>
                <c:ptCount val="17"/>
                <c:pt idx="0">
                  <c:v>-2.7388840052041403</c:v>
                </c:pt>
                <c:pt idx="1">
                  <c:v>-2.6442743352052376</c:v>
                </c:pt>
                <c:pt idx="2">
                  <c:v>-2.5265717253150868</c:v>
                </c:pt>
                <c:pt idx="3">
                  <c:v>-2.3885967896533566</c:v>
                </c:pt>
                <c:pt idx="4">
                  <c:v>-2.2345611221477659</c:v>
                </c:pt>
                <c:pt idx="5">
                  <c:v>-2.0694088502785388</c:v>
                </c:pt>
                <c:pt idx="6">
                  <c:v>-1.8982199268452462</c:v>
                </c:pt>
                <c:pt idx="7">
                  <c:v>-1.7257498868906036</c:v>
                </c:pt>
                <c:pt idx="8">
                  <c:v>-1.5561276866903309</c:v>
                </c:pt>
                <c:pt idx="9">
                  <c:v>-1.3926989065749853</c:v>
                </c:pt>
                <c:pt idx="10">
                  <c:v>-1.2379845616845606</c:v>
                </c:pt>
                <c:pt idx="11">
                  <c:v>-1.0937211792786214</c:v>
                </c:pt>
                <c:pt idx="12">
                  <c:v>-0.96095059103296132</c:v>
                </c:pt>
                <c:pt idx="13">
                  <c:v>-0.84013408061792327</c:v>
                </c:pt>
                <c:pt idx="14">
                  <c:v>-0.73127252314863256</c:v>
                </c:pt>
                <c:pt idx="15">
                  <c:v>-0.63402052128096154</c:v>
                </c:pt>
                <c:pt idx="16">
                  <c:v>-0.54778766781951849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7D4-45AA-8AE7-556EAEC27EE7}"/>
            </c:ext>
          </c:extLst>
        </c:ser>
        <c:ser>
          <c:idx val="12"/>
          <c:order val="12"/>
          <c:tx>
            <c:strRef>
              <c:f>put!$R$89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put!$R$90:$R$106</c:f>
              <c:numCache>
                <c:formatCode>General</c:formatCode>
                <c:ptCount val="17"/>
                <c:pt idx="0">
                  <c:v>-3.5193862364046682</c:v>
                </c:pt>
                <c:pt idx="1">
                  <c:v>-3.3834919661091263</c:v>
                </c:pt>
                <c:pt idx="2">
                  <c:v>-3.2256582707604915</c:v>
                </c:pt>
                <c:pt idx="3">
                  <c:v>-3.0501810319303875</c:v>
                </c:pt>
                <c:pt idx="4">
                  <c:v>-2.8619442081618183</c:v>
                </c:pt>
                <c:pt idx="5">
                  <c:v>-2.665906412411668</c:v>
                </c:pt>
                <c:pt idx="6">
                  <c:v>-2.4667209312610385</c:v>
                </c:pt>
                <c:pt idx="7">
                  <c:v>-2.2684912659159515</c:v>
                </c:pt>
                <c:pt idx="8">
                  <c:v>-2.0746435400648329</c:v>
                </c:pt>
                <c:pt idx="9">
                  <c:v>-1.8878889319767538</c:v>
                </c:pt>
                <c:pt idx="10">
                  <c:v>-1.7102488744895861</c:v>
                </c:pt>
                <c:pt idx="11">
                  <c:v>-1.5431193627647783</c:v>
                </c:pt>
                <c:pt idx="12">
                  <c:v>-1.3873558039573215</c:v>
                </c:pt>
                <c:pt idx="13">
                  <c:v>-1.2433649767000055</c:v>
                </c:pt>
                <c:pt idx="14">
                  <c:v>-1.1111951260614406</c:v>
                </c:pt>
                <c:pt idx="15">
                  <c:v>-0.99061874914576131</c:v>
                </c:pt>
                <c:pt idx="16">
                  <c:v>-0.8812052316191451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7D4-45AA-8AE7-556EAEC27EE7}"/>
            </c:ext>
          </c:extLst>
        </c:ser>
        <c:ser>
          <c:idx val="13"/>
          <c:order val="13"/>
          <c:tx>
            <c:strRef>
              <c:f>put!$S$89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put!$E$90:$E$106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put!$S$90:$S$106</c:f>
              <c:numCache>
                <c:formatCode>General</c:formatCode>
                <c:ptCount val="17"/>
                <c:pt idx="0">
                  <c:v>-4.2571656170608438</c:v>
                </c:pt>
                <c:pt idx="1">
                  <c:v>-4.0847066211875553</c:v>
                </c:pt>
                <c:pt idx="2">
                  <c:v>-3.8925166110455169</c:v>
                </c:pt>
                <c:pt idx="3">
                  <c:v>-3.6855361666166675</c:v>
                </c:pt>
                <c:pt idx="4">
                  <c:v>-3.4687687242801872</c:v>
                </c:pt>
                <c:pt idx="5">
                  <c:v>-3.2469274685521823</c:v>
                </c:pt>
                <c:pt idx="6">
                  <c:v>-3.024212005593808</c:v>
                </c:pt>
                <c:pt idx="7">
                  <c:v>-2.804192057514328</c:v>
                </c:pt>
                <c:pt idx="8">
                  <c:v>-2.5897713521361756</c:v>
                </c:pt>
                <c:pt idx="9">
                  <c:v>-2.3832066203088491</c:v>
                </c:pt>
                <c:pt idx="10">
                  <c:v>-2.186160898088068</c:v>
                </c:pt>
                <c:pt idx="11">
                  <c:v>-1.9997752423204445</c:v>
                </c:pt>
                <c:pt idx="12">
                  <c:v>-1.8247475153256765</c:v>
                </c:pt>
                <c:pt idx="13">
                  <c:v>-1.6614106664413506</c:v>
                </c:pt>
                <c:pt idx="14">
                  <c:v>-1.5098058483276644</c:v>
                </c:pt>
                <c:pt idx="15">
                  <c:v>-1.3697478270717238</c:v>
                </c:pt>
                <c:pt idx="16">
                  <c:v>-1.2408816131647338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7D4-45AA-8AE7-556EAEC27EE7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Rho,</a:t>
            </a:r>
            <a:r>
              <a:rPr lang="it-IT" baseline="0"/>
              <a:t> volatility = 0,1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put!$X$89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put!$X$90:$X$106</c:f>
              <c:numCache>
                <c:formatCode>General</c:formatCode>
                <c:ptCount val="17"/>
                <c:pt idx="0">
                  <c:v>-9.9900049983337513E-2</c:v>
                </c:pt>
                <c:pt idx="1">
                  <c:v>-9.9900049983337513E-2</c:v>
                </c:pt>
                <c:pt idx="2">
                  <c:v>-9.9900049983337513E-2</c:v>
                </c:pt>
                <c:pt idx="3">
                  <c:v>-9.9900049983337513E-2</c:v>
                </c:pt>
                <c:pt idx="4">
                  <c:v>-9.9900049983241909E-2</c:v>
                </c:pt>
                <c:pt idx="5">
                  <c:v>-9.9900035001622409E-2</c:v>
                </c:pt>
                <c:pt idx="6">
                  <c:v>-9.985443454753605E-2</c:v>
                </c:pt>
                <c:pt idx="7">
                  <c:v>-9.449423440245025E-2</c:v>
                </c:pt>
                <c:pt idx="8">
                  <c:v>-4.9319898584384125E-2</c:v>
                </c:pt>
                <c:pt idx="9">
                  <c:v>-5.9475160906577321E-3</c:v>
                </c:pt>
                <c:pt idx="10">
                  <c:v>-1.2224207973860371E-4</c:v>
                </c:pt>
                <c:pt idx="11">
                  <c:v>-4.5889459193781019E-7</c:v>
                </c:pt>
                <c:pt idx="12">
                  <c:v>-3.7020183036337435E-10</c:v>
                </c:pt>
                <c:pt idx="13">
                  <c:v>-7.6151723059147461E-14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EB-4DDF-9F08-0687726049DE}"/>
            </c:ext>
          </c:extLst>
        </c:ser>
        <c:ser>
          <c:idx val="1"/>
          <c:order val="1"/>
          <c:tx>
            <c:strRef>
              <c:f>put!$Y$89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put!$Y$90:$Y$106</c:f>
              <c:numCache>
                <c:formatCode>General</c:formatCode>
                <c:ptCount val="17"/>
                <c:pt idx="0">
                  <c:v>-0.19960039973346663</c:v>
                </c:pt>
                <c:pt idx="1">
                  <c:v>-0.19960039973346663</c:v>
                </c:pt>
                <c:pt idx="2">
                  <c:v>-0.19960039973346647</c:v>
                </c:pt>
                <c:pt idx="3">
                  <c:v>-0.19960039971898239</c:v>
                </c:pt>
                <c:pt idx="4">
                  <c:v>-0.19960033197089475</c:v>
                </c:pt>
                <c:pt idx="5">
                  <c:v>-0.19957003772239573</c:v>
                </c:pt>
                <c:pt idx="6">
                  <c:v>-0.19764250540073477</c:v>
                </c:pt>
                <c:pt idx="7">
                  <c:v>-0.17357631408340382</c:v>
                </c:pt>
                <c:pt idx="8">
                  <c:v>-9.8019788801767246E-2</c:v>
                </c:pt>
                <c:pt idx="9">
                  <c:v>-2.6503101786800851E-2</c:v>
                </c:pt>
                <c:pt idx="10">
                  <c:v>-3.1212121757166339E-3</c:v>
                </c:pt>
                <c:pt idx="11">
                  <c:v>-1.6432569767061279E-4</c:v>
                </c:pt>
                <c:pt idx="12">
                  <c:v>-4.1376194053987772E-6</c:v>
                </c:pt>
                <c:pt idx="13">
                  <c:v>-5.3758969655395189E-8</c:v>
                </c:pt>
                <c:pt idx="14">
                  <c:v>-3.8775381333258547E-10</c:v>
                </c:pt>
                <c:pt idx="15">
                  <c:v>-1.6597911867185122E-12</c:v>
                </c:pt>
                <c:pt idx="16">
                  <c:v>-4.4763393820712882E-15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EB-4DDF-9F08-0687726049DE}"/>
            </c:ext>
          </c:extLst>
        </c:ser>
        <c:ser>
          <c:idx val="2"/>
          <c:order val="2"/>
          <c:tx>
            <c:strRef>
              <c:f>put!$Z$89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put!$Z$90:$Z$106</c:f>
              <c:numCache>
                <c:formatCode>General</c:formatCode>
                <c:ptCount val="17"/>
                <c:pt idx="0">
                  <c:v>-0.29910134865101196</c:v>
                </c:pt>
                <c:pt idx="1">
                  <c:v>-0.29910134865101123</c:v>
                </c:pt>
                <c:pt idx="2">
                  <c:v>-0.29910134863770482</c:v>
                </c:pt>
                <c:pt idx="3">
                  <c:v>-0.29910132259838013</c:v>
                </c:pt>
                <c:pt idx="4">
                  <c:v>-0.29909357825878446</c:v>
                </c:pt>
                <c:pt idx="5">
                  <c:v>-0.29861017224298619</c:v>
                </c:pt>
                <c:pt idx="6">
                  <c:v>-0.29043783160633657</c:v>
                </c:pt>
                <c:pt idx="7">
                  <c:v>-0.24476975072349663</c:v>
                </c:pt>
                <c:pt idx="8">
                  <c:v>-0.14628325566737621</c:v>
                </c:pt>
                <c:pt idx="9">
                  <c:v>-5.3618495455553902E-2</c:v>
                </c:pt>
                <c:pt idx="10">
                  <c:v>-1.1536916845379731E-2</c:v>
                </c:pt>
                <c:pt idx="11">
                  <c:v>-1.4815132448374971E-3</c:v>
                </c:pt>
                <c:pt idx="12">
                  <c:v>-1.1821674012055366E-4</c:v>
                </c:pt>
                <c:pt idx="13">
                  <c:v>-6.1411164212293517E-6</c:v>
                </c:pt>
                <c:pt idx="14">
                  <c:v>-2.1742039087594484E-7</c:v>
                </c:pt>
                <c:pt idx="15">
                  <c:v>-5.473460725922775E-9</c:v>
                </c:pt>
                <c:pt idx="16">
                  <c:v>-1.0180531165586608E-10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EB-4DDF-9F08-0687726049DE}"/>
            </c:ext>
          </c:extLst>
        </c:ser>
        <c:ser>
          <c:idx val="3"/>
          <c:order val="3"/>
          <c:tx>
            <c:strRef>
              <c:f>put!$AA$89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put!$AA$90:$AA$106</c:f>
              <c:numCache>
                <c:formatCode>General</c:formatCode>
                <c:ptCount val="17"/>
                <c:pt idx="0">
                  <c:v>-0.39840319573759647</c:v>
                </c:pt>
                <c:pt idx="1">
                  <c:v>-0.398403195735197</c:v>
                </c:pt>
                <c:pt idx="2">
                  <c:v>-0.39840319165809857</c:v>
                </c:pt>
                <c:pt idx="3">
                  <c:v>-0.39840194648520061</c:v>
                </c:pt>
                <c:pt idx="4">
                  <c:v>-0.39830932167047484</c:v>
                </c:pt>
                <c:pt idx="5">
                  <c:v>-0.39618250939212946</c:v>
                </c:pt>
                <c:pt idx="6">
                  <c:v>-0.37804449596512069</c:v>
                </c:pt>
                <c:pt idx="7">
                  <c:v>-0.31160173252766643</c:v>
                </c:pt>
                <c:pt idx="8">
                  <c:v>-0.19417631512966549</c:v>
                </c:pt>
                <c:pt idx="9">
                  <c:v>-8.4050787077902478E-2</c:v>
                </c:pt>
                <c:pt idx="10">
                  <c:v>-2.4681032286023089E-2</c:v>
                </c:pt>
                <c:pt idx="11">
                  <c:v>-4.979390376682576E-3</c:v>
                </c:pt>
                <c:pt idx="12">
                  <c:v>-7.0994678821788618E-4</c:v>
                </c:pt>
                <c:pt idx="13">
                  <c:v>-7.3922110985880684E-5</c:v>
                </c:pt>
                <c:pt idx="14">
                  <c:v>-5.8077750671044612E-6</c:v>
                </c:pt>
                <c:pt idx="15">
                  <c:v>-3.5498023255249737E-7</c:v>
                </c:pt>
                <c:pt idx="16">
                  <c:v>-1.7355255496669079E-8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EB-4DDF-9F08-0687726049DE}"/>
            </c:ext>
          </c:extLst>
        </c:ser>
        <c:ser>
          <c:idx val="4"/>
          <c:order val="4"/>
          <c:tx>
            <c:strRef>
              <c:f>put!$AB$89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put!$AB$90:$AB$106</c:f>
              <c:numCache>
                <c:formatCode>General</c:formatCode>
                <c:ptCount val="17"/>
                <c:pt idx="0">
                  <c:v>-0.49750623959617862</c:v>
                </c:pt>
                <c:pt idx="1">
                  <c:v>-0.49750623925100773</c:v>
                </c:pt>
                <c:pt idx="2">
                  <c:v>-0.4975061033461215</c:v>
                </c:pt>
                <c:pt idx="3">
                  <c:v>-0.49749254581248636</c:v>
                </c:pt>
                <c:pt idx="4">
                  <c:v>-0.49705693331611972</c:v>
                </c:pt>
                <c:pt idx="5">
                  <c:v>-0.49162693233839566</c:v>
                </c:pt>
                <c:pt idx="6">
                  <c:v>-0.46124764352636227</c:v>
                </c:pt>
                <c:pt idx="7">
                  <c:v>-0.37557538029528142</c:v>
                </c:pt>
                <c:pt idx="8">
                  <c:v>-0.24173738548666898</c:v>
                </c:pt>
                <c:pt idx="9">
                  <c:v>-0.11647512386205333</c:v>
                </c:pt>
                <c:pt idx="10">
                  <c:v>-4.1439734620382668E-2</c:v>
                </c:pt>
                <c:pt idx="11">
                  <c:v>-1.1002792784816771E-2</c:v>
                </c:pt>
                <c:pt idx="12">
                  <c:v>-2.2275567745076771E-3</c:v>
                </c:pt>
                <c:pt idx="13">
                  <c:v>-3.5258563277927932E-4</c:v>
                </c:pt>
                <c:pt idx="14">
                  <c:v>-4.4740300836914958E-5</c:v>
                </c:pt>
                <c:pt idx="15">
                  <c:v>-4.660004645410418E-6</c:v>
                </c:pt>
                <c:pt idx="16">
                  <c:v>-4.0710561483480885E-7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EB-4DDF-9F08-0687726049DE}"/>
            </c:ext>
          </c:extLst>
        </c:ser>
        <c:ser>
          <c:idx val="5"/>
          <c:order val="5"/>
          <c:tx>
            <c:strRef>
              <c:f>put!$AC$89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put!$AC$90:$AC$106</c:f>
              <c:numCache>
                <c:formatCode>General</c:formatCode>
                <c:ptCount val="17"/>
                <c:pt idx="0">
                  <c:v>-0.59641077841587931</c:v>
                </c:pt>
                <c:pt idx="1">
                  <c:v>-0.59641076847476215</c:v>
                </c:pt>
                <c:pt idx="2">
                  <c:v>-0.59640929545940014</c:v>
                </c:pt>
                <c:pt idx="3">
                  <c:v>-0.59633991425530064</c:v>
                </c:pt>
                <c:pt idx="4">
                  <c:v>-0.59507405122365842</c:v>
                </c:pt>
                <c:pt idx="5">
                  <c:v>-0.58464424984096153</c:v>
                </c:pt>
                <c:pt idx="6">
                  <c:v>-0.54084164328407514</c:v>
                </c:pt>
                <c:pt idx="7">
                  <c:v>-0.43747332474639966</c:v>
                </c:pt>
                <c:pt idx="8">
                  <c:v>-0.28899256857821798</c:v>
                </c:pt>
                <c:pt idx="9">
                  <c:v>-0.15021961569853939</c:v>
                </c:pt>
                <c:pt idx="10">
                  <c:v>-6.0946395009041206E-2</c:v>
                </c:pt>
                <c:pt idx="11">
                  <c:v>-1.9479340505072669E-2</c:v>
                </c:pt>
                <c:pt idx="12">
                  <c:v>-4.9902996063027043E-3</c:v>
                </c:pt>
                <c:pt idx="13">
                  <c:v>-1.0454860691588006E-3</c:v>
                </c:pt>
                <c:pt idx="14">
                  <c:v>-1.8277187067681445E-4</c:v>
                </c:pt>
                <c:pt idx="15">
                  <c:v>-2.7176224054630909E-5</c:v>
                </c:pt>
                <c:pt idx="16">
                  <c:v>-3.4976118162320941E-6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EB-4DDF-9F08-0687726049DE}"/>
            </c:ext>
          </c:extLst>
        </c:ser>
        <c:ser>
          <c:idx val="6"/>
          <c:order val="6"/>
          <c:tx>
            <c:strRef>
              <c:f>put!$AD$89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put!$AD$90:$AD$106</c:f>
              <c:numCache>
                <c:formatCode>General</c:formatCode>
                <c:ptCount val="17"/>
                <c:pt idx="0">
                  <c:v>-0.69511710959092698</c:v>
                </c:pt>
                <c:pt idx="1">
                  <c:v>-0.69511699629717827</c:v>
                </c:pt>
                <c:pt idx="2">
                  <c:v>-0.69510866599683718</c:v>
                </c:pt>
                <c:pt idx="3">
                  <c:v>-0.69487999767534259</c:v>
                </c:pt>
                <c:pt idx="4">
                  <c:v>-0.69210769581279641</c:v>
                </c:pt>
                <c:pt idx="5">
                  <c:v>-0.67518489921089653</c:v>
                </c:pt>
                <c:pt idx="6">
                  <c:v>-0.61746316022743397</c:v>
                </c:pt>
                <c:pt idx="7">
                  <c:v>-0.49776030881182393</c:v>
                </c:pt>
                <c:pt idx="8">
                  <c:v>-0.3359611609573559</c:v>
                </c:pt>
                <c:pt idx="9">
                  <c:v>-0.18489405725331284</c:v>
                </c:pt>
                <c:pt idx="10">
                  <c:v>-8.2579818420475543E-2</c:v>
                </c:pt>
                <c:pt idx="11">
                  <c:v>-3.018197603843184E-2</c:v>
                </c:pt>
                <c:pt idx="12">
                  <c:v>-9.1586807596607048E-3</c:v>
                </c:pt>
                <c:pt idx="13">
                  <c:v>-2.3461919494971698E-3</c:v>
                </c:pt>
                <c:pt idx="14">
                  <c:v>-5.1597000135758281E-4</c:v>
                </c:pt>
                <c:pt idx="15">
                  <c:v>-9.8976324948273227E-5</c:v>
                </c:pt>
                <c:pt idx="16">
                  <c:v>-1.6805717595824046E-5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EB-4DDF-9F08-0687726049DE}"/>
            </c:ext>
          </c:extLst>
        </c:ser>
        <c:ser>
          <c:idx val="7"/>
          <c:order val="7"/>
          <c:tx>
            <c:strRef>
              <c:f>put!$AE$89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put!$AE$90:$AE$106</c:f>
              <c:numCache>
                <c:formatCode>General</c:formatCode>
                <c:ptCount val="17"/>
                <c:pt idx="0">
                  <c:v>-0.79362552608576475</c:v>
                </c:pt>
                <c:pt idx="1">
                  <c:v>-0.79362480654308254</c:v>
                </c:pt>
                <c:pt idx="2">
                  <c:v>-0.7935936043085654</c:v>
                </c:pt>
                <c:pt idx="3">
                  <c:v>-0.79302408550228254</c:v>
                </c:pt>
                <c:pt idx="4">
                  <c:v>-0.78795837941602975</c:v>
                </c:pt>
                <c:pt idx="5">
                  <c:v>-0.76333065645166875</c:v>
                </c:pt>
                <c:pt idx="6">
                  <c:v>-0.69160045612128529</c:v>
                </c:pt>
                <c:pt idx="7">
                  <c:v>-0.55673809412580411</c:v>
                </c:pt>
                <c:pt idx="8">
                  <c:v>-0.38265821976803804</c:v>
                </c:pt>
                <c:pt idx="9">
                  <c:v>-0.22025034744081642</c:v>
                </c:pt>
                <c:pt idx="10">
                  <c:v>-0.10589364670422448</c:v>
                </c:pt>
                <c:pt idx="11">
                  <c:v>-4.2850602886025962E-2</c:v>
                </c:pt>
                <c:pt idx="12">
                  <c:v>-1.4776758266337876E-2</c:v>
                </c:pt>
                <c:pt idx="13">
                  <c:v>-4.4045297688068714E-3</c:v>
                </c:pt>
                <c:pt idx="14">
                  <c:v>-1.1511350758449796E-3</c:v>
                </c:pt>
                <c:pt idx="15">
                  <c:v>-2.6740280174907081E-4</c:v>
                </c:pt>
                <c:pt idx="16">
                  <c:v>-5.5908141161777045E-5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EB-4DDF-9F08-0687726049DE}"/>
            </c:ext>
          </c:extLst>
        </c:ser>
        <c:ser>
          <c:idx val="8"/>
          <c:order val="8"/>
          <c:tx>
            <c:strRef>
              <c:f>put!$AF$89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put!$AF$90:$AF$106</c:f>
              <c:numCache>
                <c:formatCode>General</c:formatCode>
                <c:ptCount val="17"/>
                <c:pt idx="0">
                  <c:v>-0.89193629878559955</c:v>
                </c:pt>
                <c:pt idx="1">
                  <c:v>-0.89193321512612045</c:v>
                </c:pt>
                <c:pt idx="2">
                  <c:v>-0.89184472786438251</c:v>
                </c:pt>
                <c:pt idx="3">
                  <c:v>-0.89067167653905832</c:v>
                </c:pt>
                <c:pt idx="4">
                  <c:v>-0.88248936205981066</c:v>
                </c:pt>
                <c:pt idx="5">
                  <c:v>-0.84922150791862006</c:v>
                </c:pt>
                <c:pt idx="6">
                  <c:v>-0.76362775076181966</c:v>
                </c:pt>
                <c:pt idx="7">
                  <c:v>-0.6146156073126241</c:v>
                </c:pt>
                <c:pt idx="8">
                  <c:v>-0.42909594584950783</c:v>
                </c:pt>
                <c:pt idx="9">
                  <c:v>-0.25612022988471972</c:v>
                </c:pt>
                <c:pt idx="10">
                  <c:v>-0.13056052320905742</c:v>
                </c:pt>
                <c:pt idx="11">
                  <c:v>-5.7238493731413063E-2</c:v>
                </c:pt>
                <c:pt idx="12">
                  <c:v>-2.1817588452681787E-2</c:v>
                </c:pt>
                <c:pt idx="13">
                  <c:v>-7.3201992281897573E-3</c:v>
                </c:pt>
                <c:pt idx="14">
                  <c:v>-2.1889103353476772E-3</c:v>
                </c:pt>
                <c:pt idx="15">
                  <c:v>-5.902809081569742E-4</c:v>
                </c:pt>
                <c:pt idx="16">
                  <c:v>-1.4513415048128322E-4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EB-4DDF-9F08-0687726049DE}"/>
            </c:ext>
          </c:extLst>
        </c:ser>
        <c:ser>
          <c:idx val="9"/>
          <c:order val="9"/>
          <c:tx>
            <c:strRef>
              <c:f>put!$AG$89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put!$AG$90:$AG$106</c:f>
              <c:numCache>
                <c:formatCode>General</c:formatCode>
                <c:ptCount val="17"/>
                <c:pt idx="0">
                  <c:v>-0.99004962430033638</c:v>
                </c:pt>
                <c:pt idx="1">
                  <c:v>-0.99003961536586416</c:v>
                </c:pt>
                <c:pt idx="2">
                  <c:v>-0.98983357421253237</c:v>
                </c:pt>
                <c:pt idx="3">
                  <c:v>-0.98772259095825909</c:v>
                </c:pt>
                <c:pt idx="4">
                  <c:v>-0.97561925382655401</c:v>
                </c:pt>
                <c:pt idx="5">
                  <c:v>-0.93301664808441942</c:v>
                </c:pt>
                <c:pt idx="6">
                  <c:v>-0.83383533155302381</c:v>
                </c:pt>
                <c:pt idx="7">
                  <c:v>-0.67154464766556188</c:v>
                </c:pt>
                <c:pt idx="8">
                  <c:v>-0.47528450546914636</c:v>
                </c:pt>
                <c:pt idx="9">
                  <c:v>-0.29238396974088871</c:v>
                </c:pt>
                <c:pt idx="10">
                  <c:v>-0.15633468393362243</c:v>
                </c:pt>
                <c:pt idx="11">
                  <c:v>-7.3126821154321606E-2</c:v>
                </c:pt>
                <c:pt idx="12">
                  <c:v>-3.0215639479526005E-2</c:v>
                </c:pt>
                <c:pt idx="13">
                  <c:v>-1.1149292047401184E-2</c:v>
                </c:pt>
                <c:pt idx="14">
                  <c:v>-3.7142887060015971E-3</c:v>
                </c:pt>
                <c:pt idx="15">
                  <c:v>-1.1288829945233887E-3</c:v>
                </c:pt>
                <c:pt idx="16">
                  <c:v>-3.1605882700215803E-4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DEB-4DDF-9F08-0687726049DE}"/>
            </c:ext>
          </c:extLst>
        </c:ser>
        <c:ser>
          <c:idx val="10"/>
          <c:order val="10"/>
          <c:tx>
            <c:strRef>
              <c:f>put!$AH$89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put!$AH$90:$AH$106</c:f>
              <c:numCache>
                <c:formatCode>General</c:formatCode>
                <c:ptCount val="17"/>
                <c:pt idx="0">
                  <c:v>-1.9600071765528573</c:v>
                </c:pt>
                <c:pt idx="1">
                  <c:v>-1.957529074674156</c:v>
                </c:pt>
                <c:pt idx="2">
                  <c:v>-1.9464474795042803</c:v>
                </c:pt>
                <c:pt idx="3">
                  <c:v>-1.9117921496304346</c:v>
                </c:pt>
                <c:pt idx="4">
                  <c:v>-1.8312350274293627</c:v>
                </c:pt>
                <c:pt idx="5">
                  <c:v>-1.6851347130193406</c:v>
                </c:pt>
                <c:pt idx="6">
                  <c:v>-1.470180213210559</c:v>
                </c:pt>
                <c:pt idx="7">
                  <c:v>-1.2053541901517708</c:v>
                </c:pt>
                <c:pt idx="8">
                  <c:v>-0.92494293545844164</c:v>
                </c:pt>
                <c:pt idx="9">
                  <c:v>-0.66420495083359443</c:v>
                </c:pt>
                <c:pt idx="10">
                  <c:v>-0.44744114329833878</c:v>
                </c:pt>
                <c:pt idx="11">
                  <c:v>-0.28387565416432975</c:v>
                </c:pt>
                <c:pt idx="12">
                  <c:v>-0.17041305844647878</c:v>
                </c:pt>
                <c:pt idx="13">
                  <c:v>-9.7269983363962254E-2</c:v>
                </c:pt>
                <c:pt idx="14">
                  <c:v>-5.3044518844668397E-2</c:v>
                </c:pt>
                <c:pt idx="15">
                  <c:v>-2.7763060015189755E-2</c:v>
                </c:pt>
                <c:pt idx="16">
                  <c:v>-1.4005521022504241E-2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DEB-4DDF-9F08-0687726049DE}"/>
            </c:ext>
          </c:extLst>
        </c:ser>
        <c:ser>
          <c:idx val="11"/>
          <c:order val="11"/>
          <c:tx>
            <c:strRef>
              <c:f>put!$AI$89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put!$AI$90:$AI$106</c:f>
              <c:numCache>
                <c:formatCode>General</c:formatCode>
                <c:ptCount val="17"/>
                <c:pt idx="0">
                  <c:v>-2.9052211402699148</c:v>
                </c:pt>
                <c:pt idx="1">
                  <c:v>-2.8875049425784916</c:v>
                </c:pt>
                <c:pt idx="2">
                  <c:v>-2.8406869415859761</c:v>
                </c:pt>
                <c:pt idx="3">
                  <c:v>-2.7433364363860733</c:v>
                </c:pt>
                <c:pt idx="4">
                  <c:v>-2.5772999483671151</c:v>
                </c:pt>
                <c:pt idx="5">
                  <c:v>-2.3372499898052825</c:v>
                </c:pt>
                <c:pt idx="6">
                  <c:v>-2.035196727627282</c:v>
                </c:pt>
                <c:pt idx="7">
                  <c:v>-1.6972697086452215</c:v>
                </c:pt>
                <c:pt idx="8">
                  <c:v>-1.3552089139551935</c:v>
                </c:pt>
                <c:pt idx="9">
                  <c:v>-1.0373893022772123</c:v>
                </c:pt>
                <c:pt idx="10">
                  <c:v>-0.76306938538913072</c:v>
                </c:pt>
                <c:pt idx="11">
                  <c:v>-0.54089660745686829</c:v>
                </c:pt>
                <c:pt idx="12">
                  <c:v>-0.37061971310998387</c:v>
                </c:pt>
                <c:pt idx="13">
                  <c:v>-0.2462342892344723</c:v>
                </c:pt>
                <c:pt idx="14">
                  <c:v>-0.15909940709285941</c:v>
                </c:pt>
                <c:pt idx="15">
                  <c:v>-0.10025507523116212</c:v>
                </c:pt>
                <c:pt idx="16">
                  <c:v>-6.1771701030619769E-2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DEB-4DDF-9F08-0687726049DE}"/>
            </c:ext>
          </c:extLst>
        </c:ser>
        <c:ser>
          <c:idx val="12"/>
          <c:order val="12"/>
          <c:tx>
            <c:strRef>
              <c:f>put!$AJ$89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put!$AJ$90:$AJ$106</c:f>
              <c:numCache>
                <c:formatCode>General</c:formatCode>
                <c:ptCount val="17"/>
                <c:pt idx="0">
                  <c:v>-3.8160199409351754</c:v>
                </c:pt>
                <c:pt idx="1">
                  <c:v>-3.76632542383236</c:v>
                </c:pt>
                <c:pt idx="2">
                  <c:v>-3.6657910800281894</c:v>
                </c:pt>
                <c:pt idx="3">
                  <c:v>-3.4958079648603313</c:v>
                </c:pt>
                <c:pt idx="4">
                  <c:v>-3.2479221622975731</c:v>
                </c:pt>
                <c:pt idx="5">
                  <c:v>-2.9283005382871439</c:v>
                </c:pt>
                <c:pt idx="6">
                  <c:v>-2.5566162545287616</c:v>
                </c:pt>
                <c:pt idx="7">
                  <c:v>-2.1604977247507242</c:v>
                </c:pt>
                <c:pt idx="8">
                  <c:v>-1.7685142165444596</c:v>
                </c:pt>
                <c:pt idx="9">
                  <c:v>-1.4044498566974728</c:v>
                </c:pt>
                <c:pt idx="10">
                  <c:v>-1.0842371938523891</c:v>
                </c:pt>
                <c:pt idx="11">
                  <c:v>-0.81551953305242597</c:v>
                </c:pt>
                <c:pt idx="12">
                  <c:v>-0.5990053722729205</c:v>
                </c:pt>
                <c:pt idx="13">
                  <c:v>-0.43061133337451024</c:v>
                </c:pt>
                <c:pt idx="14">
                  <c:v>-0.30361441765510083</c:v>
                </c:pt>
                <c:pt idx="15">
                  <c:v>-0.21037948457823838</c:v>
                </c:pt>
                <c:pt idx="16">
                  <c:v>-0.14352340135387864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DEB-4DDF-9F08-0687726049DE}"/>
            </c:ext>
          </c:extLst>
        </c:ser>
        <c:ser>
          <c:idx val="13"/>
          <c:order val="13"/>
          <c:tx>
            <c:strRef>
              <c:f>put!$AK$89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put!$W$90:$W$106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put!$AK$90:$AK$106</c:f>
              <c:numCache>
                <c:formatCode>General</c:formatCode>
                <c:ptCount val="17"/>
                <c:pt idx="0">
                  <c:v>-4.6852697276379232</c:v>
                </c:pt>
                <c:pt idx="1">
                  <c:v>-4.5907104705252273</c:v>
                </c:pt>
                <c:pt idx="2">
                  <c:v>-4.4279826431888436</c:v>
                </c:pt>
                <c:pt idx="3">
                  <c:v>-4.1851840910857252</c:v>
                </c:pt>
                <c:pt idx="4">
                  <c:v>-3.8630610577321525</c:v>
                </c:pt>
                <c:pt idx="5">
                  <c:v>-3.4754296402903977</c:v>
                </c:pt>
                <c:pt idx="6">
                  <c:v>-3.0455786504962985</c:v>
                </c:pt>
                <c:pt idx="7">
                  <c:v>-2.6006737133094067</c:v>
                </c:pt>
                <c:pt idx="8">
                  <c:v>-2.1663757703673947</c:v>
                </c:pt>
                <c:pt idx="9">
                  <c:v>-1.7631042837691091</c:v>
                </c:pt>
                <c:pt idx="10">
                  <c:v>-1.4043642802347476</c:v>
                </c:pt>
                <c:pt idx="11">
                  <c:v>-1.0968174400128408</c:v>
                </c:pt>
                <c:pt idx="12">
                  <c:v>-0.84145321734060718</c:v>
                </c:pt>
                <c:pt idx="13">
                  <c:v>-0.63521830954418712</c:v>
                </c:pt>
                <c:pt idx="14">
                  <c:v>-0.47263294150338986</c:v>
                </c:pt>
                <c:pt idx="15">
                  <c:v>-0.34712911679763819</c:v>
                </c:pt>
                <c:pt idx="16">
                  <c:v>-0.25201588710677386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DEB-4DDF-9F08-0687726049DE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Rho,</a:t>
            </a:r>
            <a:r>
              <a:rPr lang="it-IT" baseline="0"/>
              <a:t> volatility = 0,3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put!$AP$89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put!$AP$90:$AP$106</c:f>
              <c:numCache>
                <c:formatCode>General</c:formatCode>
                <c:ptCount val="17"/>
                <c:pt idx="0">
                  <c:v>-9.9900047030714284E-2</c:v>
                </c:pt>
                <c:pt idx="1">
                  <c:v>-9.9899815209394241E-2</c:v>
                </c:pt>
                <c:pt idx="2">
                  <c:v>-9.9892721932446818E-2</c:v>
                </c:pt>
                <c:pt idx="3">
                  <c:v>-9.9792886943120107E-2</c:v>
                </c:pt>
                <c:pt idx="4">
                  <c:v>-9.9056254487734446E-2</c:v>
                </c:pt>
                <c:pt idx="5">
                  <c:v>-9.5898079367803174E-2</c:v>
                </c:pt>
                <c:pt idx="6">
                  <c:v>-8.7353656633138821E-2</c:v>
                </c:pt>
                <c:pt idx="7">
                  <c:v>-7.1750558994645955E-2</c:v>
                </c:pt>
                <c:pt idx="8">
                  <c:v>-5.1420047719604019E-2</c:v>
                </c:pt>
                <c:pt idx="9">
                  <c:v>-3.1622218849540334E-2</c:v>
                </c:pt>
                <c:pt idx="10">
                  <c:v>-1.6641455853283121E-2</c:v>
                </c:pt>
                <c:pt idx="11">
                  <c:v>-7.5379242114053903E-3</c:v>
                </c:pt>
                <c:pt idx="12">
                  <c:v>-2.9688947395648678E-3</c:v>
                </c:pt>
                <c:pt idx="13">
                  <c:v>-1.0289433281621665E-3</c:v>
                </c:pt>
                <c:pt idx="14">
                  <c:v>-3.1763475348564217E-4</c:v>
                </c:pt>
                <c:pt idx="15">
                  <c:v>-8.8365776347318313E-5</c:v>
                </c:pt>
                <c:pt idx="16">
                  <c:v>-2.239678758662561E-5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10-4A5E-BFF9-74CCC7CE0B97}"/>
            </c:ext>
          </c:extLst>
        </c:ser>
        <c:ser>
          <c:idx val="1"/>
          <c:order val="1"/>
          <c:tx>
            <c:strRef>
              <c:f>put!$AQ$89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put!$AQ$90:$AQ$106</c:f>
              <c:numCache>
                <c:formatCode>General</c:formatCode>
                <c:ptCount val="17"/>
                <c:pt idx="0">
                  <c:v>-0.19958906720312347</c:v>
                </c:pt>
                <c:pt idx="1">
                  <c:v>-0.19949039646523606</c:v>
                </c:pt>
                <c:pt idx="2">
                  <c:v>-0.19893027320196227</c:v>
                </c:pt>
                <c:pt idx="3">
                  <c:v>-0.19679989179304899</c:v>
                </c:pt>
                <c:pt idx="4">
                  <c:v>-0.19099023964378906</c:v>
                </c:pt>
                <c:pt idx="5">
                  <c:v>-0.17900138464702656</c:v>
                </c:pt>
                <c:pt idx="6">
                  <c:v>-0.15944882974268879</c:v>
                </c:pt>
                <c:pt idx="7">
                  <c:v>-0.13333997377192364</c:v>
                </c:pt>
                <c:pt idx="8">
                  <c:v>-0.10395295434007169</c:v>
                </c:pt>
                <c:pt idx="9">
                  <c:v>-7.5392221644094592E-2</c:v>
                </c:pt>
                <c:pt idx="10">
                  <c:v>-5.0937365645645362E-2</c:v>
                </c:pt>
                <c:pt idx="11">
                  <c:v>-3.2175041796380505E-2</c:v>
                </c:pt>
                <c:pt idx="12">
                  <c:v>-1.9090872906448658E-2</c:v>
                </c:pt>
                <c:pt idx="13">
                  <c:v>-1.0695711321091922E-2</c:v>
                </c:pt>
                <c:pt idx="14">
                  <c:v>-5.6878041459199804E-3</c:v>
                </c:pt>
                <c:pt idx="15">
                  <c:v>-2.8855089414024254E-3</c:v>
                </c:pt>
                <c:pt idx="16">
                  <c:v>-1.4031351479492466E-3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10-4A5E-BFF9-74CCC7CE0B97}"/>
            </c:ext>
          </c:extLst>
        </c:ser>
        <c:ser>
          <c:idx val="2"/>
          <c:order val="2"/>
          <c:tx>
            <c:strRef>
              <c:f>put!$AR$89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put!$AR$90:$AR$106</c:f>
              <c:numCache>
                <c:formatCode>General</c:formatCode>
                <c:ptCount val="17"/>
                <c:pt idx="0">
                  <c:v>-0.29887547417898269</c:v>
                </c:pt>
                <c:pt idx="1">
                  <c:v>-0.29801848402060011</c:v>
                </c:pt>
                <c:pt idx="2">
                  <c:v>-0.29529580115074588</c:v>
                </c:pt>
                <c:pt idx="3">
                  <c:v>-0.28869660557168264</c:v>
                </c:pt>
                <c:pt idx="4">
                  <c:v>-0.27591313342368479</c:v>
                </c:pt>
                <c:pt idx="5">
                  <c:v>-0.2553787920141718</c:v>
                </c:pt>
                <c:pt idx="6">
                  <c:v>-0.22720559225843825</c:v>
                </c:pt>
                <c:pt idx="7">
                  <c:v>-0.19338834480645489</c:v>
                </c:pt>
                <c:pt idx="8">
                  <c:v>-0.15717041819193844</c:v>
                </c:pt>
                <c:pt idx="9">
                  <c:v>-0.12199458879506281</c:v>
                </c:pt>
                <c:pt idx="10">
                  <c:v>-9.0591488575332904E-2</c:v>
                </c:pt>
                <c:pt idx="11">
                  <c:v>-6.4527989326634033E-2</c:v>
                </c:pt>
                <c:pt idx="12">
                  <c:v>-4.4223954983262009E-2</c:v>
                </c:pt>
                <c:pt idx="13">
                  <c:v>-2.9256345887026768E-2</c:v>
                </c:pt>
                <c:pt idx="14">
                  <c:v>-1.874256615424302E-2</c:v>
                </c:pt>
                <c:pt idx="15">
                  <c:v>-1.166325784190428E-2</c:v>
                </c:pt>
                <c:pt idx="16">
                  <c:v>-7.0704134141144322E-3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10-4A5E-BFF9-74CCC7CE0B97}"/>
            </c:ext>
          </c:extLst>
        </c:ser>
        <c:ser>
          <c:idx val="3"/>
          <c:order val="3"/>
          <c:tx>
            <c:strRef>
              <c:f>put!$AS$89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put!$AS$90:$AS$106</c:f>
              <c:numCache>
                <c:formatCode>General</c:formatCode>
                <c:ptCount val="17"/>
                <c:pt idx="0">
                  <c:v>-0.39727301203731991</c:v>
                </c:pt>
                <c:pt idx="1">
                  <c:v>-0.39460495109785848</c:v>
                </c:pt>
                <c:pt idx="2">
                  <c:v>-0.38829467704337572</c:v>
                </c:pt>
                <c:pt idx="3">
                  <c:v>-0.37612570933400952</c:v>
                </c:pt>
                <c:pt idx="4">
                  <c:v>-0.35630152749774369</c:v>
                </c:pt>
                <c:pt idx="5">
                  <c:v>-0.32824500784124316</c:v>
                </c:pt>
                <c:pt idx="6">
                  <c:v>-0.29296712274180514</c:v>
                </c:pt>
                <c:pt idx="7">
                  <c:v>-0.25283630479182273</c:v>
                </c:pt>
                <c:pt idx="8">
                  <c:v>-0.21091857886389082</c:v>
                </c:pt>
                <c:pt idx="9">
                  <c:v>-0.17022082337465497</c:v>
                </c:pt>
                <c:pt idx="10">
                  <c:v>-0.13311773507029778</c:v>
                </c:pt>
                <c:pt idx="11">
                  <c:v>-0.10108355896176431</c:v>
                </c:pt>
                <c:pt idx="12">
                  <c:v>-7.4702107031297357E-2</c:v>
                </c:pt>
                <c:pt idx="13">
                  <c:v>-5.3851866590454225E-2</c:v>
                </c:pt>
                <c:pt idx="14">
                  <c:v>-3.7955110917255099E-2</c:v>
                </c:pt>
                <c:pt idx="15">
                  <c:v>-2.6210787015647562E-2</c:v>
                </c:pt>
                <c:pt idx="16">
                  <c:v>-1.7770843695835294E-2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10-4A5E-BFF9-74CCC7CE0B97}"/>
            </c:ext>
          </c:extLst>
        </c:ser>
        <c:ser>
          <c:idx val="4"/>
          <c:order val="4"/>
          <c:tx>
            <c:strRef>
              <c:f>put!$AT$89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put!$AT$90:$AT$106</c:f>
              <c:numCache>
                <c:formatCode>General</c:formatCode>
                <c:ptCount val="17"/>
                <c:pt idx="0">
                  <c:v>-0.49433351210635079</c:v>
                </c:pt>
                <c:pt idx="1">
                  <c:v>-0.48890399982000055</c:v>
                </c:pt>
                <c:pt idx="2">
                  <c:v>-0.47816504058929116</c:v>
                </c:pt>
                <c:pt idx="3">
                  <c:v>-0.46013059686234931</c:v>
                </c:pt>
                <c:pt idx="4">
                  <c:v>-0.43367000036610232</c:v>
                </c:pt>
                <c:pt idx="5">
                  <c:v>-0.3989765623363617</c:v>
                </c:pt>
                <c:pt idx="6">
                  <c:v>-0.35758896429098663</c:v>
                </c:pt>
                <c:pt idx="7">
                  <c:v>-0.31200732377082802</c:v>
                </c:pt>
                <c:pt idx="8">
                  <c:v>-0.26510802422028057</c:v>
                </c:pt>
                <c:pt idx="9">
                  <c:v>-0.21958303940413396</c:v>
                </c:pt>
                <c:pt idx="10">
                  <c:v>-0.17755193759705692</c:v>
                </c:pt>
                <c:pt idx="11">
                  <c:v>-0.1403912275606832</c:v>
                </c:pt>
                <c:pt idx="12">
                  <c:v>-0.1087480906414381</c:v>
                </c:pt>
                <c:pt idx="13">
                  <c:v>-8.2670405339206526E-2</c:v>
                </c:pt>
                <c:pt idx="14">
                  <c:v>-6.1784478908191644E-2</c:v>
                </c:pt>
                <c:pt idx="15">
                  <c:v>-4.5469811740087018E-2</c:v>
                </c:pt>
                <c:pt idx="16">
                  <c:v>-3.3002481202875647E-2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10-4A5E-BFF9-74CCC7CE0B97}"/>
            </c:ext>
          </c:extLst>
        </c:ser>
        <c:ser>
          <c:idx val="5"/>
          <c:order val="5"/>
          <c:tx>
            <c:strRef>
              <c:f>put!$AU$89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put!$AU$90:$AU$106</c:f>
              <c:numCache>
                <c:formatCode>General</c:formatCode>
                <c:ptCount val="17"/>
                <c:pt idx="0">
                  <c:v>-0.58981988989516643</c:v>
                </c:pt>
                <c:pt idx="1">
                  <c:v>-0.58094117623133856</c:v>
                </c:pt>
                <c:pt idx="2">
                  <c:v>-0.56536508987617051</c:v>
                </c:pt>
                <c:pt idx="3">
                  <c:v>-0.54152295085709456</c:v>
                </c:pt>
                <c:pt idx="4">
                  <c:v>-0.50890833069967678</c:v>
                </c:pt>
                <c:pt idx="5">
                  <c:v>-0.4682779514529069</c:v>
                </c:pt>
                <c:pt idx="6">
                  <c:v>-0.4214833813816844</c:v>
                </c:pt>
                <c:pt idx="7">
                  <c:v>-0.37104981227197853</c:v>
                </c:pt>
                <c:pt idx="8">
                  <c:v>-0.31967811425022302</c:v>
                </c:pt>
                <c:pt idx="9">
                  <c:v>-0.26981864563056945</c:v>
                </c:pt>
                <c:pt idx="10">
                  <c:v>-0.22339610469459531</c:v>
                </c:pt>
                <c:pt idx="11">
                  <c:v>-0.18169714673388676</c:v>
                </c:pt>
                <c:pt idx="12">
                  <c:v>-0.14538880066773127</c:v>
                </c:pt>
                <c:pt idx="13">
                  <c:v>-0.11461881193040134</c:v>
                </c:pt>
                <c:pt idx="14">
                  <c:v>-8.9151454622707488E-2</c:v>
                </c:pt>
                <c:pt idx="15">
                  <c:v>-6.8504379043218822E-2</c:v>
                </c:pt>
                <c:pt idx="16">
                  <c:v>-5.2066109365743594E-2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10-4A5E-BFF9-74CCC7CE0B97}"/>
            </c:ext>
          </c:extLst>
        </c:ser>
        <c:ser>
          <c:idx val="6"/>
          <c:order val="6"/>
          <c:tx>
            <c:strRef>
              <c:f>put!$AV$89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put!$AV$90:$AV$106</c:f>
              <c:numCache>
                <c:formatCode>General</c:formatCode>
                <c:ptCount val="17"/>
                <c:pt idx="0">
                  <c:v>-0.68366780363485458</c:v>
                </c:pt>
                <c:pt idx="1">
                  <c:v>-0.67089416355798881</c:v>
                </c:pt>
                <c:pt idx="2">
                  <c:v>-0.65033286603069052</c:v>
                </c:pt>
                <c:pt idx="3">
                  <c:v>-0.62088320880276149</c:v>
                </c:pt>
                <c:pt idx="4">
                  <c:v>-0.58257023016842235</c:v>
                </c:pt>
                <c:pt idx="5">
                  <c:v>-0.5365572432015524</c:v>
                </c:pt>
                <c:pt idx="6">
                  <c:v>-0.48488129083332387</c:v>
                </c:pt>
                <c:pt idx="7">
                  <c:v>-0.43004230654885534</c:v>
                </c:pt>
                <c:pt idx="8">
                  <c:v>-0.37458411170844053</c:v>
                </c:pt>
                <c:pt idx="9">
                  <c:v>-0.32076374008132214</c:v>
                </c:pt>
                <c:pt idx="10">
                  <c:v>-0.27035040597686349</c:v>
                </c:pt>
                <c:pt idx="11">
                  <c:v>-0.22455066198211743</c:v>
                </c:pt>
                <c:pt idx="12">
                  <c:v>-0.18403073516187135</c:v>
                </c:pt>
                <c:pt idx="13">
                  <c:v>-0.14899902887802657</c:v>
                </c:pt>
                <c:pt idx="14">
                  <c:v>-0.1193152827586785</c:v>
                </c:pt>
                <c:pt idx="15">
                  <c:v>-9.4601690411796877E-2</c:v>
                </c:pt>
                <c:pt idx="16">
                  <c:v>-7.4340926919874747E-2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10-4A5E-BFF9-74CCC7CE0B97}"/>
            </c:ext>
          </c:extLst>
        </c:ser>
        <c:ser>
          <c:idx val="7"/>
          <c:order val="7"/>
          <c:tx>
            <c:strRef>
              <c:f>put!$AW$89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put!$AW$90:$AW$106</c:f>
              <c:numCache>
                <c:formatCode>General</c:formatCode>
                <c:ptCount val="17"/>
                <c:pt idx="0">
                  <c:v>-0.77591406824195042</c:v>
                </c:pt>
                <c:pt idx="1">
                  <c:v>-0.75898139189468827</c:v>
                </c:pt>
                <c:pt idx="2">
                  <c:v>-0.73343428698687674</c:v>
                </c:pt>
                <c:pt idx="3">
                  <c:v>-0.69862694084171661</c:v>
                </c:pt>
                <c:pt idx="4">
                  <c:v>-0.65502063668732957</c:v>
                </c:pt>
                <c:pt idx="5">
                  <c:v>-0.60407187755530889</c:v>
                </c:pt>
                <c:pt idx="6">
                  <c:v>-0.54792489416524304</c:v>
                </c:pt>
                <c:pt idx="7">
                  <c:v>-0.48902993481693974</c:v>
                </c:pt>
                <c:pt idx="8">
                  <c:v>-0.42979118922043491</c:v>
                </c:pt>
                <c:pt idx="9">
                  <c:v>-0.37230616861503457</c:v>
                </c:pt>
                <c:pt idx="10">
                  <c:v>-0.31821602385224951</c:v>
                </c:pt>
                <c:pt idx="11">
                  <c:v>-0.26865623644703923</c:v>
                </c:pt>
                <c:pt idx="12">
                  <c:v>-0.22428193300019528</c:v>
                </c:pt>
                <c:pt idx="13">
                  <c:v>-0.18533873828520894</c:v>
                </c:pt>
                <c:pt idx="14">
                  <c:v>-0.15175389567661915</c:v>
                </c:pt>
                <c:pt idx="15">
                  <c:v>-0.12322920074328624</c:v>
                </c:pt>
                <c:pt idx="16">
                  <c:v>-9.9324338308932572E-2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10-4A5E-BFF9-74CCC7CE0B97}"/>
            </c:ext>
          </c:extLst>
        </c:ser>
        <c:ser>
          <c:idx val="8"/>
          <c:order val="8"/>
          <c:tx>
            <c:strRef>
              <c:f>put!$AX$89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put!$AX$90:$AX$106</c:f>
              <c:numCache>
                <c:formatCode>General</c:formatCode>
                <c:ptCount val="17"/>
                <c:pt idx="0">
                  <c:v>-0.86664540920771516</c:v>
                </c:pt>
                <c:pt idx="1">
                  <c:v>-0.8454162758756868</c:v>
                </c:pt>
                <c:pt idx="2">
                  <c:v>-0.81496374700015883</c:v>
                </c:pt>
                <c:pt idx="3">
                  <c:v>-0.77505757645217743</c:v>
                </c:pt>
                <c:pt idx="4">
                  <c:v>-0.72651182904195077</c:v>
                </c:pt>
                <c:pt idx="5">
                  <c:v>-0.67099459943799777</c:v>
                </c:pt>
                <c:pt idx="6">
                  <c:v>-0.61070764584295278</c:v>
                </c:pt>
                <c:pt idx="7">
                  <c:v>-0.54803992710897964</c:v>
                </c:pt>
                <c:pt idx="8">
                  <c:v>-0.48527119824799542</c:v>
                </c:pt>
                <c:pt idx="9">
                  <c:v>-0.4243642060166441</c:v>
                </c:pt>
                <c:pt idx="10">
                  <c:v>-0.36685204488746515</c:v>
                </c:pt>
                <c:pt idx="11">
                  <c:v>-0.31380692898533169</c:v>
                </c:pt>
                <c:pt idx="12">
                  <c:v>-0.26586768500550551</c:v>
                </c:pt>
                <c:pt idx="13">
                  <c:v>-0.22330249044173472</c:v>
                </c:pt>
                <c:pt idx="14">
                  <c:v>-0.18608715802051265</c:v>
                </c:pt>
                <c:pt idx="15">
                  <c:v>-0.15398474228507225</c:v>
                </c:pt>
                <c:pt idx="16">
                  <c:v>-0.12661761696303447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10-4A5E-BFF9-74CCC7CE0B97}"/>
            </c:ext>
          </c:extLst>
        </c:ser>
        <c:ser>
          <c:idx val="9"/>
          <c:order val="9"/>
          <c:tx>
            <c:strRef>
              <c:f>put!$AY$89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put!$AY$90:$AY$106</c:f>
              <c:numCache>
                <c:formatCode>General</c:formatCode>
                <c:ptCount val="17"/>
                <c:pt idx="0">
                  <c:v>-0.95596857167456883</c:v>
                </c:pt>
                <c:pt idx="1">
                  <c:v>-0.93039121185323026</c:v>
                </c:pt>
                <c:pt idx="2">
                  <c:v>-0.89515635172001196</c:v>
                </c:pt>
                <c:pt idx="3">
                  <c:v>-0.85040177182801169</c:v>
                </c:pt>
                <c:pt idx="4">
                  <c:v>-0.79722509078333048</c:v>
                </c:pt>
                <c:pt idx="5">
                  <c:v>-0.73744682235929226</c:v>
                </c:pt>
                <c:pt idx="6">
                  <c:v>-0.67329392708837987</c:v>
                </c:pt>
                <c:pt idx="7">
                  <c:v>-0.60708914287474691</c:v>
                </c:pt>
                <c:pt idx="8">
                  <c:v>-0.54100074908396822</c:v>
                </c:pt>
                <c:pt idx="9">
                  <c:v>-0.47687551231937875</c:v>
                </c:pt>
                <c:pt idx="10">
                  <c:v>-0.41615360732585677</c:v>
                </c:pt>
                <c:pt idx="11">
                  <c:v>-0.35985059430073735</c:v>
                </c:pt>
                <c:pt idx="12">
                  <c:v>-0.30858646759735259</c:v>
                </c:pt>
                <c:pt idx="13">
                  <c:v>-0.26264243948021643</c:v>
                </c:pt>
                <c:pt idx="14">
                  <c:v>-0.22202971256615678</c:v>
                </c:pt>
                <c:pt idx="15">
                  <c:v>-0.18655900747507148</c:v>
                </c:pt>
                <c:pt idx="16">
                  <c:v>-0.15590384736980178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10-4A5E-BFF9-74CCC7CE0B97}"/>
            </c:ext>
          </c:extLst>
        </c:ser>
        <c:ser>
          <c:idx val="10"/>
          <c:order val="10"/>
          <c:tx>
            <c:strRef>
              <c:f>put!$AZ$89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put!$AZ$90:$AZ$106</c:f>
              <c:numCache>
                <c:formatCode>General</c:formatCode>
                <c:ptCount val="17"/>
                <c:pt idx="0">
                  <c:v>-1.7927899437333634</c:v>
                </c:pt>
                <c:pt idx="1">
                  <c:v>-1.7272488638506938</c:v>
                </c:pt>
                <c:pt idx="2">
                  <c:v>-1.6520578868565337</c:v>
                </c:pt>
                <c:pt idx="3">
                  <c:v>-1.5691096395405175</c:v>
                </c:pt>
                <c:pt idx="4">
                  <c:v>-1.4804925745616104</c:v>
                </c:pt>
                <c:pt idx="5">
                  <c:v>-1.3882985664860106</c:v>
                </c:pt>
                <c:pt idx="6">
                  <c:v>-1.2944838850232225</c:v>
                </c:pt>
                <c:pt idx="7">
                  <c:v>-1.200781034883954</c:v>
                </c:pt>
                <c:pt idx="8">
                  <c:v>-1.1086531138504709</c:v>
                </c:pt>
                <c:pt idx="9">
                  <c:v>-1.0192804553013126</c:v>
                </c:pt>
                <c:pt idx="10">
                  <c:v>-0.93356972634263113</c:v>
                </c:pt>
                <c:pt idx="11">
                  <c:v>-0.85217715397490357</c:v>
                </c:pt>
                <c:pt idx="12">
                  <c:v>-0.77553939892221246</c:v>
                </c:pt>
                <c:pt idx="13">
                  <c:v>-0.70390737490687028</c:v>
                </c:pt>
                <c:pt idx="14">
                  <c:v>-0.63737982812093175</c:v>
                </c:pt>
                <c:pt idx="15">
                  <c:v>-0.57593468855489771</c:v>
                </c:pt>
                <c:pt idx="16">
                  <c:v>-0.51945709399191076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10-4A5E-BFF9-74CCC7CE0B97}"/>
            </c:ext>
          </c:extLst>
        </c:ser>
        <c:ser>
          <c:idx val="11"/>
          <c:order val="11"/>
          <c:tx>
            <c:strRef>
              <c:f>put!$BA$89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put!$BA$90:$BA$106</c:f>
              <c:numCache>
                <c:formatCode>General</c:formatCode>
                <c:ptCount val="17"/>
                <c:pt idx="0">
                  <c:v>-2.5678638170961969</c:v>
                </c:pt>
                <c:pt idx="1">
                  <c:v>-2.4710158142886698</c:v>
                </c:pt>
                <c:pt idx="2">
                  <c:v>-2.3665161061527402</c:v>
                </c:pt>
                <c:pt idx="3">
                  <c:v>-2.2565495032723408</c:v>
                </c:pt>
                <c:pt idx="4">
                  <c:v>-2.1431725195190503</c:v>
                </c:pt>
                <c:pt idx="5">
                  <c:v>-2.0282342641574003</c:v>
                </c:pt>
                <c:pt idx="6">
                  <c:v>-1.9133364425328785</c:v>
                </c:pt>
                <c:pt idx="7">
                  <c:v>-1.7998214198901894</c:v>
                </c:pt>
                <c:pt idx="8">
                  <c:v>-1.6887790619090959</c:v>
                </c:pt>
                <c:pt idx="9">
                  <c:v>-1.5810651312244381</c:v>
                </c:pt>
                <c:pt idx="10">
                  <c:v>-1.4773259413933515</c:v>
                </c:pt>
                <c:pt idx="11">
                  <c:v>-1.3780255722579833</c:v>
                </c:pt>
                <c:pt idx="12">
                  <c:v>-1.283473199684219</c:v>
                </c:pt>
                <c:pt idx="13">
                  <c:v>-1.1938490201379495</c:v>
                </c:pt>
                <c:pt idx="14">
                  <c:v>-1.1092279122342144</c:v>
                </c:pt>
                <c:pt idx="15">
                  <c:v>-1.0296004319123739</c:v>
                </c:pt>
                <c:pt idx="16">
                  <c:v>-0.95489103756833404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10-4A5E-BFF9-74CCC7CE0B97}"/>
            </c:ext>
          </c:extLst>
        </c:ser>
        <c:ser>
          <c:idx val="12"/>
          <c:order val="12"/>
          <c:tx>
            <c:strRef>
              <c:f>put!$BB$89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put!$BB$90:$BB$106</c:f>
              <c:numCache>
                <c:formatCode>General</c:formatCode>
                <c:ptCount val="17"/>
                <c:pt idx="0">
                  <c:v>-3.3088619900105747</c:v>
                </c:pt>
                <c:pt idx="1">
                  <c:v>-3.1870353394131872</c:v>
                </c:pt>
                <c:pt idx="2">
                  <c:v>-3.0595598963054811</c:v>
                </c:pt>
                <c:pt idx="3">
                  <c:v>-2.9285488771785357</c:v>
                </c:pt>
                <c:pt idx="4">
                  <c:v>-2.795858762583689</c:v>
                </c:pt>
                <c:pt idx="5">
                  <c:v>-2.6630737119348518</c:v>
                </c:pt>
                <c:pt idx="6">
                  <c:v>-2.5315111590315631</c:v>
                </c:pt>
                <c:pt idx="7">
                  <c:v>-2.4022399761725204</c:v>
                </c:pt>
                <c:pt idx="8">
                  <c:v>-2.2761052302236475</c:v>
                </c:pt>
                <c:pt idx="9">
                  <c:v>-2.1537555560688664</c:v>
                </c:pt>
                <c:pt idx="10">
                  <c:v>-2.0356706241422411</c:v>
                </c:pt>
                <c:pt idx="11">
                  <c:v>-1.9221871941265309</c:v>
                </c:pt>
                <c:pt idx="12">
                  <c:v>-1.8135229356803779</c:v>
                </c:pt>
                <c:pt idx="13">
                  <c:v>-1.7097976498941947</c:v>
                </c:pt>
                <c:pt idx="14">
                  <c:v>-1.6110518122145063</c:v>
                </c:pt>
                <c:pt idx="15">
                  <c:v>-1.517262530812135</c:v>
                </c:pt>
                <c:pt idx="16">
                  <c:v>-1.4283571112354714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10-4A5E-BFF9-74CCC7CE0B97}"/>
            </c:ext>
          </c:extLst>
        </c:ser>
        <c:ser>
          <c:idx val="13"/>
          <c:order val="13"/>
          <c:tx>
            <c:strRef>
              <c:f>put!$BC$89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put!$AO$90:$AO$106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put!$BC$90:$BC$106</c:f>
              <c:numCache>
                <c:formatCode>General</c:formatCode>
                <c:ptCount val="17"/>
                <c:pt idx="0">
                  <c:v>-4.0270142293204847</c:v>
                </c:pt>
                <c:pt idx="1">
                  <c:v>-3.8845819777009787</c:v>
                </c:pt>
                <c:pt idx="2">
                  <c:v>-3.7382699537451458</c:v>
                </c:pt>
                <c:pt idx="3">
                  <c:v>-3.5900190517536217</c:v>
                </c:pt>
                <c:pt idx="4">
                  <c:v>-3.4414649060133029</c:v>
                </c:pt>
                <c:pt idx="5">
                  <c:v>-3.2939567853055052</c:v>
                </c:pt>
                <c:pt idx="6">
                  <c:v>-3.1485852336066738</c:v>
                </c:pt>
                <c:pt idx="7">
                  <c:v>-3.0062131035960546</c:v>
                </c:pt>
                <c:pt idx="8">
                  <c:v>-2.8675067475462073</c:v>
                </c:pt>
                <c:pt idx="9">
                  <c:v>-2.7329655259278365</c:v>
                </c:pt>
                <c:pt idx="10">
                  <c:v>-2.6029486901086254</c:v>
                </c:pt>
                <c:pt idx="11">
                  <c:v>-2.4776992545780532</c:v>
                </c:pt>
                <c:pt idx="12">
                  <c:v>-2.3573648104321254</c:v>
                </c:pt>
                <c:pt idx="13">
                  <c:v>-2.2420154235855065</c:v>
                </c:pt>
                <c:pt idx="14">
                  <c:v>-2.1316588608881553</c:v>
                </c:pt>
                <c:pt idx="15">
                  <c:v>-2.026253429822011</c:v>
                </c:pt>
                <c:pt idx="16">
                  <c:v>-1.9257187255069332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310-4A5E-BFF9-74CCC7CE0B97}"/>
            </c:ext>
          </c:extLst>
        </c:ser>
        <c:bandFmts/>
        <c:axId val="979925520"/>
        <c:axId val="1052116528"/>
        <c:axId val="892799504"/>
      </c:surface3DChart>
      <c:catAx>
        <c:axId val="9799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  <c:auto val="1"/>
        <c:lblAlgn val="ctr"/>
        <c:lblOffset val="100"/>
        <c:noMultiLvlLbl val="0"/>
      </c:catAx>
      <c:valAx>
        <c:axId val="10521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9925520"/>
        <c:crosses val="autoZero"/>
        <c:crossBetween val="midCat"/>
      </c:valAx>
      <c:serAx>
        <c:axId val="8927995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time</a:t>
                </a:r>
                <a:r>
                  <a:rPr lang="it-IT" baseline="0"/>
                  <a:t> to maturity (years)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521165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</a:t>
            </a:r>
          </a:p>
        </c:rich>
      </c:tx>
      <c:layout>
        <c:manualLayout>
          <c:xMode val="edge"/>
          <c:yMode val="edge"/>
          <c:x val="0.45082633420822404"/>
          <c:y val="3.7037037037037035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'TMV analysis'!$N$25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'TMV analysis'!$O$24:$X$24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analysis'!$O$25:$X$25</c:f>
              <c:numCache>
                <c:formatCode>General</c:formatCode>
                <c:ptCount val="10"/>
                <c:pt idx="0">
                  <c:v>0.98586215306060754</c:v>
                </c:pt>
                <c:pt idx="1">
                  <c:v>0.94671321088179061</c:v>
                </c:pt>
                <c:pt idx="2">
                  <c:v>0.91448792048019767</c:v>
                </c:pt>
                <c:pt idx="3">
                  <c:v>0.89063642356292061</c:v>
                </c:pt>
                <c:pt idx="4">
                  <c:v>0.87281230295564904</c:v>
                </c:pt>
                <c:pt idx="5">
                  <c:v>0.85919955860081432</c:v>
                </c:pt>
                <c:pt idx="6">
                  <c:v>0.84859391004379048</c:v>
                </c:pt>
                <c:pt idx="7">
                  <c:v>0.84019667914159479</c:v>
                </c:pt>
                <c:pt idx="8">
                  <c:v>0.83346439312369491</c:v>
                </c:pt>
                <c:pt idx="9">
                  <c:v>0.82801633205068592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B-4F47-9057-584FED3C5AA0}"/>
            </c:ext>
          </c:extLst>
        </c:ser>
        <c:ser>
          <c:idx val="1"/>
          <c:order val="1"/>
          <c:tx>
            <c:strRef>
              <c:f>'TMV analysis'!$N$26</c:f>
              <c:strCache>
                <c:ptCount val="1"/>
                <c:pt idx="0">
                  <c:v>10,5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'TMV analysis'!$O$24:$X$24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analysis'!$O$26:$X$26</c:f>
              <c:numCache>
                <c:formatCode>General</c:formatCode>
                <c:ptCount val="10"/>
                <c:pt idx="0">
                  <c:v>0.9551901842690389</c:v>
                </c:pt>
                <c:pt idx="1">
                  <c:v>0.89671248608506748</c:v>
                </c:pt>
                <c:pt idx="2">
                  <c:v>0.86049277489229237</c:v>
                </c:pt>
                <c:pt idx="3">
                  <c:v>0.83692631810241402</c:v>
                </c:pt>
                <c:pt idx="4">
                  <c:v>0.82067845683671137</c:v>
                </c:pt>
                <c:pt idx="5">
                  <c:v>0.80900231449687898</c:v>
                </c:pt>
                <c:pt idx="6">
                  <c:v>0.80036868643987868</c:v>
                </c:pt>
                <c:pt idx="7">
                  <c:v>0.79386133469321185</c:v>
                </c:pt>
                <c:pt idx="8">
                  <c:v>0.78889762676196107</c:v>
                </c:pt>
                <c:pt idx="9">
                  <c:v>0.78508897409659584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1B-4F47-9057-584FED3C5AA0}"/>
            </c:ext>
          </c:extLst>
        </c:ser>
        <c:ser>
          <c:idx val="2"/>
          <c:order val="2"/>
          <c:tx>
            <c:strRef>
              <c:f>'TMV analysis'!$N$27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'TMV analysis'!$O$24:$X$24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analysis'!$O$27:$X$27</c:f>
              <c:numCache>
                <c:formatCode>General</c:formatCode>
                <c:ptCount val="10"/>
                <c:pt idx="0">
                  <c:v>0.88960967674995739</c:v>
                </c:pt>
                <c:pt idx="1">
                  <c:v>0.82345473888134391</c:v>
                </c:pt>
                <c:pt idx="2">
                  <c:v>0.79087948038695932</c:v>
                </c:pt>
                <c:pt idx="3">
                  <c:v>0.77199326204845653</c:v>
                </c:pt>
                <c:pt idx="4">
                  <c:v>0.7600436245854475</c:v>
                </c:pt>
                <c:pt idx="5">
                  <c:v>0.75210967513665383</c:v>
                </c:pt>
                <c:pt idx="6">
                  <c:v>0.74671231434358165</c:v>
                </c:pt>
                <c:pt idx="7">
                  <c:v>0.74301825212572703</c:v>
                </c:pt>
                <c:pt idx="8">
                  <c:v>0.74052060844693823</c:v>
                </c:pt>
                <c:pt idx="9">
                  <c:v>0.73889271660071809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1B-4F47-9057-584FED3C5AA0}"/>
            </c:ext>
          </c:extLst>
        </c:ser>
        <c:ser>
          <c:idx val="3"/>
          <c:order val="3"/>
          <c:tx>
            <c:strRef>
              <c:f>'TMV analysis'!$N$28</c:f>
              <c:strCache>
                <c:ptCount val="1"/>
                <c:pt idx="0">
                  <c:v>11,5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'TMV analysis'!$O$24:$X$24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analysis'!$O$28:$X$28</c:f>
              <c:numCache>
                <c:formatCode>General</c:formatCode>
                <c:ptCount val="10"/>
                <c:pt idx="0">
                  <c:v>0.78009957368995475</c:v>
                </c:pt>
                <c:pt idx="1">
                  <c:v>0.72875496618345814</c:v>
                </c:pt>
                <c:pt idx="2">
                  <c:v>0.70834537689899357</c:v>
                </c:pt>
                <c:pt idx="3">
                  <c:v>0.69828158373860894</c:v>
                </c:pt>
                <c:pt idx="4">
                  <c:v>0.6929872563940892</c:v>
                </c:pt>
                <c:pt idx="5">
                  <c:v>0.69028057294005651</c:v>
                </c:pt>
                <c:pt idx="6">
                  <c:v>0.68912365092766537</c:v>
                </c:pt>
                <c:pt idx="7">
                  <c:v>0.68895796899265904</c:v>
                </c:pt>
                <c:pt idx="8">
                  <c:v>0.68945616968041323</c:v>
                </c:pt>
                <c:pt idx="9">
                  <c:v>0.69041396639975661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1B-4F47-9057-584FED3C5AA0}"/>
            </c:ext>
          </c:extLst>
        </c:ser>
        <c:ser>
          <c:idx val="4"/>
          <c:order val="4"/>
          <c:tx>
            <c:strRef>
              <c:f>'TMV analysis'!$N$29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'TMV analysis'!$O$24:$X$24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analysis'!$O$29:$X$29</c:f>
              <c:numCache>
                <c:formatCode>General</c:formatCode>
                <c:ptCount val="10"/>
                <c:pt idx="0">
                  <c:v>0.63301184252107401</c:v>
                </c:pt>
                <c:pt idx="1">
                  <c:v>0.61909119400511647</c:v>
                </c:pt>
                <c:pt idx="2">
                  <c:v>0.61743249511771792</c:v>
                </c:pt>
                <c:pt idx="3">
                  <c:v>0.61910088444571365</c:v>
                </c:pt>
                <c:pt idx="4">
                  <c:v>0.6220356323374977</c:v>
                </c:pt>
                <c:pt idx="5">
                  <c:v>0.62551636869571536</c:v>
                </c:pt>
                <c:pt idx="6">
                  <c:v>0.6292346284925272</c:v>
                </c:pt>
                <c:pt idx="7">
                  <c:v>0.63304173400605579</c:v>
                </c:pt>
                <c:pt idx="8">
                  <c:v>0.63686063313853769</c:v>
                </c:pt>
                <c:pt idx="9">
                  <c:v>0.64064969192541654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1B-4F47-9057-584FED3C5AA0}"/>
            </c:ext>
          </c:extLst>
        </c:ser>
        <c:ser>
          <c:idx val="5"/>
          <c:order val="5"/>
          <c:tx>
            <c:strRef>
              <c:f>'TMV analysis'!$N$30</c:f>
              <c:strCache>
                <c:ptCount val="1"/>
                <c:pt idx="0">
                  <c:v>12,5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'TMV analysis'!$O$24:$X$24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analysis'!$O$30:$X$30</c:f>
              <c:numCache>
                <c:formatCode>General</c:formatCode>
                <c:ptCount val="10"/>
                <c:pt idx="0">
                  <c:v>0.47003499299744644</c:v>
                </c:pt>
                <c:pt idx="1">
                  <c:v>0.5038414924203255</c:v>
                </c:pt>
                <c:pt idx="2">
                  <c:v>0.52357609235312919</c:v>
                </c:pt>
                <c:pt idx="3">
                  <c:v>0.53808436958984784</c:v>
                </c:pt>
                <c:pt idx="4">
                  <c:v>0.54982832632845957</c:v>
                </c:pt>
                <c:pt idx="5">
                  <c:v>0.55984215891160249</c:v>
                </c:pt>
                <c:pt idx="6">
                  <c:v>0.56865975799789226</c:v>
                </c:pt>
                <c:pt idx="7">
                  <c:v>0.57659397138514568</c:v>
                </c:pt>
                <c:pt idx="8">
                  <c:v>0.58384465244406458</c:v>
                </c:pt>
                <c:pt idx="9">
                  <c:v>0.59054773821001905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1B-4F47-9057-584FED3C5AA0}"/>
            </c:ext>
          </c:extLst>
        </c:ser>
        <c:ser>
          <c:idx val="6"/>
          <c:order val="6"/>
          <c:tx>
            <c:strRef>
              <c:f>'TMV analysis'!$N$31</c:f>
              <c:strCache>
                <c:ptCount val="1"/>
                <c:pt idx="0">
                  <c:v>13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'TMV analysis'!$O$24:$X$24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analysis'!$O$31:$X$31</c:f>
              <c:numCache>
                <c:formatCode>General</c:formatCode>
                <c:ptCount val="10"/>
                <c:pt idx="0">
                  <c:v>0.31777666874533117</c:v>
                </c:pt>
                <c:pt idx="1">
                  <c:v>0.39268619780868769</c:v>
                </c:pt>
                <c:pt idx="2">
                  <c:v>0.43207903911727075</c:v>
                </c:pt>
                <c:pt idx="3">
                  <c:v>0.45867880648832138</c:v>
                </c:pt>
                <c:pt idx="4">
                  <c:v>0.47882781133576746</c:v>
                </c:pt>
                <c:pt idx="5">
                  <c:v>0.49512617329077174</c:v>
                </c:pt>
                <c:pt idx="6">
                  <c:v>0.5088766427518534</c:v>
                </c:pt>
                <c:pt idx="7">
                  <c:v>0.52081955196477825</c:v>
                </c:pt>
                <c:pt idx="8">
                  <c:v>0.53141391697368401</c:v>
                </c:pt>
                <c:pt idx="9">
                  <c:v>0.54096316546865186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1B-4F47-9057-584FED3C5AA0}"/>
            </c:ext>
          </c:extLst>
        </c:ser>
        <c:ser>
          <c:idx val="7"/>
          <c:order val="7"/>
          <c:tx>
            <c:strRef>
              <c:f>'TMV analysis'!$N$32</c:f>
              <c:strCache>
                <c:ptCount val="1"/>
                <c:pt idx="0">
                  <c:v>13,5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'TMV analysis'!$O$24:$X$24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analysis'!$O$32:$X$32</c:f>
              <c:numCache>
                <c:formatCode>General</c:formatCode>
                <c:ptCount val="10"/>
                <c:pt idx="0">
                  <c:v>0.19555180013963838</c:v>
                </c:pt>
                <c:pt idx="1">
                  <c:v>0.2933458821635625</c:v>
                </c:pt>
                <c:pt idx="2">
                  <c:v>0.34730430143785795</c:v>
                </c:pt>
                <c:pt idx="3">
                  <c:v>0.38376431944029066</c:v>
                </c:pt>
                <c:pt idx="4">
                  <c:v>0.41111088340758428</c:v>
                </c:pt>
                <c:pt idx="5">
                  <c:v>0.43295376189190848</c:v>
                </c:pt>
                <c:pt idx="6">
                  <c:v>0.45114465536281406</c:v>
                </c:pt>
                <c:pt idx="7">
                  <c:v>0.46674875931494347</c:v>
                </c:pt>
                <c:pt idx="8">
                  <c:v>0.48043056934941591</c:v>
                </c:pt>
                <c:pt idx="9">
                  <c:v>0.49263046447905751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1B-4F47-9057-584FED3C5AA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721644239"/>
        <c:axId val="1721644719"/>
        <c:axId val="1360388543"/>
      </c:surface3DChart>
      <c:catAx>
        <c:axId val="1721644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21644719"/>
        <c:crosses val="autoZero"/>
        <c:auto val="1"/>
        <c:lblAlgn val="ctr"/>
        <c:lblOffset val="100"/>
        <c:noMultiLvlLbl val="0"/>
      </c:catAx>
      <c:valAx>
        <c:axId val="172164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21644239"/>
        <c:crosses val="autoZero"/>
        <c:crossBetween val="midCat"/>
      </c:valAx>
      <c:serAx>
        <c:axId val="1360388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2164471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'TMV analysis'!$N$37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'TMV analysis'!$O$36:$X$36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analysis'!$O$37:$X$37</c:f>
              <c:numCache>
                <c:formatCode>General</c:formatCode>
                <c:ptCount val="10"/>
                <c:pt idx="0">
                  <c:v>2.974736414542211E-2</c:v>
                </c:pt>
                <c:pt idx="1">
                  <c:v>6.3408743623491623E-2</c:v>
                </c:pt>
                <c:pt idx="2">
                  <c:v>7.4593423601046691E-2</c:v>
                </c:pt>
                <c:pt idx="3">
                  <c:v>7.7387984337660587E-2</c:v>
                </c:pt>
                <c:pt idx="4">
                  <c:v>7.7019204414910489E-2</c:v>
                </c:pt>
                <c:pt idx="5">
                  <c:v>7.5397678309973057E-2</c:v>
                </c:pt>
                <c:pt idx="6">
                  <c:v>7.3294875868066267E-2</c:v>
                </c:pt>
                <c:pt idx="7">
                  <c:v>7.1046279961507544E-2</c:v>
                </c:pt>
                <c:pt idx="8">
                  <c:v>6.8803716201158202E-2</c:v>
                </c:pt>
                <c:pt idx="9">
                  <c:v>6.6635880820084037E-2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87-4D2F-BB0F-8459D111F49F}"/>
            </c:ext>
          </c:extLst>
        </c:ser>
        <c:ser>
          <c:idx val="1"/>
          <c:order val="1"/>
          <c:tx>
            <c:strRef>
              <c:f>'TMV analysis'!$N$38</c:f>
              <c:strCache>
                <c:ptCount val="1"/>
                <c:pt idx="0">
                  <c:v>10,5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'TMV analysis'!$O$36:$X$36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analysis'!$O$38:$X$38</c:f>
              <c:numCache>
                <c:formatCode>General</c:formatCode>
                <c:ptCount val="10"/>
                <c:pt idx="0">
                  <c:v>7.8079987478039237E-2</c:v>
                </c:pt>
                <c:pt idx="1">
                  <c:v>0.10501699474404042</c:v>
                </c:pt>
                <c:pt idx="2">
                  <c:v>0.10596213715178474</c:v>
                </c:pt>
                <c:pt idx="3">
                  <c:v>0.10181073416310636</c:v>
                </c:pt>
                <c:pt idx="4">
                  <c:v>9.6765597260705521E-2</c:v>
                </c:pt>
                <c:pt idx="5">
                  <c:v>9.1864533197666437E-2</c:v>
                </c:pt>
                <c:pt idx="6">
                  <c:v>8.7365630925675605E-2</c:v>
                </c:pt>
                <c:pt idx="7">
                  <c:v>8.3304061326334486E-2</c:v>
                </c:pt>
                <c:pt idx="8">
                  <c:v>7.9649252735858697E-2</c:v>
                </c:pt>
                <c:pt idx="9">
                  <c:v>7.635437641770218E-2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87-4D2F-BB0F-8459D111F49F}"/>
            </c:ext>
          </c:extLst>
        </c:ser>
        <c:ser>
          <c:idx val="2"/>
          <c:order val="2"/>
          <c:tx>
            <c:strRef>
              <c:f>'TMV analysis'!$N$39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'TMV analysis'!$O$36:$X$36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analysis'!$O$39:$X$39</c:f>
              <c:numCache>
                <c:formatCode>General</c:formatCode>
                <c:ptCount val="10"/>
                <c:pt idx="0">
                  <c:v>0.15581743641691936</c:v>
                </c:pt>
                <c:pt idx="1">
                  <c:v>0.15150170540684266</c:v>
                </c:pt>
                <c:pt idx="2">
                  <c:v>0.13719423103894487</c:v>
                </c:pt>
                <c:pt idx="3">
                  <c:v>0.12487983396951963</c:v>
                </c:pt>
                <c:pt idx="4">
                  <c:v>0.11490207895647231</c:v>
                </c:pt>
                <c:pt idx="5">
                  <c:v>0.10674811593842902</c:v>
                </c:pt>
                <c:pt idx="6">
                  <c:v>9.9963755691592798E-2</c:v>
                </c:pt>
                <c:pt idx="7">
                  <c:v>9.4218312712934557E-2</c:v>
                </c:pt>
                <c:pt idx="8">
                  <c:v>8.9276355621048409E-2</c:v>
                </c:pt>
                <c:pt idx="9">
                  <c:v>8.4968345708673718E-2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87-4D2F-BB0F-8459D111F49F}"/>
            </c:ext>
          </c:extLst>
        </c:ser>
        <c:ser>
          <c:idx val="3"/>
          <c:order val="3"/>
          <c:tx>
            <c:strRef>
              <c:f>'TMV analysis'!$N$40</c:f>
              <c:strCache>
                <c:ptCount val="1"/>
                <c:pt idx="0">
                  <c:v>11,5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'TMV analysis'!$O$36:$X$36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analysis'!$O$40:$X$40</c:f>
              <c:numCache>
                <c:formatCode>General</c:formatCode>
                <c:ptCount val="10"/>
                <c:pt idx="0">
                  <c:v>0.24467457618129076</c:v>
                </c:pt>
                <c:pt idx="1">
                  <c:v>0.19369492067484342</c:v>
                </c:pt>
                <c:pt idx="2">
                  <c:v>0.16378691420522354</c:v>
                </c:pt>
                <c:pt idx="3">
                  <c:v>0.14406450245450847</c:v>
                </c:pt>
                <c:pt idx="4">
                  <c:v>0.12985699528879266</c:v>
                </c:pt>
                <c:pt idx="5">
                  <c:v>0.1189997940572898</c:v>
                </c:pt>
                <c:pt idx="6">
                  <c:v>0.11035131281676279</c:v>
                </c:pt>
                <c:pt idx="7">
                  <c:v>0.10324807749439803</c:v>
                </c:pt>
                <c:pt idx="8">
                  <c:v>9.7275467062901869E-2</c:v>
                </c:pt>
                <c:pt idx="9">
                  <c:v>9.2159521267924802E-2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87-4D2F-BB0F-8459D111F49F}"/>
            </c:ext>
          </c:extLst>
        </c:ser>
        <c:ser>
          <c:idx val="4"/>
          <c:order val="4"/>
          <c:tx>
            <c:strRef>
              <c:f>'TMV analysis'!$N$41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'TMV analysis'!$O$36:$X$36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analysis'!$O$41:$X$41</c:f>
              <c:numCache>
                <c:formatCode>General</c:formatCode>
                <c:ptCount val="10"/>
                <c:pt idx="0">
                  <c:v>0.31124615271484468</c:v>
                </c:pt>
                <c:pt idx="1">
                  <c:v>0.22269947084531053</c:v>
                </c:pt>
                <c:pt idx="2">
                  <c:v>0.18207154976997689</c:v>
                </c:pt>
                <c:pt idx="3">
                  <c:v>0.15747109210138283</c:v>
                </c:pt>
                <c:pt idx="4">
                  <c:v>0.14051341407164408</c:v>
                </c:pt>
                <c:pt idx="5">
                  <c:v>0.12790014392352628</c:v>
                </c:pt>
                <c:pt idx="6">
                  <c:v>0.11803510086310798</c:v>
                </c:pt>
                <c:pt idx="7">
                  <c:v>0.11003916366036295</c:v>
                </c:pt>
                <c:pt idx="8">
                  <c:v>0.10338291970240138</c:v>
                </c:pt>
                <c:pt idx="9">
                  <c:v>9.7725928994999073E-2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87-4D2F-BB0F-8459D111F49F}"/>
            </c:ext>
          </c:extLst>
        </c:ser>
        <c:ser>
          <c:idx val="5"/>
          <c:order val="5"/>
          <c:tx>
            <c:strRef>
              <c:f>'TMV analysis'!$N$42</c:f>
              <c:strCache>
                <c:ptCount val="1"/>
                <c:pt idx="0">
                  <c:v>12,5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'TMV analysis'!$O$36:$X$36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analysis'!$O$42:$X$42</c:f>
              <c:numCache>
                <c:formatCode>General</c:formatCode>
                <c:ptCount val="10"/>
                <c:pt idx="0">
                  <c:v>0.32881782049987407</c:v>
                </c:pt>
                <c:pt idx="1">
                  <c:v>0.23315653846656154</c:v>
                </c:pt>
                <c:pt idx="2">
                  <c:v>0.19004780407950503</c:v>
                </c:pt>
                <c:pt idx="3">
                  <c:v>0.16412237122818521</c:v>
                </c:pt>
                <c:pt idx="4">
                  <c:v>0.14631620741849022</c:v>
                </c:pt>
                <c:pt idx="5">
                  <c:v>0.13310186883791256</c:v>
                </c:pt>
                <c:pt idx="6">
                  <c:v>0.12278278752440804</c:v>
                </c:pt>
                <c:pt idx="7">
                  <c:v>0.11442831143906991</c:v>
                </c:pt>
                <c:pt idx="8">
                  <c:v>0.10747959740996713</c:v>
                </c:pt>
                <c:pt idx="9">
                  <c:v>0.10157804942712154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87-4D2F-BB0F-8459D111F49F}"/>
            </c:ext>
          </c:extLst>
        </c:ser>
        <c:ser>
          <c:idx val="6"/>
          <c:order val="6"/>
          <c:tx>
            <c:strRef>
              <c:f>'TMV analysis'!$N$43</c:f>
              <c:strCache>
                <c:ptCount val="1"/>
                <c:pt idx="0">
                  <c:v>13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'TMV analysis'!$O$36:$X$36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analysis'!$O$43:$X$43</c:f>
              <c:numCache>
                <c:formatCode>General</c:formatCode>
                <c:ptCount val="10"/>
                <c:pt idx="0">
                  <c:v>0.29472052398779736</c:v>
                </c:pt>
                <c:pt idx="1">
                  <c:v>0.22467975303083612</c:v>
                </c:pt>
                <c:pt idx="2">
                  <c:v>0.18761445505374924</c:v>
                </c:pt>
                <c:pt idx="3">
                  <c:v>0.16398902135373183</c:v>
                </c:pt>
                <c:pt idx="4">
                  <c:v>0.1472602580192687</c:v>
                </c:pt>
                <c:pt idx="5">
                  <c:v>0.1346091851179988</c:v>
                </c:pt>
                <c:pt idx="6">
                  <c:v>0.1246023370729286</c:v>
                </c:pt>
                <c:pt idx="7">
                  <c:v>0.11642488203941151</c:v>
                </c:pt>
                <c:pt idx="8">
                  <c:v>0.10957520034933663</c:v>
                </c:pt>
                <c:pt idx="9">
                  <c:v>0.10372543179963535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87-4D2F-BB0F-8459D111F49F}"/>
            </c:ext>
          </c:extLst>
        </c:ser>
        <c:ser>
          <c:idx val="7"/>
          <c:order val="7"/>
          <c:tx>
            <c:strRef>
              <c:f>'TMV analysis'!$N$44</c:f>
              <c:strCache>
                <c:ptCount val="1"/>
                <c:pt idx="0">
                  <c:v>13,5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'TMV analysis'!$O$36:$X$36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analysis'!$O$44:$X$44</c:f>
              <c:numCache>
                <c:formatCode>General</c:formatCode>
                <c:ptCount val="10"/>
                <c:pt idx="0">
                  <c:v>0.22828068879097246</c:v>
                </c:pt>
                <c:pt idx="1">
                  <c:v>0.20113698779126229</c:v>
                </c:pt>
                <c:pt idx="2">
                  <c:v>0.17625875727931523</c:v>
                </c:pt>
                <c:pt idx="3">
                  <c:v>0.15782557614338127</c:v>
                </c:pt>
                <c:pt idx="4">
                  <c:v>0.1437921202077935</c:v>
                </c:pt>
                <c:pt idx="5">
                  <c:v>0.13271362327335443</c:v>
                </c:pt>
                <c:pt idx="6">
                  <c:v>0.12369745691121548</c:v>
                </c:pt>
                <c:pt idx="7">
                  <c:v>0.11617848757354549</c:v>
                </c:pt>
                <c:pt idx="8">
                  <c:v>0.10978387409118942</c:v>
                </c:pt>
                <c:pt idx="9">
                  <c:v>0.10425781619069197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87-4D2F-BB0F-8459D111F49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80549599"/>
        <c:axId val="1880578879"/>
        <c:axId val="541607039"/>
      </c:surface3DChart>
      <c:catAx>
        <c:axId val="1880549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0578879"/>
        <c:crosses val="autoZero"/>
        <c:auto val="1"/>
        <c:lblAlgn val="ctr"/>
        <c:lblOffset val="100"/>
        <c:noMultiLvlLbl val="0"/>
      </c:catAx>
      <c:valAx>
        <c:axId val="188057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0549599"/>
        <c:crosses val="autoZero"/>
        <c:crossBetween val="midCat"/>
      </c:valAx>
      <c:serAx>
        <c:axId val="5416070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05788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'TMV analysis'!$N$49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'TMV analysis'!$O$48:$X$48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analysis'!$O$49:$X$49</c:f>
              <c:numCache>
                <c:formatCode>General</c:formatCode>
                <c:ptCount val="10"/>
                <c:pt idx="0">
                  <c:v>1.3998481749710214E-3</c:v>
                </c:pt>
                <c:pt idx="1">
                  <c:v>5.9677633019603188E-3</c:v>
                </c:pt>
                <c:pt idx="2">
                  <c:v>1.0530627256482645E-2</c:v>
                </c:pt>
                <c:pt idx="3">
                  <c:v>1.4566860863392702E-2</c:v>
                </c:pt>
                <c:pt idx="4">
                  <c:v>1.8121806054961751E-2</c:v>
                </c:pt>
                <c:pt idx="5">
                  <c:v>2.1288333688316494E-2</c:v>
                </c:pt>
                <c:pt idx="6">
                  <c:v>2.4143715188325622E-2</c:v>
                </c:pt>
                <c:pt idx="7">
                  <c:v>2.6746303936418317E-2</c:v>
                </c:pt>
                <c:pt idx="8">
                  <c:v>2.9139819069722097E-2</c:v>
                </c:pt>
                <c:pt idx="9">
                  <c:v>3.1357439165895368E-2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14-48D0-A0A1-BBA56325150D}"/>
            </c:ext>
          </c:extLst>
        </c:ser>
        <c:ser>
          <c:idx val="1"/>
          <c:order val="1"/>
          <c:tx>
            <c:strRef>
              <c:f>'TMV analysis'!$N$50</c:f>
              <c:strCache>
                <c:ptCount val="1"/>
                <c:pt idx="0">
                  <c:v>10,5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'TMV analysis'!$O$48:$X$48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analysis'!$O$50:$X$50</c:f>
              <c:numCache>
                <c:formatCode>General</c:formatCode>
                <c:ptCount val="10"/>
                <c:pt idx="0">
                  <c:v>3.6742794231640814E-3</c:v>
                </c:pt>
                <c:pt idx="1">
                  <c:v>9.8837562692766952E-3</c:v>
                </c:pt>
                <c:pt idx="2">
                  <c:v>1.4959063624880718E-2</c:v>
                </c:pt>
                <c:pt idx="3">
                  <c:v>1.9163993114007304E-2</c:v>
                </c:pt>
                <c:pt idx="4">
                  <c:v>2.2767923918097011E-2</c:v>
                </c:pt>
                <c:pt idx="5">
                  <c:v>2.5937706314952579E-2</c:v>
                </c:pt>
                <c:pt idx="6">
                  <c:v>2.8778695445432854E-2</c:v>
                </c:pt>
                <c:pt idx="7">
                  <c:v>3.1360906504595748E-2</c:v>
                </c:pt>
                <c:pt idx="8">
                  <c:v>3.3733131608411876E-2</c:v>
                </c:pt>
                <c:pt idx="9">
                  <c:v>3.5930758085609901E-2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14-48D0-A0A1-BBA56325150D}"/>
            </c:ext>
          </c:extLst>
        </c:ser>
        <c:ser>
          <c:idx val="2"/>
          <c:order val="2"/>
          <c:tx>
            <c:strRef>
              <c:f>'TMV analysis'!$N$51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'TMV analysis'!$O$48:$X$48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analysis'!$O$51:$X$51</c:f>
              <c:numCache>
                <c:formatCode>General</c:formatCode>
                <c:ptCount val="10"/>
                <c:pt idx="0">
                  <c:v>7.3324397056017754E-3</c:v>
                </c:pt>
                <c:pt idx="1">
                  <c:v>1.4258701025206854E-2</c:v>
                </c:pt>
                <c:pt idx="2">
                  <c:v>1.9368212894180895E-2</c:v>
                </c:pt>
                <c:pt idx="3">
                  <c:v>2.3506325712534575E-2</c:v>
                </c:pt>
                <c:pt idx="4">
                  <c:v>2.7035246676191112E-2</c:v>
                </c:pt>
                <c:pt idx="5">
                  <c:v>3.0140046267124715E-2</c:v>
                </c:pt>
                <c:pt idx="6">
                  <c:v>3.2928583587719988E-2</c:v>
                </c:pt>
                <c:pt idx="7">
                  <c:v>3.5469719590694539E-2</c:v>
                </c:pt>
                <c:pt idx="8">
                  <c:v>3.7810411902689141E-2</c:v>
                </c:pt>
                <c:pt idx="9">
                  <c:v>3.9984310236407299E-2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14-48D0-A0A1-BBA56325150D}"/>
            </c:ext>
          </c:extLst>
        </c:ser>
        <c:ser>
          <c:idx val="3"/>
          <c:order val="3"/>
          <c:tx>
            <c:strRef>
              <c:f>'TMV analysis'!$N$52</c:f>
              <c:strCache>
                <c:ptCount val="1"/>
                <c:pt idx="0">
                  <c:v>11,5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'TMV analysis'!$O$48:$X$48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analysis'!$O$52:$X$52</c:f>
              <c:numCache>
                <c:formatCode>General</c:formatCode>
                <c:ptCount val="10"/>
                <c:pt idx="0">
                  <c:v>1.1513869170216792E-2</c:v>
                </c:pt>
                <c:pt idx="1">
                  <c:v>1.8229748348951656E-2</c:v>
                </c:pt>
                <c:pt idx="2">
                  <c:v>2.3122399532289457E-2</c:v>
                </c:pt>
                <c:pt idx="3">
                  <c:v>2.7117485751434165E-2</c:v>
                </c:pt>
                <c:pt idx="4">
                  <c:v>3.0553980677681572E-2</c:v>
                </c:pt>
                <c:pt idx="5">
                  <c:v>3.3599274958012071E-2</c:v>
                </c:pt>
                <c:pt idx="6">
                  <c:v>3.6350299195561479E-2</c:v>
                </c:pt>
                <c:pt idx="7">
                  <c:v>3.8869092977312933E-2</c:v>
                </c:pt>
                <c:pt idx="8">
                  <c:v>4.1198203623890241E-2</c:v>
                </c:pt>
                <c:pt idx="9">
                  <c:v>4.336832568507118E-2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14-48D0-A0A1-BBA56325150D}"/>
            </c:ext>
          </c:extLst>
        </c:ser>
        <c:ser>
          <c:idx val="4"/>
          <c:order val="4"/>
          <c:tx>
            <c:strRef>
              <c:f>'TMV analysis'!$N$53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'TMV analysis'!$O$48:$X$48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analysis'!$O$53:$X$53</c:f>
              <c:numCache>
                <c:formatCode>General</c:formatCode>
                <c:ptCount val="10"/>
                <c:pt idx="0">
                  <c:v>1.4646587062796203E-2</c:v>
                </c:pt>
                <c:pt idx="1">
                  <c:v>2.0959534182983755E-2</c:v>
                </c:pt>
                <c:pt idx="2">
                  <c:v>2.5703708612334709E-2</c:v>
                </c:pt>
                <c:pt idx="3">
                  <c:v>2.964102900831134E-2</c:v>
                </c:pt>
                <c:pt idx="4">
                  <c:v>3.3061323565605504E-2</c:v>
                </c:pt>
                <c:pt idx="5">
                  <c:v>3.6112265041290843E-2</c:v>
                </c:pt>
                <c:pt idx="6">
                  <c:v>3.8881379137525686E-2</c:v>
                </c:pt>
                <c:pt idx="7">
                  <c:v>4.1425686436558272E-2</c:v>
                </c:pt>
                <c:pt idx="8">
                  <c:v>4.3784838106998535E-2</c:v>
                </c:pt>
                <c:pt idx="9">
                  <c:v>4.598775968258341E-2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14-48D0-A0A1-BBA56325150D}"/>
            </c:ext>
          </c:extLst>
        </c:ser>
        <c:ser>
          <c:idx val="5"/>
          <c:order val="5"/>
          <c:tx>
            <c:strRef>
              <c:f>'TMV analysis'!$N$54</c:f>
              <c:strCache>
                <c:ptCount val="1"/>
                <c:pt idx="0">
                  <c:v>12,5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'TMV analysis'!$O$48:$X$48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analysis'!$O$54:$X$54</c:f>
              <c:numCache>
                <c:formatCode>General</c:formatCode>
                <c:ptCount val="10"/>
                <c:pt idx="0">
                  <c:v>1.5473472663813591E-2</c:v>
                </c:pt>
                <c:pt idx="1">
                  <c:v>2.1943709248283413E-2</c:v>
                </c:pt>
                <c:pt idx="2">
                  <c:v>2.6829745694179754E-2</c:v>
                </c:pt>
                <c:pt idx="3">
                  <c:v>3.089300964113121E-2</c:v>
                </c:pt>
                <c:pt idx="4">
                  <c:v>3.4426659606238634E-2</c:v>
                </c:pt>
                <c:pt idx="5">
                  <c:v>3.7580958218778736E-2</c:v>
                </c:pt>
                <c:pt idx="6">
                  <c:v>4.0445291937653408E-2</c:v>
                </c:pt>
                <c:pt idx="7">
                  <c:v>4.3078038686032202E-2</c:v>
                </c:pt>
                <c:pt idx="8">
                  <c:v>4.5519867169039524E-2</c:v>
                </c:pt>
                <c:pt idx="9">
                  <c:v>4.7800486259067347E-2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14-48D0-A0A1-BBA56325150D}"/>
            </c:ext>
          </c:extLst>
        </c:ser>
        <c:ser>
          <c:idx val="6"/>
          <c:order val="6"/>
          <c:tx>
            <c:strRef>
              <c:f>'TMV analysis'!$N$55</c:f>
              <c:strCache>
                <c:ptCount val="1"/>
                <c:pt idx="0">
                  <c:v>13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'TMV analysis'!$O$48:$X$48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analysis'!$O$55:$X$55</c:f>
              <c:numCache>
                <c:formatCode>General</c:formatCode>
                <c:ptCount val="10"/>
                <c:pt idx="0">
                  <c:v>1.3868925852185516E-2</c:v>
                </c:pt>
                <c:pt idx="1">
                  <c:v>2.1145909983527566E-2</c:v>
                </c:pt>
                <c:pt idx="2">
                  <c:v>2.6486220885448497E-2</c:v>
                </c:pt>
                <c:pt idx="3">
                  <c:v>3.0867908986501963E-2</c:v>
                </c:pt>
                <c:pt idx="4">
                  <c:v>3.4648784750523631E-2</c:v>
                </c:pt>
                <c:pt idx="5">
                  <c:v>3.8006544956508084E-2</c:v>
                </c:pt>
                <c:pt idx="6">
                  <c:v>4.1044661068854398E-2</c:v>
                </c:pt>
                <c:pt idx="7">
                  <c:v>4.3829673875604207E-2</c:v>
                </c:pt>
                <c:pt idx="8">
                  <c:v>4.6407399033113125E-2</c:v>
                </c:pt>
                <c:pt idx="9">
                  <c:v>4.8810999083139191E-2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14-48D0-A0A1-BBA56325150D}"/>
            </c:ext>
          </c:extLst>
        </c:ser>
        <c:ser>
          <c:idx val="7"/>
          <c:order val="7"/>
          <c:tx>
            <c:strRef>
              <c:f>'TMV analysis'!$N$56</c:f>
              <c:strCache>
                <c:ptCount val="1"/>
                <c:pt idx="0">
                  <c:v>13,5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'TMV analysis'!$O$48:$X$48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analysis'!$O$56:$X$56</c:f>
              <c:numCache>
                <c:formatCode>General</c:formatCode>
                <c:ptCount val="10"/>
                <c:pt idx="0">
                  <c:v>1.0742407428872922E-2</c:v>
                </c:pt>
                <c:pt idx="1">
                  <c:v>1.8930164293033482E-2</c:v>
                </c:pt>
                <c:pt idx="2">
                  <c:v>2.4883095372140427E-2</c:v>
                </c:pt>
                <c:pt idx="3">
                  <c:v>2.9707754091827587E-2</c:v>
                </c:pt>
                <c:pt idx="4">
                  <c:v>3.3832768520949776E-2</c:v>
                </c:pt>
                <c:pt idx="5">
                  <c:v>3.7471338117515893E-2</c:v>
                </c:pt>
                <c:pt idx="6">
                  <c:v>4.0746588814208742E-2</c:v>
                </c:pt>
                <c:pt idx="7">
                  <c:v>4.3736915447212539E-2</c:v>
                </c:pt>
                <c:pt idx="8">
                  <c:v>4.6495776746090345E-2</c:v>
                </c:pt>
                <c:pt idx="9">
                  <c:v>4.9061527941615668E-2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14-48D0-A0A1-BBA56325150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80460799"/>
        <c:axId val="1880457919"/>
        <c:axId val="1360394143"/>
      </c:surface3DChart>
      <c:catAx>
        <c:axId val="1880460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0457919"/>
        <c:crosses val="autoZero"/>
        <c:auto val="1"/>
        <c:lblAlgn val="ctr"/>
        <c:lblOffset val="100"/>
        <c:noMultiLvlLbl val="0"/>
      </c:catAx>
      <c:valAx>
        <c:axId val="188045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0460799"/>
        <c:crosses val="autoZero"/>
        <c:crossBetween val="midCat"/>
      </c:valAx>
      <c:serAx>
        <c:axId val="136039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045791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'TMV analysis'!$N$61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'TMV analysis'!$O$60:$X$60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analysis'!$O$61:$X$61</c:f>
              <c:numCache>
                <c:formatCode>General</c:formatCode>
                <c:ptCount val="10"/>
                <c:pt idx="0">
                  <c:v>-1.6407466846747138E-3</c:v>
                </c:pt>
                <c:pt idx="1">
                  <c:v>-2.2564641471148408E-3</c:v>
                </c:pt>
                <c:pt idx="2">
                  <c:v>-2.4291948393200006E-3</c:v>
                </c:pt>
                <c:pt idx="3">
                  <c:v>-2.4443809101876365E-3</c:v>
                </c:pt>
                <c:pt idx="4">
                  <c:v>-2.4041218748636767E-3</c:v>
                </c:pt>
                <c:pt idx="5">
                  <c:v>-2.3444762831815089E-3</c:v>
                </c:pt>
                <c:pt idx="6">
                  <c:v>-2.2793755526945903E-3</c:v>
                </c:pt>
                <c:pt idx="7">
                  <c:v>-2.2145061001522903E-3</c:v>
                </c:pt>
                <c:pt idx="8">
                  <c:v>-2.152192327928472E-3</c:v>
                </c:pt>
                <c:pt idx="9">
                  <c:v>-2.0932997249734409E-3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90-4A08-90DA-B156BF37BC11}"/>
            </c:ext>
          </c:extLst>
        </c:ser>
        <c:ser>
          <c:idx val="1"/>
          <c:order val="1"/>
          <c:tx>
            <c:strRef>
              <c:f>'TMV analysis'!$N$62</c:f>
              <c:strCache>
                <c:ptCount val="1"/>
                <c:pt idx="0">
                  <c:v>10,5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'TMV analysis'!$O$60:$X$60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analysis'!$O$62:$X$62</c:f>
              <c:numCache>
                <c:formatCode>General</c:formatCode>
                <c:ptCount val="10"/>
                <c:pt idx="0">
                  <c:v>-2.6209488944209688E-3</c:v>
                </c:pt>
                <c:pt idx="1">
                  <c:v>-3.0728423639386003E-3</c:v>
                </c:pt>
                <c:pt idx="2">
                  <c:v>-3.0322761855909085E-3</c:v>
                </c:pt>
                <c:pt idx="3">
                  <c:v>-2.9065084783420681E-3</c:v>
                </c:pt>
                <c:pt idx="4">
                  <c:v>-2.7729474205384656E-3</c:v>
                </c:pt>
                <c:pt idx="5">
                  <c:v>-2.6487833020165195E-3</c:v>
                </c:pt>
                <c:pt idx="6">
                  <c:v>-2.5371380078117877E-3</c:v>
                </c:pt>
                <c:pt idx="7">
                  <c:v>-2.4374652419941116E-3</c:v>
                </c:pt>
                <c:pt idx="8">
                  <c:v>-2.3483429016267587E-3</c:v>
                </c:pt>
                <c:pt idx="9">
                  <c:v>-2.2682835406783743E-3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90-4A08-90DA-B156BF37BC11}"/>
            </c:ext>
          </c:extLst>
        </c:ser>
        <c:ser>
          <c:idx val="2"/>
          <c:order val="2"/>
          <c:tx>
            <c:strRef>
              <c:f>'TMV analysis'!$N$63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'TMV analysis'!$O$60:$X$60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analysis'!$O$63:$X$63</c:f>
              <c:numCache>
                <c:formatCode>General</c:formatCode>
                <c:ptCount val="10"/>
                <c:pt idx="0">
                  <c:v>-4.1419787952981452E-3</c:v>
                </c:pt>
                <c:pt idx="1">
                  <c:v>-3.9526153527946637E-3</c:v>
                </c:pt>
                <c:pt idx="2">
                  <c:v>-3.6082411898527757E-3</c:v>
                </c:pt>
                <c:pt idx="3">
                  <c:v>-3.3230407268271555E-3</c:v>
                </c:pt>
                <c:pt idx="4">
                  <c:v>-3.0947969290866829E-3</c:v>
                </c:pt>
                <c:pt idx="5">
                  <c:v>-2.9091972835358706E-3</c:v>
                </c:pt>
                <c:pt idx="6">
                  <c:v>-2.7550493824692211E-3</c:v>
                </c:pt>
                <c:pt idx="7">
                  <c:v>-2.6245220276004443E-3</c:v>
                </c:pt>
                <c:pt idx="8">
                  <c:v>-2.5121482022036875E-3</c:v>
                </c:pt>
                <c:pt idx="9">
                  <c:v>-2.4140367797870323E-3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90-4A08-90DA-B156BF37BC11}"/>
            </c:ext>
          </c:extLst>
        </c:ser>
        <c:ser>
          <c:idx val="3"/>
          <c:order val="3"/>
          <c:tx>
            <c:strRef>
              <c:f>'TMV analysis'!$N$64</c:f>
              <c:strCache>
                <c:ptCount val="1"/>
                <c:pt idx="0">
                  <c:v>11,5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'TMV analysis'!$O$60:$X$60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analysis'!$O$64:$X$64</c:f>
              <c:numCache>
                <c:formatCode>General</c:formatCode>
                <c:ptCount val="10"/>
                <c:pt idx="0">
                  <c:v>-5.8230821755962591E-3</c:v>
                </c:pt>
                <c:pt idx="1">
                  <c:v>-4.7131555508891573E-3</c:v>
                </c:pt>
                <c:pt idx="2">
                  <c:v>-4.069658733545276E-3</c:v>
                </c:pt>
                <c:pt idx="3">
                  <c:v>-3.646008346384625E-3</c:v>
                </c:pt>
                <c:pt idx="4">
                  <c:v>-3.3405992307532005E-3</c:v>
                </c:pt>
                <c:pt idx="5">
                  <c:v>-3.1068047740277997E-3</c:v>
                </c:pt>
                <c:pt idx="6">
                  <c:v>-2.920145526026379E-3</c:v>
                </c:pt>
                <c:pt idx="7">
                  <c:v>-2.7664310996395693E-3</c:v>
                </c:pt>
                <c:pt idx="8">
                  <c:v>-2.6368082373303182E-3</c:v>
                </c:pt>
                <c:pt idx="9">
                  <c:v>-2.5254337791155643E-3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90-4A08-90DA-B156BF37BC11}"/>
            </c:ext>
          </c:extLst>
        </c:ser>
        <c:ser>
          <c:idx val="4"/>
          <c:order val="4"/>
          <c:tx>
            <c:strRef>
              <c:f>'TMV analysis'!$N$65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'TMV analysis'!$O$60:$X$60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analysis'!$O$65:$X$65</c:f>
              <c:numCache>
                <c:formatCode>General</c:formatCode>
                <c:ptCount val="10"/>
                <c:pt idx="0">
                  <c:v>-7.0006094459019652E-3</c:v>
                </c:pt>
                <c:pt idx="1">
                  <c:v>-5.1837313840560574E-3</c:v>
                </c:pt>
                <c:pt idx="2">
                  <c:v>-4.3485155134849714E-3</c:v>
                </c:pt>
                <c:pt idx="3">
                  <c:v>-3.8415577525143332E-3</c:v>
                </c:pt>
                <c:pt idx="4">
                  <c:v>-3.4911456749396369E-3</c:v>
                </c:pt>
                <c:pt idx="5">
                  <c:v>-3.2297372132476651E-3</c:v>
                </c:pt>
                <c:pt idx="6">
                  <c:v>-3.0246462393306336E-3</c:v>
                </c:pt>
                <c:pt idx="7">
                  <c:v>-2.8578691918322192E-3</c:v>
                </c:pt>
                <c:pt idx="8">
                  <c:v>-2.7185631989468978E-3</c:v>
                </c:pt>
                <c:pt idx="9">
                  <c:v>-2.5997549548999136E-3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90-4A08-90DA-B156BF37BC11}"/>
            </c:ext>
          </c:extLst>
        </c:ser>
        <c:ser>
          <c:idx val="5"/>
          <c:order val="5"/>
          <c:tx>
            <c:strRef>
              <c:f>'TMV analysis'!$N$66</c:f>
              <c:strCache>
                <c:ptCount val="1"/>
                <c:pt idx="0">
                  <c:v>12,5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'TMV analysis'!$O$60:$X$60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analysis'!$O$66:$X$66</c:f>
              <c:numCache>
                <c:formatCode>General</c:formatCode>
                <c:ptCount val="10"/>
                <c:pt idx="0">
                  <c:v>-7.1661820248386642E-3</c:v>
                </c:pt>
                <c:pt idx="1">
                  <c:v>-5.2688808837724876E-3</c:v>
                </c:pt>
                <c:pt idx="2">
                  <c:v>-4.4117346698293557E-3</c:v>
                </c:pt>
                <c:pt idx="3">
                  <c:v>-3.8948469440919183E-3</c:v>
                </c:pt>
                <c:pt idx="4">
                  <c:v>-3.5387948194551579E-3</c:v>
                </c:pt>
                <c:pt idx="5">
                  <c:v>-3.2737358261440115E-3</c:v>
                </c:pt>
                <c:pt idx="6">
                  <c:v>-3.0660714684052838E-3</c:v>
                </c:pt>
                <c:pt idx="7">
                  <c:v>-2.8973677779195019E-3</c:v>
                </c:pt>
                <c:pt idx="8">
                  <c:v>-2.7565533865241245E-3</c:v>
                </c:pt>
                <c:pt idx="9">
                  <c:v>-2.6365227877644384E-3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90-4A08-90DA-B156BF37BC11}"/>
            </c:ext>
          </c:extLst>
        </c:ser>
        <c:ser>
          <c:idx val="6"/>
          <c:order val="6"/>
          <c:tx>
            <c:strRef>
              <c:f>'TMV analysis'!$N$67</c:f>
              <c:strCache>
                <c:ptCount val="1"/>
                <c:pt idx="0">
                  <c:v>13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'TMV analysis'!$O$60:$X$60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analysis'!$O$67:$X$67</c:f>
              <c:numCache>
                <c:formatCode>General</c:formatCode>
                <c:ptCount val="10"/>
                <c:pt idx="0">
                  <c:v>-6.3014321580708733E-3</c:v>
                </c:pt>
                <c:pt idx="1">
                  <c:v>-4.9737792832760218E-3</c:v>
                </c:pt>
                <c:pt idx="2">
                  <c:v>-4.2644392310171092E-3</c:v>
                </c:pt>
                <c:pt idx="3">
                  <c:v>-3.8099852061700282E-3</c:v>
                </c:pt>
                <c:pt idx="4">
                  <c:v>-3.4868342576958207E-3</c:v>
                </c:pt>
                <c:pt idx="5">
                  <c:v>-3.2414833988733908E-3</c:v>
                </c:pt>
                <c:pt idx="6">
                  <c:v>-3.0466566235686408E-3</c:v>
                </c:pt>
                <c:pt idx="7">
                  <c:v>-2.886824092830653E-3</c:v>
                </c:pt>
                <c:pt idx="8">
                  <c:v>-2.7524143962163517E-3</c:v>
                </c:pt>
                <c:pt idx="9">
                  <c:v>-2.6371660801744446E-3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90-4A08-90DA-B156BF37BC11}"/>
            </c:ext>
          </c:extLst>
        </c:ser>
        <c:ser>
          <c:idx val="7"/>
          <c:order val="7"/>
          <c:tx>
            <c:strRef>
              <c:f>'TMV analysis'!$N$68</c:f>
              <c:strCache>
                <c:ptCount val="1"/>
                <c:pt idx="0">
                  <c:v>13,5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'TMV analysis'!$O$60:$X$60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analysis'!$O$68:$X$68</c:f>
              <c:numCache>
                <c:formatCode>General</c:formatCode>
                <c:ptCount val="10"/>
                <c:pt idx="0">
                  <c:v>-4.8206308099390319E-3</c:v>
                </c:pt>
                <c:pt idx="1">
                  <c:v>-4.3867610903649676E-3</c:v>
                </c:pt>
                <c:pt idx="2">
                  <c:v>-3.9426009148036366E-3</c:v>
                </c:pt>
                <c:pt idx="3">
                  <c:v>-3.6062027617000461E-3</c:v>
                </c:pt>
                <c:pt idx="4">
                  <c:v>-3.3472049759909798E-3</c:v>
                </c:pt>
                <c:pt idx="5">
                  <c:v>-3.1411287512538304E-3</c:v>
                </c:pt>
                <c:pt idx="6">
                  <c:v>-2.9723344284811716E-3</c:v>
                </c:pt>
                <c:pt idx="7">
                  <c:v>-2.8307651687838574E-3</c:v>
                </c:pt>
                <c:pt idx="8">
                  <c:v>-2.7097256364273081E-3</c:v>
                </c:pt>
                <c:pt idx="9">
                  <c:v>-2.6045946803903209E-3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90-4A08-90DA-B156BF37BC1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80471839"/>
        <c:axId val="1880469439"/>
        <c:axId val="1568958175"/>
      </c:surface3DChart>
      <c:catAx>
        <c:axId val="1880471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0469439"/>
        <c:crosses val="autoZero"/>
        <c:auto val="1"/>
        <c:lblAlgn val="ctr"/>
        <c:lblOffset val="100"/>
        <c:noMultiLvlLbl val="0"/>
      </c:catAx>
      <c:valAx>
        <c:axId val="188046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0471839"/>
        <c:crosses val="autoZero"/>
        <c:crossBetween val="midCat"/>
      </c:valAx>
      <c:serAx>
        <c:axId val="156895817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046943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'TMV analysis'!$N$73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'TMV analysis'!$O$72:$X$72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analysis'!$O$73:$X$73</c:f>
              <c:numCache>
                <c:formatCode>General</c:formatCode>
                <c:ptCount val="10"/>
                <c:pt idx="0">
                  <c:v>9.7809893326081723E-3</c:v>
                </c:pt>
                <c:pt idx="1">
                  <c:v>1.8452643061906446E-2</c:v>
                </c:pt>
                <c:pt idx="2">
                  <c:v>2.6231014864901297E-2</c:v>
                </c:pt>
                <c:pt idx="3">
                  <c:v>3.3444360685645554E-2</c:v>
                </c:pt>
                <c:pt idx="4">
                  <c:v>4.0266367472584316E-2</c:v>
                </c:pt>
                <c:pt idx="5">
                  <c:v>4.6794863254818173E-2</c:v>
                </c:pt>
                <c:pt idx="6">
                  <c:v>5.3090127097854642E-2</c:v>
                </c:pt>
                <c:pt idx="7">
                  <c:v>5.9192079891792676E-2</c:v>
                </c:pt>
                <c:pt idx="8">
                  <c:v>6.5128682050470024E-2</c:v>
                </c:pt>
                <c:pt idx="9">
                  <c:v>7.0920398063900991E-2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1-4C9F-8194-BCBEBD562F6C}"/>
            </c:ext>
          </c:extLst>
        </c:ser>
        <c:ser>
          <c:idx val="1"/>
          <c:order val="1"/>
          <c:tx>
            <c:strRef>
              <c:f>'TMV analysis'!$N$74</c:f>
              <c:strCache>
                <c:ptCount val="1"/>
                <c:pt idx="0">
                  <c:v>10,5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'TMV analysis'!$O$72:$X$72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analysis'!$O$74:$X$74</c:f>
              <c:numCache>
                <c:formatCode>General</c:formatCode>
                <c:ptCount val="10"/>
                <c:pt idx="0">
                  <c:v>9.8848997427448716E-3</c:v>
                </c:pt>
                <c:pt idx="1">
                  <c:v>1.8117320681450604E-2</c:v>
                </c:pt>
                <c:pt idx="2">
                  <c:v>2.5503639132456849E-2</c:v>
                </c:pt>
                <c:pt idx="3">
                  <c:v>3.2411525125494396E-2</c:v>
                </c:pt>
                <c:pt idx="4">
                  <c:v>3.8996991599390511E-2</c:v>
                </c:pt>
                <c:pt idx="5">
                  <c:v>4.5341231867208953E-2</c:v>
                </c:pt>
                <c:pt idx="6">
                  <c:v>5.1492514024403559E-2</c:v>
                </c:pt>
                <c:pt idx="7">
                  <c:v>5.7482247243541194E-2</c:v>
                </c:pt>
                <c:pt idx="8">
                  <c:v>6.3332244613771682E-2</c:v>
                </c:pt>
                <c:pt idx="9">
                  <c:v>6.905841644343981E-2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1-4C9F-8194-BCBEBD562F6C}"/>
            </c:ext>
          </c:extLst>
        </c:ser>
        <c:ser>
          <c:idx val="2"/>
          <c:order val="2"/>
          <c:tx>
            <c:strRef>
              <c:f>'TMV analysis'!$N$75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'TMV analysis'!$O$72:$X$72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analysis'!$O$75:$X$75</c:f>
              <c:numCache>
                <c:formatCode>General</c:formatCode>
                <c:ptCount val="10"/>
                <c:pt idx="0">
                  <c:v>9.5320897250997585E-3</c:v>
                </c:pt>
                <c:pt idx="1">
                  <c:v>1.713793924741262E-2</c:v>
                </c:pt>
                <c:pt idx="2">
                  <c:v>2.4091305135977417E-2</c:v>
                </c:pt>
                <c:pt idx="3">
                  <c:v>3.0687332643824977E-2</c:v>
                </c:pt>
                <c:pt idx="4">
                  <c:v>3.7039387809335883E-2</c:v>
                </c:pt>
                <c:pt idx="5">
                  <c:v>4.3204965812569808E-2</c:v>
                </c:pt>
                <c:pt idx="6">
                  <c:v>4.9218048342071143E-2</c:v>
                </c:pt>
                <c:pt idx="7">
                  <c:v>5.5100784702385594E-2</c:v>
                </c:pt>
                <c:pt idx="8">
                  <c:v>6.0868632873971019E-2</c:v>
                </c:pt>
                <c:pt idx="9">
                  <c:v>6.6532940757875039E-2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1-4C9F-8194-BCBEBD562F6C}"/>
            </c:ext>
          </c:extLst>
        </c:ser>
        <c:ser>
          <c:idx val="3"/>
          <c:order val="3"/>
          <c:tx>
            <c:strRef>
              <c:f>'TMV analysis'!$N$76</c:f>
              <c:strCache>
                <c:ptCount val="1"/>
                <c:pt idx="0">
                  <c:v>11,5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'TMV analysis'!$O$72:$X$72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analysis'!$O$76:$X$76</c:f>
              <c:numCache>
                <c:formatCode>General</c:formatCode>
                <c:ptCount val="10"/>
                <c:pt idx="0">
                  <c:v>8.5902850017710638E-3</c:v>
                </c:pt>
                <c:pt idx="1">
                  <c:v>1.5536927232110347E-2</c:v>
                </c:pt>
                <c:pt idx="2">
                  <c:v>2.2074191091427203E-2</c:v>
                </c:pt>
                <c:pt idx="3">
                  <c:v>2.837574380269162E-2</c:v>
                </c:pt>
                <c:pt idx="4">
                  <c:v>3.4507906005251734E-2</c:v>
                </c:pt>
                <c:pt idx="5">
                  <c:v>4.0504779799028175E-2</c:v>
                </c:pt>
                <c:pt idx="6">
                  <c:v>4.6386847640612718E-2</c:v>
                </c:pt>
                <c:pt idx="7">
                  <c:v>5.2167673650680577E-2</c:v>
                </c:pt>
                <c:pt idx="8">
                  <c:v>5.7856869793572817E-2</c:v>
                </c:pt>
                <c:pt idx="9">
                  <c:v>6.3461596618948193E-2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1-4C9F-8194-BCBEBD562F6C}"/>
            </c:ext>
          </c:extLst>
        </c:ser>
        <c:ser>
          <c:idx val="4"/>
          <c:order val="4"/>
          <c:tx>
            <c:strRef>
              <c:f>'TMV analysis'!$N$77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'TMV analysis'!$O$72:$X$72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analysis'!$O$77:$X$77</c:f>
              <c:numCache>
                <c:formatCode>General</c:formatCode>
                <c:ptCount val="10"/>
                <c:pt idx="0">
                  <c:v>7.1171122800586456E-3</c:v>
                </c:pt>
                <c:pt idx="1">
                  <c:v>1.3457846403624027E-2</c:v>
                </c:pt>
                <c:pt idx="2">
                  <c:v>1.9608126391499676E-2</c:v>
                </c:pt>
                <c:pt idx="3">
                  <c:v>2.5630947345677221E-2</c:v>
                </c:pt>
                <c:pt idx="4">
                  <c:v>3.1551784009611013E-2</c:v>
                </c:pt>
                <c:pt idx="5">
                  <c:v>3.7384339541584599E-2</c:v>
                </c:pt>
                <c:pt idx="6">
                  <c:v>4.3137177386837637E-2</c:v>
                </c:pt>
                <c:pt idx="7">
                  <c:v>4.8816181222706333E-2</c:v>
                </c:pt>
                <c:pt idx="8">
                  <c:v>5.4425669265804506E-2</c:v>
                </c:pt>
                <c:pt idx="9">
                  <c:v>5.9968969147118481E-2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1-4C9F-8194-BCBEBD562F6C}"/>
            </c:ext>
          </c:extLst>
        </c:ser>
        <c:ser>
          <c:idx val="5"/>
          <c:order val="5"/>
          <c:tx>
            <c:strRef>
              <c:f>'TMV analysis'!$N$78</c:f>
              <c:strCache>
                <c:ptCount val="1"/>
                <c:pt idx="0">
                  <c:v>12,5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'TMV analysis'!$O$72:$X$72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analysis'!$O$78:$X$78</c:f>
              <c:numCache>
                <c:formatCode>General</c:formatCode>
                <c:ptCount val="10"/>
                <c:pt idx="0">
                  <c:v>5.3679455380049364E-3</c:v>
                </c:pt>
                <c:pt idx="1">
                  <c:v>1.1125234683325968E-2</c:v>
                </c:pt>
                <c:pt idx="2">
                  <c:v>1.6890684207436887E-2</c:v>
                </c:pt>
                <c:pt idx="3">
                  <c:v>2.2630986115689571E-2</c:v>
                </c:pt>
                <c:pt idx="4">
                  <c:v>2.8334429741150066E-2</c:v>
                </c:pt>
                <c:pt idx="5">
                  <c:v>3.3995647071012103E-2</c:v>
                </c:pt>
                <c:pt idx="6">
                  <c:v>3.9611860293209913E-2</c:v>
                </c:pt>
                <c:pt idx="7">
                  <c:v>4.5181552313699989E-2</c:v>
                </c:pt>
                <c:pt idx="8">
                  <c:v>5.0703891778227463E-2</c:v>
                </c:pt>
                <c:pt idx="9">
                  <c:v>5.6178450062090823E-2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1-4C9F-8194-BCBEBD562F6C}"/>
            </c:ext>
          </c:extLst>
        </c:ser>
        <c:ser>
          <c:idx val="6"/>
          <c:order val="6"/>
          <c:tx>
            <c:strRef>
              <c:f>'TMV analysis'!$N$79</c:f>
              <c:strCache>
                <c:ptCount val="1"/>
                <c:pt idx="0">
                  <c:v>13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'TMV analysis'!$O$72:$X$72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analysis'!$O$79:$X$79</c:f>
              <c:numCache>
                <c:formatCode>General</c:formatCode>
                <c:ptCount val="10"/>
                <c:pt idx="0">
                  <c:v>3.6719962059751474E-3</c:v>
                </c:pt>
                <c:pt idx="1">
                  <c:v>8.7811567154126979E-3</c:v>
                </c:pt>
                <c:pt idx="2">
                  <c:v>1.4122842491538017E-2</c:v>
                </c:pt>
                <c:pt idx="3">
                  <c:v>1.9551837288106364E-2</c:v>
                </c:pt>
                <c:pt idx="4">
                  <c:v>2.5014609282378312E-2</c:v>
                </c:pt>
                <c:pt idx="5">
                  <c:v>3.04847161891173E-2</c:v>
                </c:pt>
                <c:pt idx="6">
                  <c:v>3.5946987333268517E-2</c:v>
                </c:pt>
                <c:pt idx="7">
                  <c:v>4.1391881423521293E-2</c:v>
                </c:pt>
                <c:pt idx="8">
                  <c:v>4.6813015742793541E-2</c:v>
                </c:pt>
                <c:pt idx="9">
                  <c:v>5.220593015249872E-2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1-4C9F-8194-BCBEBD562F6C}"/>
            </c:ext>
          </c:extLst>
        </c:ser>
        <c:ser>
          <c:idx val="7"/>
          <c:order val="7"/>
          <c:tx>
            <c:strRef>
              <c:f>'TMV analysis'!$N$80</c:f>
              <c:strCache>
                <c:ptCount val="1"/>
                <c:pt idx="0">
                  <c:v>13,5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'TMV analysis'!$O$72:$X$72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cat>
          <c:val>
            <c:numRef>
              <c:f>'TMV analysis'!$O$80:$X$80</c:f>
              <c:numCache>
                <c:formatCode>General</c:formatCode>
                <c:ptCount val="10"/>
                <c:pt idx="0">
                  <c:v>2.2799086469175202E-3</c:v>
                </c:pt>
                <c:pt idx="1">
                  <c:v>6.6275573686005356E-3</c:v>
                </c:pt>
                <c:pt idx="2">
                  <c:v>1.1477437212841323E-2</c:v>
                </c:pt>
                <c:pt idx="3">
                  <c:v>1.6547151747697851E-2</c:v>
                </c:pt>
                <c:pt idx="4">
                  <c:v>2.1732216472968847E-2</c:v>
                </c:pt>
                <c:pt idx="5">
                  <c:v>2.6980991152725321E-2</c:v>
                </c:pt>
                <c:pt idx="6">
                  <c:v>3.2263734237171139E-2</c:v>
                </c:pt>
                <c:pt idx="7">
                  <c:v>3.7561599955392357E-2</c:v>
                </c:pt>
                <c:pt idx="8">
                  <c:v>4.2861841324801524E-2</c:v>
                </c:pt>
                <c:pt idx="9">
                  <c:v>4.8155419664162161E-2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1-4C9F-8194-BCBEBD562F6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721640399"/>
        <c:axId val="1721660079"/>
        <c:axId val="1367207247"/>
      </c:surface3DChart>
      <c:catAx>
        <c:axId val="1721640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21660079"/>
        <c:crosses val="autoZero"/>
        <c:auto val="1"/>
        <c:lblAlgn val="ctr"/>
        <c:lblOffset val="100"/>
        <c:noMultiLvlLbl val="0"/>
      </c:catAx>
      <c:valAx>
        <c:axId val="172166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21640399"/>
        <c:crosses val="autoZero"/>
        <c:crossBetween val="midCat"/>
      </c:valAx>
      <c:serAx>
        <c:axId val="13672072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216600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0</xdr:col>
      <xdr:colOff>255305</xdr:colOff>
      <xdr:row>2</xdr:row>
      <xdr:rowOff>61707</xdr:rowOff>
    </xdr:to>
    <xdr:sp macro="" textlink="">
      <xdr:nvSpPr>
        <xdr:cNvPr id="2" name="B43B9E99-EEEB-43E0-84A8-B82E90D6F7D8">
          <a:extLst>
            <a:ext uri="{FF2B5EF4-FFF2-40B4-BE49-F238E27FC236}">
              <a16:creationId xmlns:a16="http://schemas.microsoft.com/office/drawing/2014/main" id="{E8599253-A915-37E9-79D7-0454AC2F9CFA}"/>
            </a:ext>
          </a:extLst>
        </xdr:cNvPr>
        <xdr:cNvSpPr txBox="1"/>
      </xdr:nvSpPr>
      <xdr:spPr>
        <a:xfrm>
          <a:off x="127000" y="127000"/>
          <a:ext cx="128305" cy="300467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63500" tIns="63500" rIns="63500" bIns="63500" rtlCol="0" anchor="t">
          <a:spAutoFit/>
        </a:bodyPr>
        <a:lstStyle/>
        <a:p>
          <a:endParaRPr lang="it-IT" sz="1100"/>
        </a:p>
      </xdr:txBody>
    </xdr:sp>
    <xdr:clientData/>
  </xdr:twoCellAnchor>
  <xdr:twoCellAnchor>
    <xdr:from>
      <xdr:col>7</xdr:col>
      <xdr:colOff>228600</xdr:colOff>
      <xdr:row>28</xdr:row>
      <xdr:rowOff>95250</xdr:rowOff>
    </xdr:from>
    <xdr:to>
      <xdr:col>16</xdr:col>
      <xdr:colOff>30480</xdr:colOff>
      <xdr:row>46</xdr:row>
      <xdr:rowOff>114300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589D3139-7F19-6824-217A-15DA20BDEE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426720</xdr:colOff>
      <xdr:row>28</xdr:row>
      <xdr:rowOff>76200</xdr:rowOff>
    </xdr:from>
    <xdr:to>
      <xdr:col>33</xdr:col>
      <xdr:colOff>228600</xdr:colOff>
      <xdr:row>46</xdr:row>
      <xdr:rowOff>95250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32C00570-69BF-4382-97DD-61BD94B2A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29</xdr:row>
      <xdr:rowOff>0</xdr:rowOff>
    </xdr:from>
    <xdr:to>
      <xdr:col>50</xdr:col>
      <xdr:colOff>411480</xdr:colOff>
      <xdr:row>47</xdr:row>
      <xdr:rowOff>19050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6865DA91-7417-4200-B1EE-A6C8E7D5D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495300</xdr:colOff>
      <xdr:row>68</xdr:row>
      <xdr:rowOff>34290</xdr:rowOff>
    </xdr:from>
    <xdr:to>
      <xdr:col>15</xdr:col>
      <xdr:colOff>320040</xdr:colOff>
      <xdr:row>84</xdr:row>
      <xdr:rowOff>160020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EB4F8CF3-1FC4-CE42-2A27-1E6AB3668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518160</xdr:colOff>
      <xdr:row>68</xdr:row>
      <xdr:rowOff>129540</xdr:rowOff>
    </xdr:from>
    <xdr:to>
      <xdr:col>33</xdr:col>
      <xdr:colOff>342900</xdr:colOff>
      <xdr:row>85</xdr:row>
      <xdr:rowOff>72390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F3CA658A-2765-4D4E-896E-E6D736F1C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144780</xdr:colOff>
      <xdr:row>68</xdr:row>
      <xdr:rowOff>167640</xdr:rowOff>
    </xdr:from>
    <xdr:to>
      <xdr:col>51</xdr:col>
      <xdr:colOff>579120</xdr:colOff>
      <xdr:row>85</xdr:row>
      <xdr:rowOff>110490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33BEF313-6861-4B8D-8CB5-7987B12A07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533400</xdr:colOff>
      <xdr:row>107</xdr:row>
      <xdr:rowOff>99060</xdr:rowOff>
    </xdr:from>
    <xdr:to>
      <xdr:col>15</xdr:col>
      <xdr:colOff>358140</xdr:colOff>
      <xdr:row>124</xdr:row>
      <xdr:rowOff>41910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849DB6E6-739C-4F2D-8C41-2F2A540E9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0</xdr:colOff>
      <xdr:row>107</xdr:row>
      <xdr:rowOff>0</xdr:rowOff>
    </xdr:from>
    <xdr:to>
      <xdr:col>32</xdr:col>
      <xdr:colOff>434340</xdr:colOff>
      <xdr:row>123</xdr:row>
      <xdr:rowOff>125730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2CA6AE2B-E9F3-49DE-B896-0D14111C6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43</xdr:col>
      <xdr:colOff>0</xdr:colOff>
      <xdr:row>107</xdr:row>
      <xdr:rowOff>0</xdr:rowOff>
    </xdr:from>
    <xdr:to>
      <xdr:col>51</xdr:col>
      <xdr:colOff>434340</xdr:colOff>
      <xdr:row>123</xdr:row>
      <xdr:rowOff>125730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52753E5A-41C4-4F6F-AB4D-6CDFBA686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147</xdr:row>
      <xdr:rowOff>0</xdr:rowOff>
    </xdr:from>
    <xdr:to>
      <xdr:col>15</xdr:col>
      <xdr:colOff>434340</xdr:colOff>
      <xdr:row>163</xdr:row>
      <xdr:rowOff>125730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96169EA-77A9-4DE4-B3AF-D94D59F61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0</xdr:colOff>
      <xdr:row>147</xdr:row>
      <xdr:rowOff>0</xdr:rowOff>
    </xdr:from>
    <xdr:to>
      <xdr:col>33</xdr:col>
      <xdr:colOff>434340</xdr:colOff>
      <xdr:row>163</xdr:row>
      <xdr:rowOff>125730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B287E3F-836B-47A7-AF92-5BF835AB6C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147</xdr:row>
      <xdr:rowOff>0</xdr:rowOff>
    </xdr:from>
    <xdr:to>
      <xdr:col>50</xdr:col>
      <xdr:colOff>434340</xdr:colOff>
      <xdr:row>163</xdr:row>
      <xdr:rowOff>125730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375A82B-EF08-46C7-BCB3-215781417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0</xdr:colOff>
      <xdr:row>187</xdr:row>
      <xdr:rowOff>0</xdr:rowOff>
    </xdr:from>
    <xdr:to>
      <xdr:col>15</xdr:col>
      <xdr:colOff>434340</xdr:colOff>
      <xdr:row>203</xdr:row>
      <xdr:rowOff>125730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6CB9F104-31AE-46A1-BD11-C9BE0E582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0</xdr:colOff>
      <xdr:row>187</xdr:row>
      <xdr:rowOff>0</xdr:rowOff>
    </xdr:from>
    <xdr:to>
      <xdr:col>33</xdr:col>
      <xdr:colOff>434340</xdr:colOff>
      <xdr:row>203</xdr:row>
      <xdr:rowOff>125730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8FBBB97-A4A8-434A-9836-8DD936CE4B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43</xdr:col>
      <xdr:colOff>0</xdr:colOff>
      <xdr:row>187</xdr:row>
      <xdr:rowOff>0</xdr:rowOff>
    </xdr:from>
    <xdr:to>
      <xdr:col>51</xdr:col>
      <xdr:colOff>434340</xdr:colOff>
      <xdr:row>203</xdr:row>
      <xdr:rowOff>125730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13441241-BF4B-4AC8-93BA-69F48CAA65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0</xdr:col>
      <xdr:colOff>255305</xdr:colOff>
      <xdr:row>2</xdr:row>
      <xdr:rowOff>61707</xdr:rowOff>
    </xdr:to>
    <xdr:sp macro="" textlink="">
      <xdr:nvSpPr>
        <xdr:cNvPr id="2" name="B43B9E99-EEEB-43E0-84A8-B82E90D6F7D8">
          <a:extLst>
            <a:ext uri="{FF2B5EF4-FFF2-40B4-BE49-F238E27FC236}">
              <a16:creationId xmlns:a16="http://schemas.microsoft.com/office/drawing/2014/main" id="{7AF2A538-B94D-49B3-88A2-67EF7A1E4101}"/>
            </a:ext>
          </a:extLst>
        </xdr:cNvPr>
        <xdr:cNvSpPr txBox="1"/>
      </xdr:nvSpPr>
      <xdr:spPr>
        <a:xfrm>
          <a:off x="127000" y="127000"/>
          <a:ext cx="128305" cy="300467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63500" tIns="63500" rIns="63500" bIns="63500" rtlCol="0" anchor="t">
          <a:spAutoFit/>
        </a:bodyPr>
        <a:lstStyle/>
        <a:p>
          <a:endParaRPr lang="it-IT" sz="1100"/>
        </a:p>
      </xdr:txBody>
    </xdr:sp>
    <xdr:clientData/>
  </xdr:twoCellAnchor>
  <xdr:twoCellAnchor>
    <xdr:from>
      <xdr:col>7</xdr:col>
      <xdr:colOff>228600</xdr:colOff>
      <xdr:row>28</xdr:row>
      <xdr:rowOff>95250</xdr:rowOff>
    </xdr:from>
    <xdr:to>
      <xdr:col>16</xdr:col>
      <xdr:colOff>30480</xdr:colOff>
      <xdr:row>46</xdr:row>
      <xdr:rowOff>114300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F39576E-0CAD-49D3-A85D-97E40D63C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426720</xdr:colOff>
      <xdr:row>28</xdr:row>
      <xdr:rowOff>76200</xdr:rowOff>
    </xdr:from>
    <xdr:to>
      <xdr:col>33</xdr:col>
      <xdr:colOff>228600</xdr:colOff>
      <xdr:row>46</xdr:row>
      <xdr:rowOff>95250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AE0E014-0382-4EE1-BB18-167C4BB99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29</xdr:row>
      <xdr:rowOff>0</xdr:rowOff>
    </xdr:from>
    <xdr:to>
      <xdr:col>50</xdr:col>
      <xdr:colOff>411480</xdr:colOff>
      <xdr:row>47</xdr:row>
      <xdr:rowOff>19050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CEB6054-E88B-4953-B670-763ECD7D0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495300</xdr:colOff>
      <xdr:row>68</xdr:row>
      <xdr:rowOff>34290</xdr:rowOff>
    </xdr:from>
    <xdr:to>
      <xdr:col>15</xdr:col>
      <xdr:colOff>320040</xdr:colOff>
      <xdr:row>84</xdr:row>
      <xdr:rowOff>160020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DE2D117-8D80-4DB1-8322-DFD236067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518160</xdr:colOff>
      <xdr:row>68</xdr:row>
      <xdr:rowOff>129540</xdr:rowOff>
    </xdr:from>
    <xdr:to>
      <xdr:col>33</xdr:col>
      <xdr:colOff>342900</xdr:colOff>
      <xdr:row>85</xdr:row>
      <xdr:rowOff>72390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BF257591-6A44-4787-B564-4FDB9DDE4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144780</xdr:colOff>
      <xdr:row>68</xdr:row>
      <xdr:rowOff>167640</xdr:rowOff>
    </xdr:from>
    <xdr:to>
      <xdr:col>51</xdr:col>
      <xdr:colOff>579120</xdr:colOff>
      <xdr:row>85</xdr:row>
      <xdr:rowOff>110490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7A0C2-99D8-46AD-9E11-FF4A5F73DD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533400</xdr:colOff>
      <xdr:row>107</xdr:row>
      <xdr:rowOff>99060</xdr:rowOff>
    </xdr:from>
    <xdr:to>
      <xdr:col>15</xdr:col>
      <xdr:colOff>358140</xdr:colOff>
      <xdr:row>124</xdr:row>
      <xdr:rowOff>41910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4E51AE04-43E2-4F99-9F51-43FCAEC560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0</xdr:colOff>
      <xdr:row>107</xdr:row>
      <xdr:rowOff>0</xdr:rowOff>
    </xdr:from>
    <xdr:to>
      <xdr:col>32</xdr:col>
      <xdr:colOff>434340</xdr:colOff>
      <xdr:row>123</xdr:row>
      <xdr:rowOff>125730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F0C18386-302A-4D86-87B0-2B48E2A53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43</xdr:col>
      <xdr:colOff>0</xdr:colOff>
      <xdr:row>107</xdr:row>
      <xdr:rowOff>0</xdr:rowOff>
    </xdr:from>
    <xdr:to>
      <xdr:col>51</xdr:col>
      <xdr:colOff>434340</xdr:colOff>
      <xdr:row>123</xdr:row>
      <xdr:rowOff>125730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B075FD9B-1F8A-4C18-B0B3-5C1D56096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259976</xdr:colOff>
      <xdr:row>20</xdr:row>
      <xdr:rowOff>152400</xdr:rowOff>
    </xdr:from>
    <xdr:to>
      <xdr:col>31</xdr:col>
      <xdr:colOff>560293</xdr:colOff>
      <xdr:row>33</xdr:row>
      <xdr:rowOff>89647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9F9840C-9309-4AD9-1159-DC91F1CB60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259975</xdr:colOff>
      <xdr:row>33</xdr:row>
      <xdr:rowOff>152400</xdr:rowOff>
    </xdr:from>
    <xdr:to>
      <xdr:col>31</xdr:col>
      <xdr:colOff>537883</xdr:colOff>
      <xdr:row>45</xdr:row>
      <xdr:rowOff>80682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EF9F3E1-CF45-B8F5-0304-1C423F5031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255495</xdr:colOff>
      <xdr:row>46</xdr:row>
      <xdr:rowOff>53789</xdr:rowOff>
    </xdr:from>
    <xdr:to>
      <xdr:col>31</xdr:col>
      <xdr:colOff>546847</xdr:colOff>
      <xdr:row>57</xdr:row>
      <xdr:rowOff>107576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7DB6EC0-26F1-AEC8-F307-657139A35C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57</xdr:row>
      <xdr:rowOff>143435</xdr:rowOff>
    </xdr:from>
    <xdr:to>
      <xdr:col>31</xdr:col>
      <xdr:colOff>564777</xdr:colOff>
      <xdr:row>69</xdr:row>
      <xdr:rowOff>125506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A731747E-A6FB-5F8F-16F8-94E15647B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219635</xdr:colOff>
      <xdr:row>69</xdr:row>
      <xdr:rowOff>161365</xdr:rowOff>
    </xdr:from>
    <xdr:to>
      <xdr:col>31</xdr:col>
      <xdr:colOff>555812</xdr:colOff>
      <xdr:row>82</xdr:row>
      <xdr:rowOff>143435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18394DF6-D392-09A6-4878-5C05E0D163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MV.DE" connectionId="1" xr16:uid="{61C354DA-1E82-44A5-884A-B2B5C1745397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9C5C4-C79B-425D-AF0D-5C52DD4B4099}">
  <sheetPr codeName="Foglio1"/>
  <dimension ref="C3:BC185"/>
  <sheetViews>
    <sheetView topLeftCell="AM179" workbookViewId="0">
      <selection activeCell="AJ116" sqref="AJ116"/>
    </sheetView>
  </sheetViews>
  <sheetFormatPr defaultRowHeight="14.4" x14ac:dyDescent="0.3"/>
  <cols>
    <col min="3" max="3" width="10.88671875" customWidth="1"/>
    <col min="6" max="6" width="12.6640625" bestFit="1" customWidth="1"/>
    <col min="24" max="24" width="12.6640625" bestFit="1" customWidth="1"/>
    <col min="42" max="42" width="12" bestFit="1" customWidth="1"/>
  </cols>
  <sheetData>
    <row r="3" spans="3:55" x14ac:dyDescent="0.3">
      <c r="C3" t="s">
        <v>16</v>
      </c>
    </row>
    <row r="4" spans="3:55" x14ac:dyDescent="0.3">
      <c r="C4" s="2" t="s">
        <v>0</v>
      </c>
      <c r="D4" s="1">
        <v>100</v>
      </c>
    </row>
    <row r="5" spans="3:55" x14ac:dyDescent="0.3">
      <c r="C5" s="2" t="s">
        <v>1</v>
      </c>
      <c r="D5" s="1">
        <v>0.01</v>
      </c>
    </row>
    <row r="6" spans="3:55" x14ac:dyDescent="0.3">
      <c r="C6" s="2" t="s">
        <v>3</v>
      </c>
      <c r="D6" s="1">
        <v>0.2</v>
      </c>
    </row>
    <row r="7" spans="3:55" x14ac:dyDescent="0.3">
      <c r="C7" s="2" t="s">
        <v>4</v>
      </c>
      <c r="D7" s="1">
        <v>0.1</v>
      </c>
    </row>
    <row r="8" spans="3:55" x14ac:dyDescent="0.3">
      <c r="C8" s="2" t="s">
        <v>5</v>
      </c>
      <c r="D8" s="1">
        <v>0.3</v>
      </c>
    </row>
    <row r="10" spans="3:55" x14ac:dyDescent="0.3">
      <c r="C10" t="s">
        <v>2</v>
      </c>
      <c r="E10" s="1"/>
      <c r="F10" s="2">
        <v>0.1</v>
      </c>
      <c r="G10" s="2">
        <f>F10+0.1</f>
        <v>0.2</v>
      </c>
      <c r="H10" s="2">
        <f t="shared" ref="H10:N10" si="0">G10+0.1</f>
        <v>0.30000000000000004</v>
      </c>
      <c r="I10" s="2">
        <f t="shared" si="0"/>
        <v>0.4</v>
      </c>
      <c r="J10" s="2">
        <f t="shared" si="0"/>
        <v>0.5</v>
      </c>
      <c r="K10" s="2">
        <f t="shared" si="0"/>
        <v>0.6</v>
      </c>
      <c r="L10" s="2">
        <f t="shared" si="0"/>
        <v>0.7</v>
      </c>
      <c r="M10" s="2">
        <f t="shared" si="0"/>
        <v>0.79999999999999993</v>
      </c>
      <c r="N10" s="2">
        <f t="shared" si="0"/>
        <v>0.89999999999999991</v>
      </c>
      <c r="O10" s="2">
        <f>N10+0.1</f>
        <v>0.99999999999999989</v>
      </c>
      <c r="P10" s="2">
        <f>O10+1</f>
        <v>2</v>
      </c>
      <c r="Q10" s="2">
        <f t="shared" ref="Q10:S10" si="1">P10+1</f>
        <v>3</v>
      </c>
      <c r="R10" s="2">
        <f t="shared" si="1"/>
        <v>4</v>
      </c>
      <c r="S10" s="2">
        <f t="shared" si="1"/>
        <v>5</v>
      </c>
      <c r="U10" t="s">
        <v>2</v>
      </c>
      <c r="W10" s="1"/>
      <c r="X10" s="2">
        <v>0.1</v>
      </c>
      <c r="Y10" s="2">
        <f>X10+0.1</f>
        <v>0.2</v>
      </c>
      <c r="Z10" s="2">
        <f t="shared" ref="Z10:AF10" si="2">Y10+0.1</f>
        <v>0.30000000000000004</v>
      </c>
      <c r="AA10" s="2">
        <f t="shared" si="2"/>
        <v>0.4</v>
      </c>
      <c r="AB10" s="2">
        <f t="shared" si="2"/>
        <v>0.5</v>
      </c>
      <c r="AC10" s="2">
        <f t="shared" si="2"/>
        <v>0.6</v>
      </c>
      <c r="AD10" s="2">
        <f t="shared" si="2"/>
        <v>0.7</v>
      </c>
      <c r="AE10" s="2">
        <f t="shared" si="2"/>
        <v>0.79999999999999993</v>
      </c>
      <c r="AF10" s="2">
        <f t="shared" si="2"/>
        <v>0.89999999999999991</v>
      </c>
      <c r="AG10" s="2">
        <f>AF10+0.1</f>
        <v>0.99999999999999989</v>
      </c>
      <c r="AH10" s="2">
        <f>AG10+1</f>
        <v>2</v>
      </c>
      <c r="AI10" s="2">
        <f t="shared" ref="AI10:AK10" si="3">AH10+1</f>
        <v>3</v>
      </c>
      <c r="AJ10" s="2">
        <f t="shared" si="3"/>
        <v>4</v>
      </c>
      <c r="AK10" s="2">
        <f t="shared" si="3"/>
        <v>5</v>
      </c>
      <c r="AM10" t="s">
        <v>2</v>
      </c>
      <c r="AO10" s="1"/>
      <c r="AP10" s="2">
        <v>0.1</v>
      </c>
      <c r="AQ10" s="2">
        <f>AP10+0.1</f>
        <v>0.2</v>
      </c>
      <c r="AR10" s="2">
        <f t="shared" ref="AR10:AX10" si="4">AQ10+0.1</f>
        <v>0.30000000000000004</v>
      </c>
      <c r="AS10" s="2">
        <f t="shared" si="4"/>
        <v>0.4</v>
      </c>
      <c r="AT10" s="2">
        <f t="shared" si="4"/>
        <v>0.5</v>
      </c>
      <c r="AU10" s="2">
        <f t="shared" si="4"/>
        <v>0.6</v>
      </c>
      <c r="AV10" s="2">
        <f t="shared" si="4"/>
        <v>0.7</v>
      </c>
      <c r="AW10" s="2">
        <f t="shared" si="4"/>
        <v>0.79999999999999993</v>
      </c>
      <c r="AX10" s="2">
        <f t="shared" si="4"/>
        <v>0.89999999999999991</v>
      </c>
      <c r="AY10" s="2">
        <f>AX10+0.1</f>
        <v>0.99999999999999989</v>
      </c>
      <c r="AZ10" s="2">
        <f>AY10+1</f>
        <v>2</v>
      </c>
      <c r="BA10" s="2">
        <f t="shared" ref="BA10:BC10" si="5">AZ10+1</f>
        <v>3</v>
      </c>
      <c r="BB10" s="2">
        <f t="shared" si="5"/>
        <v>4</v>
      </c>
      <c r="BC10" s="2">
        <f t="shared" si="5"/>
        <v>5</v>
      </c>
    </row>
    <row r="11" spans="3:55" x14ac:dyDescent="0.3">
      <c r="C11" t="s">
        <v>6</v>
      </c>
      <c r="E11" s="2">
        <v>60</v>
      </c>
      <c r="F11" s="1" cm="1">
        <f t="array" ref="F11">OptionDelta("C",$E11,$D$4,F$10,$D$5,$D$6,0)</f>
        <v>4.8964030371399111E-16</v>
      </c>
      <c r="G11" s="1" cm="1">
        <f t="array" ref="G11">OptionDelta("C",$E11,$D$4,G$10,$D$5,$D$6,0)</f>
        <v>8.3013130785334355E-9</v>
      </c>
      <c r="H11" s="1" cm="1">
        <f t="array" ref="H11">OptionDelta("C",$E11,$D$4,H$10,$D$5,$D$6,0)</f>
        <v>2.3135653326617214E-6</v>
      </c>
      <c r="I11" s="1" cm="1">
        <f t="array" ref="I11">OptionDelta("C",$E11,$D$4,I$10,$D$5,$D$6,0)</f>
        <v>4.0139975424484934E-5</v>
      </c>
      <c r="J11" s="1" cm="1">
        <f t="array" ref="J11">OptionDelta("C",$E11,$D$4,J$10,$D$5,$D$6,0)</f>
        <v>2.2743341786876357E-4</v>
      </c>
      <c r="K11" s="1" cm="1">
        <f t="array" ref="K11">OptionDelta("C",$E11,$D$4,K$10,$D$5,$D$6,0)</f>
        <v>7.3339315349598864E-4</v>
      </c>
      <c r="L11" s="1" cm="1">
        <f t="array" ref="L11">OptionDelta("C",$E11,$D$4,L$10,$D$5,$D$6,0)</f>
        <v>1.7097704105366416E-3</v>
      </c>
      <c r="M11" s="1" cm="1">
        <f t="array" ref="M11">OptionDelta("C",$E11,$D$4,M$10,$D$5,$D$6,0)</f>
        <v>3.2499291224938613E-3</v>
      </c>
      <c r="N11" s="1" cm="1">
        <f t="array" ref="N11">OptionDelta("C",$E11,$D$4,N$10,$D$5,$D$6,0)</f>
        <v>5.3863786913071277E-3</v>
      </c>
      <c r="O11" s="1" cm="1">
        <f t="array" ref="O11">OptionDelta("C",$E11,$D$4,O$10,$D$5,$D$6,0)</f>
        <v>8.1055453543928818E-3</v>
      </c>
      <c r="P11" s="1" cm="1">
        <f t="array" ref="P11">OptionDelta("C",$E11,$D$4,P$10,$D$5,$D$6,0)</f>
        <v>5.5478177979400571E-2</v>
      </c>
      <c r="Q11" s="1" cm="1">
        <f t="array" ref="Q11">OptionDelta("C",$E11,$D$4,Q$10,$D$5,$D$6,0)</f>
        <v>0.11221757852337162</v>
      </c>
      <c r="R11" s="1" cm="1">
        <f t="array" ref="R11">OptionDelta("C",$E11,$D$4,R$10,$D$5,$D$6,0)</f>
        <v>0.16426871972840887</v>
      </c>
      <c r="S11" s="1" cm="1">
        <f t="array" ref="S11">OptionDelta("C",$E11,$D$4,S$10,$D$5,$D$6,0)</f>
        <v>0.20988203686100165</v>
      </c>
      <c r="U11" t="s">
        <v>8</v>
      </c>
      <c r="W11" s="2">
        <v>60</v>
      </c>
      <c r="X11" s="1" cm="1">
        <f t="array" ref="X11">OptionDelta("C",$E11,$D$4,X$10,$D$5,$D$7,0)</f>
        <v>1.152199866581175E-58</v>
      </c>
      <c r="Y11" s="1" cm="1">
        <f t="array" ref="Y11">OptionDelta("C",$E11,$D$4,Y$10,$D$5,$D$7,0)</f>
        <v>3.4889502026674058E-30</v>
      </c>
      <c r="Z11" s="1" cm="1">
        <f t="array" ref="Z11">OptionDelta("C",$E11,$D$4,Z$10,$D$5,$D$7,0)</f>
        <v>1.1850476086013734E-20</v>
      </c>
      <c r="AA11" s="1" cm="1">
        <f t="array" ref="AA11">OptionDelta("C",$E11,$D$4,AA$10,$D$5,$D$7,0)</f>
        <v>7.1994037560856956E-16</v>
      </c>
      <c r="AB11" s="1" cm="1">
        <f t="array" ref="AB11">OptionDelta("C",$E11,$D$4,AB$10,$D$5,$D$7,0)</f>
        <v>5.4712789718468615E-13</v>
      </c>
      <c r="AC11" s="1" cm="1">
        <f t="array" ref="AC11">OptionDelta("C",$E11,$D$4,AC$10,$D$5,$D$7,0)</f>
        <v>4.6306900470662182E-11</v>
      </c>
      <c r="AD11" s="1" cm="1">
        <f t="array" ref="AD11">OptionDelta("C",$E11,$D$4,AD$10,$D$5,$D$7,0)</f>
        <v>1.1154484392717851E-9</v>
      </c>
      <c r="AE11" s="1" cm="1">
        <f t="array" ref="AE11">OptionDelta("C",$E11,$D$4,AE$10,$D$5,$D$7,0)</f>
        <v>1.2232280237899387E-8</v>
      </c>
      <c r="AF11" s="1" cm="1">
        <f t="array" ref="AF11">OptionDelta("C",$E11,$D$4,AF$10,$D$5,$D$7,0)</f>
        <v>7.9305503738124766E-8</v>
      </c>
      <c r="AG11" s="1" cm="1">
        <f t="array" ref="AG11">OptionDelta("C",$E11,$D$4,AG$10,$D$5,$D$7,0)</f>
        <v>3.5564355541459468E-7</v>
      </c>
      <c r="AH11" s="1" cm="1">
        <f t="array" ref="AH11">OptionDelta("C",$E11,$D$4,AH$10,$D$5,$D$7,0)</f>
        <v>3.3699015309893697E-4</v>
      </c>
      <c r="AI11" s="1" cm="1">
        <f t="array" ref="AI11">OptionDelta("C",$E11,$D$4,AI$10,$D$5,$D$7,0)</f>
        <v>3.5785417129918693E-3</v>
      </c>
      <c r="AJ11" s="1" cm="1">
        <f t="array" ref="AJ11">OptionDelta("C",$E11,$D$4,AJ$10,$D$5,$D$7,0)</f>
        <v>1.2094054588474413E-2</v>
      </c>
      <c r="AK11" s="1" cm="1">
        <f t="array" ref="AK11">OptionDelta("C",$E11,$D$4,AK$10,$D$5,$D$7,0)</f>
        <v>2.564344677496205E-2</v>
      </c>
      <c r="AM11" t="s">
        <v>7</v>
      </c>
      <c r="AO11" s="2">
        <v>60</v>
      </c>
      <c r="AP11" s="1" cm="1">
        <f t="array" ref="AP11">OptionDelta("C",$E11,$D$4,AP$10,$D$5,$D$8,0)</f>
        <v>5.0034162369055407E-8</v>
      </c>
      <c r="AQ11" s="1" cm="1">
        <f t="array" ref="AQ11">OptionDelta("C",$E11,$D$4,AQ$10,$D$5,$D$8,0)</f>
        <v>9.7471862538906133E-5</v>
      </c>
      <c r="AR11" s="1" cm="1">
        <f t="array" ref="AR11">OptionDelta("C",$E11,$D$4,AR$10,$D$5,$D$8,0)</f>
        <v>1.3132659794663313E-3</v>
      </c>
      <c r="AS11" s="1" cm="1">
        <f t="array" ref="AS11">OptionDelta("C",$E11,$D$4,AS$10,$D$5,$D$8,0)</f>
        <v>4.992660033900336E-3</v>
      </c>
      <c r="AT11" s="1" cm="1">
        <f t="array" ref="AT11">OptionDelta("C",$E11,$D$4,AT$10,$D$5,$D$8,0)</f>
        <v>1.1350817464731676E-2</v>
      </c>
      <c r="AU11" s="1" cm="1">
        <f t="array" ref="AU11">OptionDelta("C",$E11,$D$4,AU$10,$D$5,$D$8,0)</f>
        <v>1.9879978802043376E-2</v>
      </c>
      <c r="AV11" s="1" cm="1">
        <f t="array" ref="AV11">OptionDelta("C",$E11,$D$4,AV$10,$D$5,$D$8,0)</f>
        <v>2.9932244764737284E-2</v>
      </c>
      <c r="AW11" s="1" cm="1">
        <f t="array" ref="AW11">OptionDelta("C",$E11,$D$4,AW$10,$D$5,$D$8,0)</f>
        <v>4.0950902335764483E-2</v>
      </c>
      <c r="AX11" s="1" cm="1">
        <f t="array" ref="AX11">OptionDelta("C",$E11,$D$4,AX$10,$D$5,$D$8,0)</f>
        <v>5.2516002614189643E-2</v>
      </c>
      <c r="AY11" s="1" cm="1">
        <f t="array" ref="AY11">OptionDelta("C",$E11,$D$4,AY$10,$D$5,$D$8,0)</f>
        <v>6.4328563178374959E-2</v>
      </c>
      <c r="AZ11" s="1" cm="1">
        <f t="array" ref="AZ11">OptionDelta("C",$E11,$D$4,AZ$10,$D$5,$D$8,0)</f>
        <v>0.17239197114368851</v>
      </c>
      <c r="BA11" s="1" cm="1">
        <f t="array" ref="BA11">OptionDelta("C",$E11,$D$4,BA$10,$D$5,$D$8,0)</f>
        <v>0.25285203319023192</v>
      </c>
      <c r="BB11" s="1" cm="1">
        <f t="array" ref="BB11">OptionDelta("C",$E11,$D$4,BB$10,$D$5,$D$8,0)</f>
        <v>0.31394125841594145</v>
      </c>
      <c r="BC11" s="1" cm="1">
        <f t="array" ref="BC11">OptionDelta("C",$E11,$D$4,BC$10,$D$5,$D$8,0)</f>
        <v>0.3625886029317465</v>
      </c>
    </row>
    <row r="12" spans="3:55" x14ac:dyDescent="0.3">
      <c r="E12" s="2">
        <f>E11+5</f>
        <v>65</v>
      </c>
      <c r="F12" s="1" cm="1">
        <f t="array" ref="F12">OptionDelta("C",$E12,$D$4,F$10,$D$5,$D$6,0)</f>
        <v>6.7189909908190016E-12</v>
      </c>
      <c r="G12" s="1" cm="1">
        <f t="array" ref="G12">OptionDelta("C",$E12,$D$4,G$10,$D$5,$D$6,0)</f>
        <v>1.0210267589266487E-6</v>
      </c>
      <c r="H12" s="1" cm="1">
        <f t="array" ref="H12">OptionDelta("C",$E12,$D$4,H$10,$D$5,$D$6,0)</f>
        <v>5.8978518150787037E-5</v>
      </c>
      <c r="I12" s="1" cm="1">
        <f t="array" ref="I12">OptionDelta("C",$E12,$D$4,I$10,$D$5,$D$6,0)</f>
        <v>4.6519881412379274E-4</v>
      </c>
      <c r="J12" s="1" cm="1">
        <f t="array" ref="J12">OptionDelta("C",$E12,$D$4,J$10,$D$5,$D$6,0)</f>
        <v>1.6409066155964737E-3</v>
      </c>
      <c r="K12" s="1" cm="1">
        <f t="array" ref="K12">OptionDelta("C",$E12,$D$4,K$10,$D$5,$D$6,0)</f>
        <v>3.8551173459696964E-3</v>
      </c>
      <c r="L12" s="1" cm="1">
        <f t="array" ref="L12">OptionDelta("C",$E12,$D$4,L$10,$D$5,$D$6,0)</f>
        <v>7.1642370961297339E-3</v>
      </c>
      <c r="M12" s="1" cm="1">
        <f t="array" ref="M12">OptionDelta("C",$E12,$D$4,M$10,$D$5,$D$6,0)</f>
        <v>1.1483425231958777E-2</v>
      </c>
      <c r="N12" s="1" cm="1">
        <f t="array" ref="N12">OptionDelta("C",$E12,$D$4,N$10,$D$5,$D$6,0)</f>
        <v>1.6663450654240821E-2</v>
      </c>
      <c r="O12" s="1" cm="1">
        <f t="array" ref="O12">OptionDelta("C",$E12,$D$4,O$10,$D$5,$D$6,0)</f>
        <v>2.2539605701555516E-2</v>
      </c>
      <c r="P12" s="1" cm="1">
        <f t="array" ref="P12">OptionDelta("C",$E12,$D$4,P$10,$D$5,$D$6,0)</f>
        <v>9.4943144684704661E-2</v>
      </c>
      <c r="Q12" s="1" cm="1">
        <f t="array" ref="Q12">OptionDelta("C",$E12,$D$4,Q$10,$D$5,$D$6,0)</f>
        <v>0.16261786177644788</v>
      </c>
      <c r="R12" s="1" cm="1">
        <f t="array" ref="R12">OptionDelta("C",$E12,$D$4,R$10,$D$5,$D$6,0)</f>
        <v>0.21859198446496683</v>
      </c>
      <c r="S12" s="1" cm="1">
        <f t="array" ref="S12">OptionDelta("C",$E12,$D$4,S$10,$D$5,$D$6,0)</f>
        <v>0.26505120645503799</v>
      </c>
      <c r="W12" s="2">
        <f>W11+5</f>
        <v>65</v>
      </c>
      <c r="X12" s="1" cm="1">
        <f t="array" ref="X12">OptionDelta("C",$E12,$D$4,X$10,$D$5,$D$7,0)</f>
        <v>2.8126612880569749E-42</v>
      </c>
      <c r="Y12" s="1" cm="1">
        <f t="array" ref="Y12">OptionDelta("C",$E12,$D$4,Y$10,$D$5,$D$7,0)</f>
        <v>5.5821144851585946E-22</v>
      </c>
      <c r="Z12" s="1" cm="1">
        <f t="array" ref="Z12">OptionDelta("C",$E12,$D$4,Z$10,$D$5,$D$7,0)</f>
        <v>3.5461176703588463E-15</v>
      </c>
      <c r="AA12" s="1" cm="1">
        <f t="array" ref="AA12">OptionDelta("C",$E12,$D$4,AA$10,$D$5,$D$7,0)</f>
        <v>9.3129642843240566E-12</v>
      </c>
      <c r="AB12" s="1" cm="1">
        <f t="array" ref="AB12">OptionDelta("C",$E12,$D$4,AB$10,$D$5,$D$7,0)</f>
        <v>1.0745001039870842E-9</v>
      </c>
      <c r="AC12" s="1" cm="1">
        <f t="array" ref="AC12">OptionDelta("C",$E12,$D$4,AC$10,$D$5,$D$7,0)</f>
        <v>2.5874472084445203E-8</v>
      </c>
      <c r="AD12" s="1" cm="1">
        <f t="array" ref="AD12">OptionDelta("C",$E12,$D$4,AD$10,$D$5,$D$7,0)</f>
        <v>2.5390046836316603E-7</v>
      </c>
      <c r="AE12" s="1" cm="1">
        <f t="array" ref="AE12">OptionDelta("C",$E12,$D$4,AE$10,$D$5,$D$7,0)</f>
        <v>1.4195096494921114E-6</v>
      </c>
      <c r="AF12" s="1" cm="1">
        <f t="array" ref="AF12">OptionDelta("C",$E12,$D$4,AF$10,$D$5,$D$7,0)</f>
        <v>5.4488726576165721E-6</v>
      </c>
      <c r="AG12" s="1" cm="1">
        <f t="array" ref="AG12">OptionDelta("C",$E12,$D$4,AG$10,$D$5,$D$7,0)</f>
        <v>1.6064307266339584E-5</v>
      </c>
      <c r="AH12" s="1" cm="1">
        <f t="array" ref="AH12">OptionDelta("C",$E12,$D$4,AH$10,$D$5,$D$7,0)</f>
        <v>2.2987314592982327E-3</v>
      </c>
      <c r="AI12" s="1" cm="1">
        <f t="array" ref="AI12">OptionDelta("C",$E12,$D$4,AI$10,$D$5,$D$7,0)</f>
        <v>1.2962990657514536E-2</v>
      </c>
      <c r="AJ12" s="1" cm="1">
        <f t="array" ref="AJ12">OptionDelta("C",$E12,$D$4,AJ$10,$D$5,$D$7,0)</f>
        <v>3.1875690795675732E-2</v>
      </c>
      <c r="AK12" s="1" cm="1">
        <f t="array" ref="AK12">OptionDelta("C",$E12,$D$4,AK$10,$D$5,$D$7,0)</f>
        <v>5.5792459445646918E-2</v>
      </c>
      <c r="AO12" s="2">
        <f>AO11+5</f>
        <v>65</v>
      </c>
      <c r="AP12" s="1" cm="1">
        <f t="array" ref="AP12">OptionDelta("C",$E12,$D$4,AP$10,$D$5,$D$8,0)</f>
        <v>3.6821940892309305E-6</v>
      </c>
      <c r="AQ12" s="1" cm="1">
        <f t="array" ref="AQ12">OptionDelta("C",$E12,$D$4,AQ$10,$D$5,$D$8,0)</f>
        <v>8.7737836912211542E-4</v>
      </c>
      <c r="AR12" s="1" cm="1">
        <f t="array" ref="AR12">OptionDelta("C",$E12,$D$4,AR$10,$D$5,$D$8,0)</f>
        <v>5.8470110440321642E-3</v>
      </c>
      <c r="AS12" s="1" cm="1">
        <f t="array" ref="AS12">OptionDelta("C",$E12,$D$4,AS$10,$D$5,$D$8,0)</f>
        <v>1.5601464786896047E-2</v>
      </c>
      <c r="AT12" s="1" cm="1">
        <f t="array" ref="AT12">OptionDelta("C",$E12,$D$4,AT$10,$D$5,$D$8,0)</f>
        <v>2.8644857358513225E-2</v>
      </c>
      <c r="AU12" s="1" cm="1">
        <f t="array" ref="AU12">OptionDelta("C",$E12,$D$4,AU$10,$D$5,$D$8,0)</f>
        <v>4.3468137473605249E-2</v>
      </c>
      <c r="AV12" s="1" cm="1">
        <f t="array" ref="AV12">OptionDelta("C",$E12,$D$4,AV$10,$D$5,$D$8,0)</f>
        <v>5.9038935425869576E-2</v>
      </c>
      <c r="AW12" s="1" cm="1">
        <f t="array" ref="AW12">OptionDelta("C",$E12,$D$4,AW$10,$D$5,$D$8,0)</f>
        <v>7.4728116021825122E-2</v>
      </c>
      <c r="AX12" s="1" cm="1">
        <f t="array" ref="AX12">OptionDelta("C",$E12,$D$4,AX$10,$D$5,$D$8,0)</f>
        <v>9.0172813400075422E-2</v>
      </c>
      <c r="AY12" s="1" cm="1">
        <f t="array" ref="AY12">OptionDelta("C",$E12,$D$4,AY$10,$D$5,$D$8,0)</f>
        <v>0.10517388780770233</v>
      </c>
      <c r="AZ12" s="1" cm="1">
        <f t="array" ref="AZ12">OptionDelta("C",$E12,$D$4,AZ$10,$D$5,$D$8,0)</f>
        <v>0.22479684393807561</v>
      </c>
      <c r="BA12" s="1" cm="1">
        <f t="array" ref="BA12">OptionDelta("C",$E12,$D$4,BA$10,$D$5,$D$8,0)</f>
        <v>0.3045006830407393</v>
      </c>
      <c r="BB12" s="1" cm="1">
        <f t="array" ref="BB12">OptionDelta("C",$E12,$D$4,BB$10,$D$5,$D$8,0)</f>
        <v>0.36267982457804149</v>
      </c>
      <c r="BC12" s="1" cm="1">
        <f t="array" ref="BC12">OptionDelta("C",$E12,$D$4,BC$10,$D$5,$D$8,0)</f>
        <v>0.4081806753100849</v>
      </c>
    </row>
    <row r="13" spans="3:55" x14ac:dyDescent="0.3">
      <c r="E13" s="2">
        <f t="shared" ref="E13:E27" si="6">E12+5</f>
        <v>70</v>
      </c>
      <c r="F13" s="1" cm="1">
        <f t="array" ref="F13">OptionDelta("C",$E13,$D$4,F$10,$D$5,$D$6,0)</f>
        <v>1.1217502453550677E-8</v>
      </c>
      <c r="G13" s="1" cm="1">
        <f t="array" ref="G13">OptionDelta("C",$E13,$D$4,G$10,$D$5,$D$6,0)</f>
        <v>4.4152463014191854E-5</v>
      </c>
      <c r="H13" s="1" cm="1">
        <f t="array" ref="H13">OptionDelta("C",$E13,$D$4,H$10,$D$5,$D$6,0)</f>
        <v>7.522257491842701E-4</v>
      </c>
      <c r="I13" s="1" cm="1">
        <f t="array" ref="I13">OptionDelta("C",$E13,$D$4,I$10,$D$5,$D$6,0)</f>
        <v>3.2160999955850558E-3</v>
      </c>
      <c r="J13" s="1" cm="1">
        <f t="array" ref="J13">OptionDelta("C",$E13,$D$4,J$10,$D$5,$D$6,0)</f>
        <v>7.8458863408448522E-3</v>
      </c>
      <c r="K13" s="1" cm="1">
        <f t="array" ref="K13">OptionDelta("C",$E13,$D$4,K$10,$D$5,$D$6,0)</f>
        <v>1.4402778602930108E-2</v>
      </c>
      <c r="L13" s="1" cm="1">
        <f t="array" ref="L13">OptionDelta("C",$E13,$D$4,L$10,$D$5,$D$6,0)</f>
        <v>2.242591118396205E-2</v>
      </c>
      <c r="M13" s="1" cm="1">
        <f t="array" ref="M13">OptionDelta("C",$E13,$D$4,M$10,$D$5,$D$6,0)</f>
        <v>3.1463320553836806E-2</v>
      </c>
      <c r="N13" s="1" cm="1">
        <f t="array" ref="N13">OptionDelta("C",$E13,$D$4,N$10,$D$5,$D$6,0)</f>
        <v>4.1145992558525323E-2</v>
      </c>
      <c r="O13" s="1" cm="1">
        <f t="array" ref="O13">OptionDelta("C",$E13,$D$4,O$10,$D$5,$D$6,0)</f>
        <v>5.1195105289887945E-2</v>
      </c>
      <c r="P13" s="1" cm="1">
        <f t="array" ref="P13">OptionDelta("C",$E13,$D$4,P$10,$D$5,$D$6,0)</f>
        <v>0.14711107776501314</v>
      </c>
      <c r="Q13" s="1" cm="1">
        <f t="array" ref="Q13">OptionDelta("C",$E13,$D$4,Q$10,$D$5,$D$6,0)</f>
        <v>0.22070207540533249</v>
      </c>
      <c r="R13" s="1" cm="1">
        <f t="array" ref="R13">OptionDelta("C",$E13,$D$4,R$10,$D$5,$D$6,0)</f>
        <v>0.27702998118727484</v>
      </c>
      <c r="S13" s="1" cm="1">
        <f t="array" ref="S13">OptionDelta("C",$E13,$D$4,S$10,$D$5,$D$6,0)</f>
        <v>0.32199074177395015</v>
      </c>
      <c r="W13" s="2">
        <f t="shared" ref="W13:W27" si="7">W12+5</f>
        <v>70</v>
      </c>
      <c r="X13" s="1" cm="1">
        <f t="array" ref="X13">OptionDelta("C",$E13,$D$4,X$10,$D$5,$D$7,0)</f>
        <v>1.4260381787834196E-29</v>
      </c>
      <c r="Y13" s="1" cm="1">
        <f t="array" ref="Y13">OptionDelta("C",$E13,$D$4,Y$10,$D$5,$D$7,0)</f>
        <v>1.3034623767509508E-15</v>
      </c>
      <c r="Z13" s="1" cm="1">
        <f t="array" ref="Z13">OptionDelta("C",$E13,$D$4,Z$10,$D$5,$D$7,0)</f>
        <v>6.388371919908438E-11</v>
      </c>
      <c r="AA13" s="1" cm="1">
        <f t="array" ref="AA13">OptionDelta("C",$E13,$D$4,AA$10,$D$5,$D$7,0)</f>
        <v>1.4726488482514407E-8</v>
      </c>
      <c r="AB13" s="1" cm="1">
        <f t="array" ref="AB13">OptionDelta("C",$E13,$D$4,AB$10,$D$5,$D$7,0)</f>
        <v>3.9447858056893467E-7</v>
      </c>
      <c r="AC13" s="1" cm="1">
        <f t="array" ref="AC13">OptionDelta("C",$E13,$D$4,AC$10,$D$5,$D$7,0)</f>
        <v>3.5869233961988741E-6</v>
      </c>
      <c r="AD13" s="1" cm="1">
        <f t="array" ref="AD13">OptionDelta("C",$E13,$D$4,AD$10,$D$5,$D$7,0)</f>
        <v>1.7549254029347776E-5</v>
      </c>
      <c r="AE13" s="1" cm="1">
        <f t="array" ref="AE13">OptionDelta("C",$E13,$D$4,AE$10,$D$5,$D$7,0)</f>
        <v>5.820088365787128E-5</v>
      </c>
      <c r="AF13" s="1" cm="1">
        <f t="array" ref="AF13">OptionDelta("C",$E13,$D$4,AF$10,$D$5,$D$7,0)</f>
        <v>1.4879923588186921E-4</v>
      </c>
      <c r="AG13" s="1" cm="1">
        <f t="array" ref="AG13">OptionDelta("C",$E13,$D$4,AG$10,$D$5,$D$7,0)</f>
        <v>3.1686788675612439E-4</v>
      </c>
      <c r="AH13" s="1" cm="1">
        <f t="array" ref="AH13">OptionDelta("C",$E13,$D$4,AH$10,$D$5,$D$7,0)</f>
        <v>1.0445719216560184E-2</v>
      </c>
      <c r="AI13" s="1" cm="1">
        <f t="array" ref="AI13">OptionDelta("C",$E13,$D$4,AI$10,$D$5,$D$7,0)</f>
        <v>3.5973278929724156E-2</v>
      </c>
      <c r="AJ13" s="1" cm="1">
        <f t="array" ref="AJ13">OptionDelta("C",$E13,$D$4,AJ$10,$D$5,$D$7,0)</f>
        <v>6.8987440114615495E-2</v>
      </c>
      <c r="AK13" s="1" cm="1">
        <f t="array" ref="AK13">OptionDelta("C",$E13,$D$4,AK$10,$D$5,$D$7,0)</f>
        <v>0.10389085170754279</v>
      </c>
      <c r="AO13" s="2">
        <f t="shared" ref="AO13:AO27" si="8">AO12+5</f>
        <v>70</v>
      </c>
      <c r="AP13" s="1" cm="1">
        <f t="array" ref="AP13">OptionDelta("C",$E13,$D$4,AP$10,$D$5,$D$8,0)</f>
        <v>1.0707610281507444E-4</v>
      </c>
      <c r="AQ13" s="1" cm="1">
        <f t="array" ref="AQ13">OptionDelta("C",$E13,$D$4,AQ$10,$D$5,$D$8,0)</f>
        <v>4.9901816736536639E-3</v>
      </c>
      <c r="AR13" s="1" cm="1">
        <f t="array" ref="AR13">OptionDelta("C",$E13,$D$4,AR$10,$D$5,$D$8,0)</f>
        <v>1.9214994632873059E-2</v>
      </c>
      <c r="AS13" s="1" cm="1">
        <f t="array" ref="AS13">OptionDelta("C",$E13,$D$4,AS$10,$D$5,$D$8,0)</f>
        <v>3.8875096230606622E-2</v>
      </c>
      <c r="AT13" s="1" cm="1">
        <f t="array" ref="AT13">OptionDelta("C",$E13,$D$4,AT$10,$D$5,$D$8,0)</f>
        <v>6.0361557489523619E-2</v>
      </c>
      <c r="AU13" s="1" cm="1">
        <f t="array" ref="AU13">OptionDelta("C",$E13,$D$4,AU$10,$D$5,$D$8,0)</f>
        <v>8.1828768636166921E-2</v>
      </c>
      <c r="AV13" s="1" cm="1">
        <f t="array" ref="AV13">OptionDelta("C",$E13,$D$4,AV$10,$D$5,$D$8,0)</f>
        <v>0.10246339188434647</v>
      </c>
      <c r="AW13" s="1" cm="1">
        <f t="array" ref="AW13">OptionDelta("C",$E13,$D$4,AW$10,$D$5,$D$8,0)</f>
        <v>0.12195471445596062</v>
      </c>
      <c r="AX13" s="1" cm="1">
        <f t="array" ref="AX13">OptionDelta("C",$E13,$D$4,AX$10,$D$5,$D$8,0)</f>
        <v>0.1402263966706617</v>
      </c>
      <c r="AY13" s="1" cm="1">
        <f t="array" ref="AY13">OptionDelta("C",$E13,$D$4,AY$10,$D$5,$D$8,0)</f>
        <v>0.1573080672154468</v>
      </c>
      <c r="AZ13" s="1" cm="1">
        <f t="array" ref="AZ13">OptionDelta("C",$E13,$D$4,AZ$10,$D$5,$D$8,0)</f>
        <v>0.28047924339879649</v>
      </c>
      <c r="BA13" s="1" cm="1">
        <f t="array" ref="BA13">OptionDelta("C",$E13,$D$4,BA$10,$D$5,$D$8,0)</f>
        <v>0.35610910688425379</v>
      </c>
      <c r="BB13" s="1" cm="1">
        <f t="array" ref="BB13">OptionDelta("C",$E13,$D$4,BB$10,$D$5,$D$8,0)</f>
        <v>0.40990413904026235</v>
      </c>
      <c r="BC13" s="1" cm="1">
        <f t="array" ref="BC13">OptionDelta("C",$E13,$D$4,BC$10,$D$5,$D$8,0)</f>
        <v>0.45154699490085998</v>
      </c>
    </row>
    <row r="14" spans="3:55" x14ac:dyDescent="0.3">
      <c r="E14" s="2">
        <f t="shared" si="6"/>
        <v>75</v>
      </c>
      <c r="F14" s="1" cm="1">
        <f t="array" ref="F14">OptionDelta("C",$E14,$D$4,F$10,$D$5,$D$6,0)</f>
        <v>3.3782456328086734E-6</v>
      </c>
      <c r="G14" s="1" cm="1">
        <f t="array" ref="G14">OptionDelta("C",$E14,$D$4,G$10,$D$5,$D$6,0)</f>
        <v>8.1830678243053191E-4</v>
      </c>
      <c r="H14" s="1" cm="1">
        <f t="array" ref="H14">OptionDelta("C",$E14,$D$4,H$10,$D$5,$D$6,0)</f>
        <v>5.4794346275411562E-3</v>
      </c>
      <c r="I14" s="1" cm="1">
        <f t="array" ref="I14">OptionDelta("C",$E14,$D$4,I$10,$D$5,$D$6,0)</f>
        <v>1.4648825269289092E-2</v>
      </c>
      <c r="J14" s="1" cm="1">
        <f t="array" ref="J14">OptionDelta("C",$E14,$D$4,J$10,$D$5,$D$6,0)</f>
        <v>2.6918022682862655E-2</v>
      </c>
      <c r="K14" s="1" cm="1">
        <f t="array" ref="K14">OptionDelta("C",$E14,$D$4,K$10,$D$5,$D$6,0)</f>
        <v>4.0860172111759581E-2</v>
      </c>
      <c r="L14" s="1" cm="1">
        <f t="array" ref="L14">OptionDelta("C",$E14,$D$4,L$10,$D$5,$D$6,0)</f>
        <v>5.5498237073536447E-2</v>
      </c>
      <c r="M14" s="1" cm="1">
        <f t="array" ref="M14">OptionDelta("C",$E14,$D$4,M$10,$D$5,$D$6,0)</f>
        <v>7.0237080583764377E-2</v>
      </c>
      <c r="N14" s="1" cm="1">
        <f t="array" ref="N14">OptionDelta("C",$E14,$D$4,N$10,$D$5,$D$6,0)</f>
        <v>8.4734011793984806E-2</v>
      </c>
      <c r="O14" s="1" cm="1">
        <f t="array" ref="O14">OptionDelta("C",$E14,$D$4,O$10,$D$5,$D$6,0)</f>
        <v>9.8801576761747459E-2</v>
      </c>
      <c r="P14" s="1" cm="1">
        <f t="array" ref="P14">OptionDelta("C",$E14,$D$4,P$10,$D$5,$D$6,0)</f>
        <v>0.21041627797587964</v>
      </c>
      <c r="Q14" s="1" cm="1">
        <f t="array" ref="Q14">OptionDelta("C",$E14,$D$4,Q$10,$D$5,$D$6,0)</f>
        <v>0.2841154119321706</v>
      </c>
      <c r="R14" s="1" cm="1">
        <f t="array" ref="R14">OptionDelta("C",$E14,$D$4,R$10,$D$5,$D$6,0)</f>
        <v>0.33753309294546507</v>
      </c>
      <c r="S14" s="1" cm="1">
        <f t="array" ref="S14">OptionDelta("C",$E14,$D$4,S$10,$D$5,$D$6,0)</f>
        <v>0.37909196897565967</v>
      </c>
      <c r="W14" s="2">
        <f t="shared" si="7"/>
        <v>75</v>
      </c>
      <c r="X14" s="1" cm="1">
        <f t="array" ref="X14">OptionDelta("C",$E14,$D$4,X$10,$D$5,$D$7,0)</f>
        <v>7.1568181094979558E-20</v>
      </c>
      <c r="Y14" s="1" cm="1">
        <f t="array" ref="Y14">OptionDelta("C",$E14,$D$4,Y$10,$D$5,$D$7,0)</f>
        <v>9.7210253802256359E-11</v>
      </c>
      <c r="Z14" s="1" cm="1">
        <f t="array" ref="Z14">OptionDelta("C",$E14,$D$4,Z$10,$D$5,$D$7,0)</f>
        <v>1.1693829518833767E-7</v>
      </c>
      <c r="AA14" s="1" cm="1">
        <f t="array" ref="AA14">OptionDelta("C",$E14,$D$4,AA$10,$D$5,$D$7,0)</f>
        <v>4.2184867637814504E-6</v>
      </c>
      <c r="AB14" s="1" cm="1">
        <f t="array" ref="AB14">OptionDelta("C",$E14,$D$4,AB$10,$D$5,$D$7,0)</f>
        <v>3.7104262232348042E-5</v>
      </c>
      <c r="AC14" s="1" cm="1">
        <f t="array" ref="AC14">OptionDelta("C",$E14,$D$4,AC$10,$D$5,$D$7,0)</f>
        <v>1.6047856986437615E-4</v>
      </c>
      <c r="AD14" s="1" cm="1">
        <f t="array" ref="AD14">OptionDelta("C",$E14,$D$4,AD$10,$D$5,$D$7,0)</f>
        <v>4.6157184850289515E-4</v>
      </c>
      <c r="AE14" s="1" cm="1">
        <f t="array" ref="AE14">OptionDelta("C",$E14,$D$4,AE$10,$D$5,$D$7,0)</f>
        <v>1.0273171406440292E-3</v>
      </c>
      <c r="AF14" s="1" cm="1">
        <f t="array" ref="AF14">OptionDelta("C",$E14,$D$4,AF$10,$D$5,$D$7,0)</f>
        <v>1.9253955209529885E-3</v>
      </c>
      <c r="AG14" s="1" cm="1">
        <f t="array" ref="AG14">OptionDelta("C",$E14,$D$4,AG$10,$D$5,$D$7,0)</f>
        <v>3.1973886164727056E-3</v>
      </c>
      <c r="AH14" s="1" cm="1">
        <f t="array" ref="AH14">OptionDelta("C",$E14,$D$4,AH$10,$D$5,$D$7,0)</f>
        <v>3.4220862001572698E-2</v>
      </c>
      <c r="AI14" s="1" cm="1">
        <f t="array" ref="AI14">OptionDelta("C",$E14,$D$4,AI$10,$D$5,$D$7,0)</f>
        <v>8.0588258967957058E-2</v>
      </c>
      <c r="AJ14" s="1" cm="1">
        <f t="array" ref="AJ14">OptionDelta("C",$E14,$D$4,AJ$10,$D$5,$D$7,0)</f>
        <v>0.127474584567597</v>
      </c>
      <c r="AK14" s="1" cm="1">
        <f t="array" ref="AK14">OptionDelta("C",$E14,$D$4,AK$10,$D$5,$D$7,0)</f>
        <v>0.17076585813219761</v>
      </c>
      <c r="AO14" s="2">
        <f t="shared" si="8"/>
        <v>75</v>
      </c>
      <c r="AP14" s="1" cm="1">
        <f t="array" ref="AP14">OptionDelta("C",$E14,$D$4,AP$10,$D$5,$D$8,0)</f>
        <v>1.4675225785184831E-3</v>
      </c>
      <c r="AQ14" s="1" cm="1">
        <f t="array" ref="AQ14">OptionDelta("C",$E14,$D$4,AQ$10,$D$5,$D$8,0)</f>
        <v>1.9591189701574866E-2</v>
      </c>
      <c r="AR14" s="1" cm="1">
        <f t="array" ref="AR14">OptionDelta("C",$E14,$D$4,AR$10,$D$5,$D$8,0)</f>
        <v>4.9434506570869341E-2</v>
      </c>
      <c r="AS14" s="1" cm="1">
        <f t="array" ref="AS14">OptionDelta("C",$E14,$D$4,AS$10,$D$5,$D$8,0)</f>
        <v>8.0716619021007047E-2</v>
      </c>
      <c r="AT14" s="1" cm="1">
        <f t="array" ref="AT14">OptionDelta("C",$E14,$D$4,AT$10,$D$5,$D$8,0)</f>
        <v>0.11000339750396831</v>
      </c>
      <c r="AU14" s="1" cm="1">
        <f t="array" ref="AU14">OptionDelta("C",$E14,$D$4,AU$10,$D$5,$D$8,0)</f>
        <v>0.13654438951976758</v>
      </c>
      <c r="AV14" s="1" cm="1">
        <f t="array" ref="AV14">OptionDelta("C",$E14,$D$4,AV$10,$D$5,$D$8,0)</f>
        <v>0.16041221101185985</v>
      </c>
      <c r="AW14" s="1" cm="1">
        <f t="array" ref="AW14">OptionDelta("C",$E14,$D$4,AW$10,$D$5,$D$8,0)</f>
        <v>0.18189962970104831</v>
      </c>
      <c r="AX14" s="1" cm="1">
        <f t="array" ref="AX14">OptionDelta("C",$E14,$D$4,AX$10,$D$5,$D$8,0)</f>
        <v>0.20132818570829822</v>
      </c>
      <c r="AY14" s="1" cm="1">
        <f t="array" ref="AY14">OptionDelta("C",$E14,$D$4,AY$10,$D$5,$D$8,0)</f>
        <v>0.21899056011833215</v>
      </c>
      <c r="AZ14" s="1" cm="1">
        <f t="array" ref="AZ14">OptionDelta("C",$E14,$D$4,AZ$10,$D$5,$D$8,0)</f>
        <v>0.33768091083242541</v>
      </c>
      <c r="BA14" s="1" cm="1">
        <f t="array" ref="BA14">OptionDelta("C",$E14,$D$4,BA$10,$D$5,$D$8,0)</f>
        <v>0.40667685470200449</v>
      </c>
      <c r="BB14" s="1" cm="1">
        <f t="array" ref="BB14">OptionDelta("C",$E14,$D$4,BB$10,$D$5,$D$8,0)</f>
        <v>0.45509318992994574</v>
      </c>
      <c r="BC14" s="1" cm="1">
        <f t="array" ref="BC14">OptionDelta("C",$E14,$D$4,BC$10,$D$5,$D$8,0)</f>
        <v>0.49245831881467117</v>
      </c>
    </row>
    <row r="15" spans="3:55" x14ac:dyDescent="0.3">
      <c r="E15" s="2">
        <f t="shared" si="6"/>
        <v>80</v>
      </c>
      <c r="F15" s="1" cm="1">
        <f t="array" ref="F15">OptionDelta("C",$E15,$D$4,F$10,$D$5,$D$6,0)</f>
        <v>2.4998248472572982E-4</v>
      </c>
      <c r="G15" s="1" cm="1">
        <f t="array" ref="G15">OptionDelta("C",$E15,$D$4,G$10,$D$5,$D$6,0)</f>
        <v>7.5966424381891306E-3</v>
      </c>
      <c r="H15" s="1" cm="1">
        <f t="array" ref="H15">OptionDelta("C",$E15,$D$4,H$10,$D$5,$D$6,0)</f>
        <v>2.5300139283739146E-2</v>
      </c>
      <c r="I15" s="1" cm="1">
        <f t="array" ref="I15">OptionDelta("C",$E15,$D$4,I$10,$D$5,$D$6,0)</f>
        <v>4.7535275559280651E-2</v>
      </c>
      <c r="J15" s="1" cm="1">
        <f t="array" ref="J15">OptionDelta("C",$E15,$D$4,J$10,$D$5,$D$6,0)</f>
        <v>7.0537829580775729E-2</v>
      </c>
      <c r="K15" s="1" cm="1">
        <f t="array" ref="K15">OptionDelta("C",$E15,$D$4,K$10,$D$5,$D$6,0)</f>
        <v>9.2718991154622718E-2</v>
      </c>
      <c r="L15" s="1" cm="1">
        <f t="array" ref="L15">OptionDelta("C",$E15,$D$4,L$10,$D$5,$D$6,0)</f>
        <v>0.11351617326502472</v>
      </c>
      <c r="M15" s="1" cm="1">
        <f t="array" ref="M15">OptionDelta("C",$E15,$D$4,M$10,$D$5,$D$6,0)</f>
        <v>0.1328013323700564</v>
      </c>
      <c r="N15" s="1" cm="1">
        <f t="array" ref="N15">OptionDelta("C",$E15,$D$4,N$10,$D$5,$D$6,0)</f>
        <v>0.1506224847545854</v>
      </c>
      <c r="O15" s="1" cm="1">
        <f t="array" ref="O15">OptionDelta("C",$E15,$D$4,O$10,$D$5,$D$6,0)</f>
        <v>0.16709271590694211</v>
      </c>
      <c r="P15" s="1" cm="1">
        <f t="array" ref="P15">OptionDelta("C",$E15,$D$4,P$10,$D$5,$D$6,0)</f>
        <v>0.2820374343620774</v>
      </c>
      <c r="Q15" s="1" cm="1">
        <f t="array" ref="Q15">OptionDelta("C",$E15,$D$4,Q$10,$D$5,$D$6,0)</f>
        <v>0.35035866509647884</v>
      </c>
      <c r="R15" s="1" cm="1">
        <f t="array" ref="R15">OptionDelta("C",$E15,$D$4,R$10,$D$5,$D$6,0)</f>
        <v>0.39825791110296049</v>
      </c>
      <c r="S15" s="1" cm="1">
        <f t="array" ref="S15">OptionDelta("C",$E15,$D$4,S$10,$D$5,$D$6,0)</f>
        <v>0.4350411483736476</v>
      </c>
      <c r="W15" s="2">
        <f t="shared" si="7"/>
        <v>80</v>
      </c>
      <c r="X15" s="1" cm="1">
        <f t="array" ref="X15">OptionDelta("C",$E15,$D$4,X$10,$D$5,$D$7,0)</f>
        <v>1.2002701474206063E-12</v>
      </c>
      <c r="Y15" s="1" cm="1">
        <f t="array" ref="Y15">OptionDelta("C",$E15,$D$4,Y$10,$D$5,$D$7,0)</f>
        <v>4.2709800292238633E-7</v>
      </c>
      <c r="Z15" s="1" cm="1">
        <f t="array" ref="Z15">OptionDelta("C",$E15,$D$4,Z$10,$D$5,$D$7,0)</f>
        <v>3.2777591453569919E-5</v>
      </c>
      <c r="AA15" s="1" cm="1">
        <f t="array" ref="AA15">OptionDelta("C",$E15,$D$4,AA$10,$D$5,$D$7,0)</f>
        <v>2.9809587513643615E-4</v>
      </c>
      <c r="AB15" s="1" cm="1">
        <f t="array" ref="AB15">OptionDelta("C",$E15,$D$4,AB$10,$D$5,$D$7,0)</f>
        <v>1.1455014907192074E-3</v>
      </c>
      <c r="AC15" s="1" cm="1">
        <f t="array" ref="AC15">OptionDelta("C",$E15,$D$4,AC$10,$D$5,$D$7,0)</f>
        <v>2.8497945838167173E-3</v>
      </c>
      <c r="AD15" s="1" cm="1">
        <f t="array" ref="AD15">OptionDelta("C",$E15,$D$4,AD$10,$D$5,$D$7,0)</f>
        <v>5.5176887334378597E-3</v>
      </c>
      <c r="AE15" s="1" cm="1">
        <f t="array" ref="AE15">OptionDelta("C",$E15,$D$4,AE$10,$D$5,$D$7,0)</f>
        <v>9.1213054737095019E-3</v>
      </c>
      <c r="AF15" s="1" cm="1">
        <f t="array" ref="AF15">OptionDelta("C",$E15,$D$4,AF$10,$D$5,$D$7,0)</f>
        <v>1.3558236229164227E-2</v>
      </c>
      <c r="AG15" s="1" cm="1">
        <f t="array" ref="AG15">OptionDelta("C",$E15,$D$4,AG$10,$D$5,$D$7,0)</f>
        <v>1.8697030468110387E-2</v>
      </c>
      <c r="AH15" s="1" cm="1">
        <f t="array" ref="AH15">OptionDelta("C",$E15,$D$4,AH$10,$D$5,$D$7,0)</f>
        <v>8.6011681908250856E-2</v>
      </c>
      <c r="AI15" s="1" cm="1">
        <f t="array" ref="AI15">OptionDelta("C",$E15,$D$4,AI$10,$D$5,$D$7,0)</f>
        <v>0.15185446032881006</v>
      </c>
      <c r="AJ15" s="1" cm="1">
        <f t="array" ref="AJ15">OptionDelta("C",$E15,$D$4,AJ$10,$D$5,$D$7,0)</f>
        <v>0.20733079045218472</v>
      </c>
      <c r="AK15" s="1" cm="1">
        <f t="array" ref="AK15">OptionDelta("C",$E15,$D$4,AK$10,$D$5,$D$7,0)</f>
        <v>0.25381961865942948</v>
      </c>
      <c r="AO15" s="2">
        <f t="shared" si="8"/>
        <v>80</v>
      </c>
      <c r="AP15" s="1" cm="1">
        <f t="array" ref="AP15">OptionDelta("C",$E15,$D$4,AP$10,$D$5,$D$8,0)</f>
        <v>1.0890526735845741E-2</v>
      </c>
      <c r="AQ15" s="1" cm="1">
        <f t="array" ref="AQ15">OptionDelta("C",$E15,$D$4,AQ$10,$D$5,$D$8,0)</f>
        <v>5.6913337986291397E-2</v>
      </c>
      <c r="AR15" s="1" cm="1">
        <f t="array" ref="AR15">OptionDelta("C",$E15,$D$4,AR$10,$D$5,$D$8,0)</f>
        <v>0.10426956463923276</v>
      </c>
      <c r="AS15" s="1" cm="1">
        <f t="array" ref="AS15">OptionDelta("C",$E15,$D$4,AS$10,$D$5,$D$8,0)</f>
        <v>0.14454509647225661</v>
      </c>
      <c r="AT15" s="1" cm="1">
        <f t="array" ref="AT15">OptionDelta("C",$E15,$D$4,AT$10,$D$5,$D$8,0)</f>
        <v>0.17819321540160804</v>
      </c>
      <c r="AU15" s="1" cm="1">
        <f t="array" ref="AU15">OptionDelta("C",$E15,$D$4,AU$10,$D$5,$D$8,0)</f>
        <v>0.20660792036453604</v>
      </c>
      <c r="AV15" s="1" cm="1">
        <f t="array" ref="AV15">OptionDelta("C",$E15,$D$4,AV$10,$D$5,$D$8,0)</f>
        <v>0.23097566222627239</v>
      </c>
      <c r="AW15" s="1" cm="1">
        <f t="array" ref="AW15">OptionDelta("C",$E15,$D$4,AW$10,$D$5,$D$8,0)</f>
        <v>0.2521853492329863</v>
      </c>
      <c r="AX15" s="1" cm="1">
        <f t="array" ref="AX15">OptionDelta("C",$E15,$D$4,AX$10,$D$5,$D$8,0)</f>
        <v>0.27089074616784536</v>
      </c>
      <c r="AY15" s="1" cm="1">
        <f t="array" ref="AY15">OptionDelta("C",$E15,$D$4,AY$10,$D$5,$D$8,0)</f>
        <v>0.28757654881407335</v>
      </c>
      <c r="AZ15" s="1" cm="1">
        <f t="array" ref="AZ15">OptionDelta("C",$E15,$D$4,AZ$10,$D$5,$D$8,0)</f>
        <v>0.39485704248118841</v>
      </c>
      <c r="BA15" s="1" cm="1">
        <f t="array" ref="BA15">OptionDelta("C",$E15,$D$4,BA$10,$D$5,$D$8,0)</f>
        <v>0.45545241211238541</v>
      </c>
      <c r="BB15" s="1" cm="1">
        <f t="array" ref="BB15">OptionDelta("C",$E15,$D$4,BB$10,$D$5,$D$8,0)</f>
        <v>0.49790985034594043</v>
      </c>
      <c r="BC15" s="1" cm="1">
        <f t="array" ref="BC15">OptionDelta("C",$E15,$D$4,BC$10,$D$5,$D$8,0)</f>
        <v>0.53080875955769424</v>
      </c>
    </row>
    <row r="16" spans="3:55" x14ac:dyDescent="0.3">
      <c r="E16" s="2">
        <f t="shared" si="6"/>
        <v>85</v>
      </c>
      <c r="F16" s="1" cm="1">
        <f t="array" ref="F16">OptionDelta("C",$E16,$D$4,F$10,$D$5,$D$6,0)</f>
        <v>5.830908137902522E-3</v>
      </c>
      <c r="G16" s="1" cm="1">
        <f t="array" ref="G16">OptionDelta("C",$E16,$D$4,G$10,$D$5,$D$6,0)</f>
        <v>4.006477982445996E-2</v>
      </c>
      <c r="H16" s="1" cm="1">
        <f t="array" ref="H16">OptionDelta("C",$E16,$D$4,H$10,$D$5,$D$6,0)</f>
        <v>8.0542811303141587E-2</v>
      </c>
      <c r="I16" s="1" cm="1">
        <f t="array" ref="I16">OptionDelta("C",$E16,$D$4,I$10,$D$5,$D$6,0)</f>
        <v>0.11703172121234477</v>
      </c>
      <c r="J16" s="1" cm="1">
        <f t="array" ref="J16">OptionDelta("C",$E16,$D$4,J$10,$D$5,$D$6,0)</f>
        <v>0.14844720364554423</v>
      </c>
      <c r="K16" s="1" cm="1">
        <f t="array" ref="K16">OptionDelta("C",$E16,$D$4,K$10,$D$5,$D$6,0)</f>
        <v>0.17544466250951118</v>
      </c>
      <c r="L16" s="1" cm="1">
        <f t="array" ref="L16">OptionDelta("C",$E16,$D$4,L$10,$D$5,$D$6,0)</f>
        <v>0.19884963648426759</v>
      </c>
      <c r="M16" s="1" cm="1">
        <f t="array" ref="M16">OptionDelta("C",$E16,$D$4,M$10,$D$5,$D$6,0)</f>
        <v>0.21936358982447046</v>
      </c>
      <c r="N16" s="1" cm="1">
        <f t="array" ref="N16">OptionDelta("C",$E16,$D$4,N$10,$D$5,$D$6,0)</f>
        <v>0.23753708342668733</v>
      </c>
      <c r="O16" s="1" cm="1">
        <f t="array" ref="O16">OptionDelta("C",$E16,$D$4,O$10,$D$5,$D$6,0)</f>
        <v>0.2537950995737065</v>
      </c>
      <c r="P16" s="1" cm="1">
        <f t="array" ref="P16">OptionDelta("C",$E16,$D$4,P$10,$D$5,$D$6,0)</f>
        <v>0.35850447187481504</v>
      </c>
      <c r="Q16" s="1" cm="1">
        <f t="array" ref="Q16">OptionDelta("C",$E16,$D$4,Q$10,$D$5,$D$6,0)</f>
        <v>0.41708980700977716</v>
      </c>
      <c r="R16" s="1" cm="1">
        <f t="array" ref="R16">OptionDelta("C",$E16,$D$4,R$10,$D$5,$D$6,0)</f>
        <v>0.45767322745215844</v>
      </c>
      <c r="S16" s="1" cm="1">
        <f t="array" ref="S16">OptionDelta("C",$E16,$D$4,S$10,$D$5,$D$6,0)</f>
        <v>0.48883379634600066</v>
      </c>
      <c r="W16" s="2">
        <f t="shared" si="7"/>
        <v>85</v>
      </c>
      <c r="X16" s="1" cm="1">
        <f t="array" ref="X16">OptionDelta("C",$E16,$D$4,X$10,$D$5,$D$7,0)</f>
        <v>1.7727866846205845E-7</v>
      </c>
      <c r="Y16" s="1" cm="1">
        <f t="array" ref="Y16">OptionDelta("C",$E16,$D$4,Y$10,$D$5,$D$7,0)</f>
        <v>1.8057900763335621E-4</v>
      </c>
      <c r="Z16" s="1" cm="1">
        <f t="array" ref="Z16">OptionDelta("C",$E16,$D$4,Z$10,$D$5,$D$7,0)</f>
        <v>1.9569580318317685E-3</v>
      </c>
      <c r="AA16" s="1" cm="1">
        <f t="array" ref="AA16">OptionDelta("C",$E16,$D$4,AA$10,$D$5,$D$7,0)</f>
        <v>6.6658842436191712E-3</v>
      </c>
      <c r="AB16" s="1" cm="1">
        <f t="array" ref="AB16">OptionDelta("C",$E16,$D$4,AB$10,$D$5,$D$7,0)</f>
        <v>1.4178971876106417E-2</v>
      </c>
      <c r="AC16" s="1" cm="1">
        <f t="array" ref="AC16">OptionDelta("C",$E16,$D$4,AC$10,$D$5,$D$7,0)</f>
        <v>2.3744049559651273E-2</v>
      </c>
      <c r="AD16" s="1" cm="1">
        <f t="array" ref="AD16">OptionDelta("C",$E16,$D$4,AD$10,$D$5,$D$7,0)</f>
        <v>3.4610567414057034E-2</v>
      </c>
      <c r="AE16" s="1" cm="1">
        <f t="array" ref="AE16">OptionDelta("C",$E16,$D$4,AE$10,$D$5,$D$7,0)</f>
        <v>4.6201796215212594E-2</v>
      </c>
      <c r="AF16" s="1" cm="1">
        <f t="array" ref="AF16">OptionDelta("C",$E16,$D$4,AF$10,$D$5,$D$7,0)</f>
        <v>5.8114853573404297E-2</v>
      </c>
      <c r="AG16" s="1" cm="1">
        <f t="array" ref="AG16">OptionDelta("C",$E16,$D$4,AG$10,$D$5,$D$7,0)</f>
        <v>7.0080829341433351E-2</v>
      </c>
      <c r="AH16" s="1" cm="1">
        <f t="array" ref="AH16">OptionDelta("C",$E16,$D$4,AH$10,$D$5,$D$7,0)</f>
        <v>0.17436633291241277</v>
      </c>
      <c r="AI16" s="1" cm="1">
        <f t="array" ref="AI16">OptionDelta("C",$E16,$D$4,AI$10,$D$5,$D$7,0)</f>
        <v>0.24872867527518139</v>
      </c>
      <c r="AJ16" s="1" cm="1">
        <f t="array" ref="AJ16">OptionDelta("C",$E16,$D$4,AJ$10,$D$5,$D$7,0)</f>
        <v>0.30411744905751403</v>
      </c>
      <c r="AK16" s="1" cm="1">
        <f t="array" ref="AK16">OptionDelta("C",$E16,$D$4,AK$10,$D$5,$D$7,0)</f>
        <v>0.34775207052445578</v>
      </c>
      <c r="AO16" s="2">
        <f t="shared" si="8"/>
        <v>85</v>
      </c>
      <c r="AP16" s="1" cm="1">
        <f t="array" ref="AP16">OptionDelta("C",$E16,$D$4,AP$10,$D$5,$D$8,0)</f>
        <v>4.8949588230018437E-2</v>
      </c>
      <c r="AQ16" s="1" cm="1">
        <f t="array" ref="AQ16">OptionDelta("C",$E16,$D$4,AQ$10,$D$5,$D$8,0)</f>
        <v>0.1293739652284181</v>
      </c>
      <c r="AR16" s="1" cm="1">
        <f t="array" ref="AR16">OptionDelta("C",$E16,$D$4,AR$10,$D$5,$D$8,0)</f>
        <v>0.18709751221137358</v>
      </c>
      <c r="AS16" s="1" cm="1">
        <f t="array" ref="AS16">OptionDelta("C",$E16,$D$4,AS$10,$D$5,$D$8,0)</f>
        <v>0.22946806891671254</v>
      </c>
      <c r="AT16" s="1" cm="1">
        <f t="array" ref="AT16">OptionDelta("C",$E16,$D$4,AT$10,$D$5,$D$8,0)</f>
        <v>0.26223006736843324</v>
      </c>
      <c r="AU16" s="1" cm="1">
        <f t="array" ref="AU16">OptionDelta("C",$E16,$D$4,AU$10,$D$5,$D$8,0)</f>
        <v>0.28864049524186719</v>
      </c>
      <c r="AV16" s="1" cm="1">
        <f t="array" ref="AV16">OptionDelta("C",$E16,$D$4,AV$10,$D$5,$D$8,0)</f>
        <v>0.31061663415168483</v>
      </c>
      <c r="AW16" s="1" cm="1">
        <f t="array" ref="AW16">OptionDelta("C",$E16,$D$4,AW$10,$D$5,$D$8,0)</f>
        <v>0.32935533629557545</v>
      </c>
      <c r="AX16" s="1" cm="1">
        <f t="array" ref="AX16">OptionDelta("C",$E16,$D$4,AX$10,$D$5,$D$8,0)</f>
        <v>0.3456438956868198</v>
      </c>
      <c r="AY16" s="1" cm="1">
        <f t="array" ref="AY16">OptionDelta("C",$E16,$D$4,AY$10,$D$5,$D$8,0)</f>
        <v>0.36002333083467092</v>
      </c>
      <c r="AZ16" s="1" cm="1">
        <f t="array" ref="AZ16">OptionDelta("C",$E16,$D$4,AZ$10,$D$5,$D$8,0)</f>
        <v>0.45074144633462454</v>
      </c>
      <c r="BA16" s="1" cm="1">
        <f t="array" ref="BA16">OptionDelta("C",$E16,$D$4,BA$10,$D$5,$D$8,0)</f>
        <v>0.50190487130170336</v>
      </c>
      <c r="BB16" s="1" cm="1">
        <f t="array" ref="BB16">OptionDelta("C",$E16,$D$4,BB$10,$D$5,$D$8,0)</f>
        <v>0.53816099984174448</v>
      </c>
      <c r="BC16" s="1" cm="1">
        <f t="array" ref="BC16">OptionDelta("C",$E16,$D$4,BC$10,$D$5,$D$8,0)</f>
        <v>0.56658125708655704</v>
      </c>
    </row>
    <row r="17" spans="5:55" x14ac:dyDescent="0.3">
      <c r="E17" s="2">
        <f t="shared" si="6"/>
        <v>90</v>
      </c>
      <c r="F17" s="1" cm="1">
        <f t="array" ref="F17">OptionDelta("C",$E17,$D$4,F$10,$D$5,$D$6,0)</f>
        <v>5.2781549996934837E-2</v>
      </c>
      <c r="G17" s="1" cm="1">
        <f t="array" ref="G17">OptionDelta("C",$E17,$D$4,G$10,$D$5,$D$6,0)</f>
        <v>0.13330906924780192</v>
      </c>
      <c r="H17" s="1" cm="1">
        <f t="array" ref="H17">OptionDelta("C",$E17,$D$4,H$10,$D$5,$D$6,0)</f>
        <v>0.18952524812777746</v>
      </c>
      <c r="I17" s="1" cm="1">
        <f t="array" ref="I17">OptionDelta("C",$E17,$D$4,I$10,$D$5,$D$6,0)</f>
        <v>0.23023301469857285</v>
      </c>
      <c r="J17" s="1" cm="1">
        <f t="array" ref="J17">OptionDelta("C",$E17,$D$4,J$10,$D$5,$D$6,0)</f>
        <v>0.26142924756390218</v>
      </c>
      <c r="K17" s="1" cm="1">
        <f t="array" ref="K17">OptionDelta("C",$E17,$D$4,K$10,$D$5,$D$6,0)</f>
        <v>0.28640779285454132</v>
      </c>
      <c r="L17" s="1" cm="1">
        <f t="array" ref="L17">OptionDelta("C",$E17,$D$4,L$10,$D$5,$D$6,0)</f>
        <v>0.30707780777053395</v>
      </c>
      <c r="M17" s="1" cm="1">
        <f t="array" ref="M17">OptionDelta("C",$E17,$D$4,M$10,$D$5,$D$6,0)</f>
        <v>0.32461969070784658</v>
      </c>
      <c r="N17" s="1" cm="1">
        <f t="array" ref="N17">OptionDelta("C",$E17,$D$4,N$10,$D$5,$D$6,0)</f>
        <v>0.33980470618375225</v>
      </c>
      <c r="O17" s="1" cm="1">
        <f t="array" ref="O17">OptionDelta("C",$E17,$D$4,O$10,$D$5,$D$6,0)</f>
        <v>0.35316016226972924</v>
      </c>
      <c r="P17" s="1" cm="1">
        <f t="array" ref="P17">OptionDelta("C",$E17,$D$4,P$10,$D$5,$D$6,0)</f>
        <v>0.43629337610345331</v>
      </c>
      <c r="Q17" s="1" cm="1">
        <f t="array" ref="Q17">OptionDelta("C",$E17,$D$4,Q$10,$D$5,$D$6,0)</f>
        <v>0.48231590099564647</v>
      </c>
      <c r="R17" s="1" cm="1">
        <f t="array" ref="R17">OptionDelta("C",$E17,$D$4,R$10,$D$5,$D$6,0)</f>
        <v>0.51459751428423428</v>
      </c>
      <c r="S17" s="1" cm="1">
        <f t="array" ref="S17">OptionDelta("C",$E17,$D$4,S$10,$D$5,$D$6,0)</f>
        <v>0.53975516312316763</v>
      </c>
      <c r="W17" s="2">
        <f t="shared" si="7"/>
        <v>90</v>
      </c>
      <c r="X17" s="1" cm="1">
        <f t="array" ref="X17">OptionDelta("C",$E17,$D$4,X$10,$D$5,$D$7,0)</f>
        <v>5.1107517146906892E-4</v>
      </c>
      <c r="Y17" s="1" cm="1">
        <f t="array" ref="Y17">OptionDelta("C",$E17,$D$4,Y$10,$D$5,$D$7,0)</f>
        <v>1.1044013907594808E-2</v>
      </c>
      <c r="Z17" s="1" cm="1">
        <f t="array" ref="Z17">OptionDelta("C",$E17,$D$4,Z$10,$D$5,$D$7,0)</f>
        <v>3.2777626460408049E-2</v>
      </c>
      <c r="AA17" s="1" cm="1">
        <f t="array" ref="AA17">OptionDelta("C",$E17,$D$4,AA$10,$D$5,$D$7,0)</f>
        <v>5.8088107987320343E-2</v>
      </c>
      <c r="AB17" s="1" cm="1">
        <f t="array" ref="AB17">OptionDelta("C",$E17,$D$4,AB$10,$D$5,$D$7,0)</f>
        <v>8.3185859132694412E-2</v>
      </c>
      <c r="AC17" s="1" cm="1">
        <f t="array" ref="AC17">OptionDelta("C",$E17,$D$4,AC$10,$D$5,$D$7,0)</f>
        <v>0.10674814223186854</v>
      </c>
      <c r="AD17" s="1" cm="1">
        <f t="array" ref="AD17">OptionDelta("C",$E17,$D$4,AD$10,$D$5,$D$7,0)</f>
        <v>0.12843922086837081</v>
      </c>
      <c r="AE17" s="1" cm="1">
        <f t="array" ref="AE17">OptionDelta("C",$E17,$D$4,AE$10,$D$5,$D$7,0)</f>
        <v>0.14828843430084723</v>
      </c>
      <c r="AF17" s="1" cm="1">
        <f t="array" ref="AF17">OptionDelta("C",$E17,$D$4,AF$10,$D$5,$D$7,0)</f>
        <v>0.1664485667707323</v>
      </c>
      <c r="AG17" s="1" cm="1">
        <f t="array" ref="AG17">OptionDelta("C",$E17,$D$4,AG$10,$D$5,$D$7,0)</f>
        <v>0.18310240300676622</v>
      </c>
      <c r="AH17" s="1" cm="1">
        <f t="array" ref="AH17">OptionDelta("C",$E17,$D$4,AH$10,$D$5,$D$7,0)</f>
        <v>0.29705856189617313</v>
      </c>
      <c r="AI17" s="1" cm="1">
        <f t="array" ref="AI17">OptionDelta("C",$E17,$D$4,AI$10,$D$5,$D$7,0)</f>
        <v>0.36373551072271876</v>
      </c>
      <c r="AJ17" s="1" cm="1">
        <f t="array" ref="AJ17">OptionDelta("C",$E17,$D$4,AJ$10,$D$5,$D$7,0)</f>
        <v>0.4102886293803284</v>
      </c>
      <c r="AK17" s="1" cm="1">
        <f t="array" ref="AK17">OptionDelta("C",$E17,$D$4,AK$10,$D$5,$D$7,0)</f>
        <v>0.44599904247550076</v>
      </c>
      <c r="AO17" s="2">
        <f t="shared" si="8"/>
        <v>90</v>
      </c>
      <c r="AP17" s="1" cm="1">
        <f t="array" ref="AP17">OptionDelta("C",$E17,$D$4,AP$10,$D$5,$D$8,0)</f>
        <v>0.14625707559799994</v>
      </c>
      <c r="AQ17" s="1" cm="1">
        <f t="array" ref="AQ17">OptionDelta("C",$E17,$D$4,AQ$10,$D$5,$D$8,0)</f>
        <v>0.24092762709076576</v>
      </c>
      <c r="AR17" s="1" cm="1">
        <f t="array" ref="AR17">OptionDelta("C",$E17,$D$4,AR$10,$D$5,$D$8,0)</f>
        <v>0.29432689998056172</v>
      </c>
      <c r="AS17" s="1" cm="1">
        <f t="array" ref="AS17">OptionDelta("C",$E17,$D$4,AS$10,$D$5,$D$8,0)</f>
        <v>0.33020452050949323</v>
      </c>
      <c r="AT17" s="1" cm="1">
        <f t="array" ref="AT17">OptionDelta("C",$E17,$D$4,AT$10,$D$5,$D$8,0)</f>
        <v>0.35679534006601854</v>
      </c>
      <c r="AU17" s="1" cm="1">
        <f t="array" ref="AU17">OptionDelta("C",$E17,$D$4,AU$10,$D$5,$D$8,0)</f>
        <v>0.37775204713439936</v>
      </c>
      <c r="AV17" s="1" cm="1">
        <f t="array" ref="AV17">OptionDelta("C",$E17,$D$4,AV$10,$D$5,$D$8,0)</f>
        <v>0.39497379522555537</v>
      </c>
      <c r="AW17" s="1" cm="1">
        <f t="array" ref="AW17">OptionDelta("C",$E17,$D$4,AW$10,$D$5,$D$8,0)</f>
        <v>0.4095599317357414</v>
      </c>
      <c r="AX17" s="1" cm="1">
        <f t="array" ref="AX17">OptionDelta("C",$E17,$D$4,AX$10,$D$5,$D$8,0)</f>
        <v>0.42219791583544131</v>
      </c>
      <c r="AY17" s="1" cm="1">
        <f t="array" ref="AY17">OptionDelta("C",$E17,$D$4,AY$10,$D$5,$D$8,0)</f>
        <v>0.43334341092094791</v>
      </c>
      <c r="AZ17" s="1" cm="1">
        <f t="array" ref="AZ17">OptionDelta("C",$E17,$D$4,AZ$10,$D$5,$D$8,0)</f>
        <v>0.50436249428511837</v>
      </c>
      <c r="BA17" s="1" cm="1">
        <f t="array" ref="BA17">OptionDelta("C",$E17,$D$4,BA$10,$D$5,$D$8,0)</f>
        <v>0.54568875929400229</v>
      </c>
      <c r="BB17" s="1" cm="1">
        <f t="array" ref="BB17">OptionDelta("C",$E17,$D$4,BB$10,$D$5,$D$8,0)</f>
        <v>0.57576298201651444</v>
      </c>
      <c r="BC17" s="1" cm="1">
        <f t="array" ref="BC17">OptionDelta("C",$E17,$D$4,BC$10,$D$5,$D$8,0)</f>
        <v>0.59982092332225356</v>
      </c>
    </row>
    <row r="18" spans="5:55" x14ac:dyDescent="0.3">
      <c r="E18" s="2">
        <f t="shared" si="6"/>
        <v>95</v>
      </c>
      <c r="F18" s="1" cm="1">
        <f t="array" ref="F18">OptionDelta("C",$E18,$D$4,F$10,$D$5,$D$6,0)</f>
        <v>0.22255758462414449</v>
      </c>
      <c r="G18" s="1" cm="1">
        <f t="array" ref="G18">OptionDelta("C",$E18,$D$4,G$10,$D$5,$D$6,0)</f>
        <v>0.3062898934344146</v>
      </c>
      <c r="H18" s="1" cm="1">
        <f t="array" ref="H18">OptionDelta("C",$E18,$D$4,H$10,$D$5,$D$6,0)</f>
        <v>0.34971752968021519</v>
      </c>
      <c r="I18" s="1" cm="1">
        <f t="array" ref="I18">OptionDelta("C",$E18,$D$4,I$10,$D$5,$D$6,0)</f>
        <v>0.3780368656656477</v>
      </c>
      <c r="J18" s="1" cm="1">
        <f t="array" ref="J18">OptionDelta("C",$E18,$D$4,J$10,$D$5,$D$6,0)</f>
        <v>0.39873130138189328</v>
      </c>
      <c r="K18" s="1" cm="1">
        <f t="array" ref="K18">OptionDelta("C",$E18,$D$4,K$10,$D$5,$D$6,0)</f>
        <v>0.41491980008730484</v>
      </c>
      <c r="L18" s="1" cm="1">
        <f t="array" ref="L18">OptionDelta("C",$E18,$D$4,L$10,$D$5,$D$6,0)</f>
        <v>0.42816924322332078</v>
      </c>
      <c r="M18" s="1" cm="1">
        <f t="array" ref="M18">OptionDelta("C",$E18,$D$4,M$10,$D$5,$D$6,0)</f>
        <v>0.4393670542417723</v>
      </c>
      <c r="N18" s="1" cm="1">
        <f t="array" ref="N18">OptionDelta("C",$E18,$D$4,N$10,$D$5,$D$6,0)</f>
        <v>0.4490598842795181</v>
      </c>
      <c r="O18" s="1" cm="1">
        <f t="array" ref="O18">OptionDelta("C",$E18,$D$4,O$10,$D$5,$D$6,0)</f>
        <v>0.45760612784927152</v>
      </c>
      <c r="P18" s="1" cm="1">
        <f t="array" ref="P18">OptionDelta("C",$E18,$D$4,P$10,$D$5,$D$6,0)</f>
        <v>0.51227864232904818</v>
      </c>
      <c r="Q18" s="1" cm="1">
        <f t="array" ref="Q18">OptionDelta("C",$E18,$D$4,Q$10,$D$5,$D$6,0)</f>
        <v>0.54448388447384266</v>
      </c>
      <c r="R18" s="1" cm="1">
        <f t="array" ref="R18">OptionDelta("C",$E18,$D$4,R$10,$D$5,$D$6,0)</f>
        <v>0.56818955220522305</v>
      </c>
      <c r="S18" s="1" cm="1">
        <f t="array" ref="S18">OptionDelta("C",$E18,$D$4,S$10,$D$5,$D$6,0)</f>
        <v>0.58734278687654107</v>
      </c>
      <c r="W18" s="2">
        <f t="shared" si="7"/>
        <v>95</v>
      </c>
      <c r="X18" s="1" cm="1">
        <f t="array" ref="X18">OptionDelta("C",$E18,$D$4,X$10,$D$5,$D$7,0)</f>
        <v>5.7674144516076838E-2</v>
      </c>
      <c r="Y18" s="1" cm="1">
        <f t="array" ref="Y18">OptionDelta("C",$E18,$D$4,Y$10,$D$5,$D$7,0)</f>
        <v>0.14009983864577802</v>
      </c>
      <c r="Z18" s="1" cm="1">
        <f t="array" ref="Z18">OptionDelta("C",$E18,$D$4,Z$10,$D$5,$D$7,0)</f>
        <v>0.19646253524083446</v>
      </c>
      <c r="AA18" s="1" cm="1">
        <f t="array" ref="AA18">OptionDelta("C",$E18,$D$4,AA$10,$D$5,$D$7,0)</f>
        <v>0.23694940812133697</v>
      </c>
      <c r="AB18" s="1" cm="1">
        <f t="array" ref="AB18">OptionDelta("C",$E18,$D$4,AB$10,$D$5,$D$7,0)</f>
        <v>0.26784925915213059</v>
      </c>
      <c r="AC18" s="1" cm="1">
        <f t="array" ref="AC18">OptionDelta("C",$E18,$D$4,AC$10,$D$5,$D$7,0)</f>
        <v>0.29253156538610559</v>
      </c>
      <c r="AD18" s="1" cm="1">
        <f t="array" ref="AD18">OptionDelta("C",$E18,$D$4,AD$10,$D$5,$D$7,0)</f>
        <v>0.31292611764332445</v>
      </c>
      <c r="AE18" s="1" cm="1">
        <f t="array" ref="AE18">OptionDelta("C",$E18,$D$4,AE$10,$D$5,$D$7,0)</f>
        <v>0.33021760012856716</v>
      </c>
      <c r="AF18" s="1" cm="1">
        <f t="array" ref="AF18">OptionDelta("C",$E18,$D$4,AF$10,$D$5,$D$7,0)</f>
        <v>0.34517641190667869</v>
      </c>
      <c r="AG18" s="1" cm="1">
        <f t="array" ref="AG18">OptionDelta("C",$E18,$D$4,AG$10,$D$5,$D$7,0)</f>
        <v>0.35832748828828453</v>
      </c>
      <c r="AH18" s="1" cm="1">
        <f t="array" ref="AH18">OptionDelta("C",$E18,$D$4,AH$10,$D$5,$D$7,0)</f>
        <v>0.44015891222205472</v>
      </c>
      <c r="AI18" s="1" cm="1">
        <f t="array" ref="AI18">OptionDelta("C",$E18,$D$4,AI$10,$D$5,$D$7,0)</f>
        <v>0.48550787950516516</v>
      </c>
      <c r="AJ18" s="1" cm="1">
        <f t="array" ref="AJ18">OptionDelta("C",$E18,$D$4,AJ$10,$D$5,$D$7,0)</f>
        <v>0.51736188083892132</v>
      </c>
      <c r="AK18" s="1" cm="1">
        <f t="array" ref="AK18">OptionDelta("C",$E18,$D$4,AK$10,$D$5,$D$7,0)</f>
        <v>0.54221660354441636</v>
      </c>
      <c r="AO18" s="2">
        <f t="shared" si="8"/>
        <v>95</v>
      </c>
      <c r="AP18" s="1" cm="1">
        <f t="array" ref="AP18">OptionDelta("C",$E18,$D$4,AP$10,$D$5,$D$8,0)</f>
        <v>0.31465306570218488</v>
      </c>
      <c r="AQ18" s="1" cm="1">
        <f t="array" ref="AQ18">OptionDelta("C",$E18,$D$4,AQ$10,$D$5,$D$8,0)</f>
        <v>0.3819633040789554</v>
      </c>
      <c r="AR18" s="1" cm="1">
        <f t="array" ref="AR18">OptionDelta("C",$E18,$D$4,AR$10,$D$5,$D$8,0)</f>
        <v>0.4161528933790935</v>
      </c>
      <c r="AS18" s="1" cm="1">
        <f t="array" ref="AS18">OptionDelta("C",$E18,$D$4,AS$10,$D$5,$D$8,0)</f>
        <v>0.43865142750198133</v>
      </c>
      <c r="AT18" s="1" cm="1">
        <f t="array" ref="AT18">OptionDelta("C",$E18,$D$4,AT$10,$D$5,$D$8,0)</f>
        <v>0.45534721551467583</v>
      </c>
      <c r="AU18" s="1" cm="1">
        <f t="array" ref="AU18">OptionDelta("C",$E18,$D$4,AU$10,$D$5,$D$8,0)</f>
        <v>0.46862695070489663</v>
      </c>
      <c r="AV18" s="1" cm="1">
        <f t="array" ref="AV18">OptionDelta("C",$E18,$D$4,AV$10,$D$5,$D$8,0)</f>
        <v>0.47967483058661126</v>
      </c>
      <c r="AW18" s="1" cm="1">
        <f t="array" ref="AW18">OptionDelta("C",$E18,$D$4,AW$10,$D$5,$D$8,0)</f>
        <v>0.48915788300334873</v>
      </c>
      <c r="AX18" s="1" cm="1">
        <f t="array" ref="AX18">OptionDelta("C",$E18,$D$4,AX$10,$D$5,$D$8,0)</f>
        <v>0.49748628363861275</v>
      </c>
      <c r="AY18" s="1" cm="1">
        <f t="array" ref="AY18">OptionDelta("C",$E18,$D$4,AY$10,$D$5,$D$8,0)</f>
        <v>0.50492907988438374</v>
      </c>
      <c r="AZ18" s="1" cm="1">
        <f t="array" ref="AZ18">OptionDelta("C",$E18,$D$4,AZ$10,$D$5,$D$8,0)</f>
        <v>0.55502719539571732</v>
      </c>
      <c r="BA18" s="1" cm="1">
        <f t="array" ref="BA18">OptionDelta("C",$E18,$D$4,BA$10,$D$5,$D$8,0)</f>
        <v>0.58660823860191547</v>
      </c>
      <c r="BB18" s="1" cm="1">
        <f t="array" ref="BB18">OptionDelta("C",$E18,$D$4,BB$10,$D$5,$D$8,0)</f>
        <v>0.61071300082010072</v>
      </c>
      <c r="BC18" s="1" cm="1">
        <f t="array" ref="BC18">OptionDelta("C",$E18,$D$4,BC$10,$D$5,$D$8,0)</f>
        <v>0.63061486355917407</v>
      </c>
    </row>
    <row r="19" spans="5:55" x14ac:dyDescent="0.3">
      <c r="E19" s="2">
        <f t="shared" si="6"/>
        <v>100</v>
      </c>
      <c r="F19" s="1" cm="1">
        <f t="array" ref="F19">OptionDelta("C",$E19,$D$4,F$10,$D$5,$D$6,0)</f>
        <v>0.51891639999929629</v>
      </c>
      <c r="G19" s="1" cm="1">
        <f t="array" ref="G19">OptionDelta("C",$E19,$D$4,G$10,$D$5,$D$6,0)</f>
        <v>0.5267418038869226</v>
      </c>
      <c r="H19" s="1" cm="1">
        <f t="array" ref="H19">OptionDelta("C",$E19,$D$4,H$10,$D$5,$D$6,0)</f>
        <v>0.53273961671267711</v>
      </c>
      <c r="I19" s="1" cm="1">
        <f t="array" ref="I19">OptionDelta("C",$E19,$D$4,I$10,$D$5,$D$6,0)</f>
        <v>0.53779029390666466</v>
      </c>
      <c r="J19" s="1" cm="1">
        <f t="array" ref="J19">OptionDelta("C",$E19,$D$4,J$10,$D$5,$D$6,0)</f>
        <v>0.54223501331161406</v>
      </c>
      <c r="K19" s="1" cm="1">
        <f t="array" ref="K19">OptionDelta("C",$E19,$D$4,K$10,$D$5,$D$6,0)</f>
        <v>0.54624882106468031</v>
      </c>
      <c r="L19" s="1" cm="1">
        <f t="array" ref="L19">OptionDelta("C",$E19,$D$4,L$10,$D$5,$D$6,0)</f>
        <v>0.54993574324296035</v>
      </c>
      <c r="M19" s="1" cm="1">
        <f t="array" ref="M19">OptionDelta("C",$E19,$D$4,M$10,$D$5,$D$6,0)</f>
        <v>0.55336358492889404</v>
      </c>
      <c r="N19" s="1" cm="1">
        <f t="array" ref="N19">OptionDelta("C",$E19,$D$4,N$10,$D$5,$D$6,0)</f>
        <v>0.55657946195545982</v>
      </c>
      <c r="O19" s="1" cm="1">
        <f t="array" ref="O19">OptionDelta("C",$E19,$D$4,O$10,$D$5,$D$6,0)</f>
        <v>0.5596176923702425</v>
      </c>
      <c r="P19" s="1" cm="1">
        <f t="array" ref="P19">OptionDelta("C",$E19,$D$4,P$10,$D$5,$D$6,0)</f>
        <v>0.58399798571368178</v>
      </c>
      <c r="Q19" s="1" cm="1">
        <f t="array" ref="Q19">OptionDelta("C",$E19,$D$4,Q$10,$D$5,$D$6,0)</f>
        <v>0.60249391401788099</v>
      </c>
      <c r="R19" s="1" cm="1">
        <f t="array" ref="R19">OptionDelta("C",$E19,$D$4,R$10,$D$5,$D$6,0)</f>
        <v>0.61791142218895267</v>
      </c>
      <c r="S19" s="1" cm="1">
        <f t="array" ref="S19">OptionDelta("C",$E19,$D$4,S$10,$D$5,$D$6,0)</f>
        <v>0.63134216139179089</v>
      </c>
      <c r="W19" s="2">
        <f t="shared" si="7"/>
        <v>100</v>
      </c>
      <c r="X19" s="1" cm="1">
        <f t="array" ref="X19">OptionDelta("C",$E19,$D$4,X$10,$D$5,$D$7,0)</f>
        <v>0.51891639999929629</v>
      </c>
      <c r="Y19" s="1" cm="1">
        <f t="array" ref="Y19">OptionDelta("C",$E19,$D$4,Y$10,$D$5,$D$7,0)</f>
        <v>0.5267418038869226</v>
      </c>
      <c r="Z19" s="1" cm="1">
        <f t="array" ref="Z19">OptionDelta("C",$E19,$D$4,Z$10,$D$5,$D$7,0)</f>
        <v>0.53273961671267711</v>
      </c>
      <c r="AA19" s="1" cm="1">
        <f t="array" ref="AA19">OptionDelta("C",$E19,$D$4,AA$10,$D$5,$D$7,0)</f>
        <v>0.53779029390666466</v>
      </c>
      <c r="AB19" s="1" cm="1">
        <f t="array" ref="AB19">OptionDelta("C",$E19,$D$4,AB$10,$D$5,$D$7,0)</f>
        <v>0.54223501331161406</v>
      </c>
      <c r="AC19" s="1" cm="1">
        <f t="array" ref="AC19">OptionDelta("C",$E19,$D$4,AC$10,$D$5,$D$7,0)</f>
        <v>0.54624882106468031</v>
      </c>
      <c r="AD19" s="1" cm="1">
        <f t="array" ref="AD19">OptionDelta("C",$E19,$D$4,AD$10,$D$5,$D$7,0)</f>
        <v>0.54993574324296035</v>
      </c>
      <c r="AE19" s="1" cm="1">
        <f t="array" ref="AE19">OptionDelta("C",$E19,$D$4,AE$10,$D$5,$D$7,0)</f>
        <v>0.55336358492889404</v>
      </c>
      <c r="AF19" s="1" cm="1">
        <f t="array" ref="AF19">OptionDelta("C",$E19,$D$4,AF$10,$D$5,$D$7,0)</f>
        <v>0.55657946195545982</v>
      </c>
      <c r="AG19" s="1" cm="1">
        <f t="array" ref="AG19">OptionDelta("C",$E19,$D$4,AG$10,$D$5,$D$7,0)</f>
        <v>0.5596176923702425</v>
      </c>
      <c r="AH19" s="1" cm="1">
        <f t="array" ref="AH19">OptionDelta("C",$E19,$D$4,AH$10,$D$5,$D$7,0)</f>
        <v>0.58399798571368178</v>
      </c>
      <c r="AI19" s="1" cm="1">
        <f t="array" ref="AI19">OptionDelta("C",$E19,$D$4,AI$10,$D$5,$D$7,0)</f>
        <v>0.60249391401788088</v>
      </c>
      <c r="AJ19" s="1" cm="1">
        <f t="array" ref="AJ19">OptionDelta("C",$E19,$D$4,AJ$10,$D$5,$D$7,0)</f>
        <v>0.61791142218895267</v>
      </c>
      <c r="AK19" s="1" cm="1">
        <f t="array" ref="AK19">OptionDelta("C",$E19,$D$4,AK$10,$D$5,$D$7,0)</f>
        <v>0.63134216139179089</v>
      </c>
      <c r="AO19" s="2">
        <f t="shared" si="8"/>
        <v>100</v>
      </c>
      <c r="AP19" s="1" cm="1">
        <f t="array" ref="AP19">OptionDelta("C",$E19,$D$4,AP$10,$D$5,$D$8,0)</f>
        <v>0.52311576495136336</v>
      </c>
      <c r="AQ19" s="1" cm="1">
        <f t="array" ref="AQ19">OptionDelta("C",$E19,$D$4,AQ$10,$D$5,$D$8,0)</f>
        <v>0.53267233292182181</v>
      </c>
      <c r="AR19" s="1" cm="1">
        <f t="array" ref="AR19">OptionDelta("C",$E19,$D$4,AR$10,$D$5,$D$8,0)</f>
        <v>0.53999288758705544</v>
      </c>
      <c r="AS19" s="1" cm="1">
        <f t="array" ref="AS19">OptionDelta("C",$E19,$D$4,AS$10,$D$5,$D$8,0)</f>
        <v>0.54615398735857779</v>
      </c>
      <c r="AT19" s="1" cm="1">
        <f t="array" ref="AT19">OptionDelta("C",$E19,$D$4,AT$10,$D$5,$D$8,0)</f>
        <v>0.55157288637548119</v>
      </c>
      <c r="AU19" s="1" cm="1">
        <f t="array" ref="AU19">OptionDelta("C",$E19,$D$4,AU$10,$D$5,$D$8,0)</f>
        <v>0.55646370539182832</v>
      </c>
      <c r="AV19" s="1" cm="1">
        <f t="array" ref="AV19">OptionDelta("C",$E19,$D$4,AV$10,$D$5,$D$8,0)</f>
        <v>0.56095371673383299</v>
      </c>
      <c r="AW19" s="1" cm="1">
        <f t="array" ref="AW19">OptionDelta("C",$E19,$D$4,AW$10,$D$5,$D$8,0)</f>
        <v>0.56512589389530654</v>
      </c>
      <c r="AX19" s="1" cm="1">
        <f t="array" ref="AX19">OptionDelta("C",$E19,$D$4,AX$10,$D$5,$D$8,0)</f>
        <v>0.56903790416143729</v>
      </c>
      <c r="AY19" s="1" cm="1">
        <f t="array" ref="AY19">OptionDelta("C",$E19,$D$4,AY$10,$D$5,$D$8,0)</f>
        <v>0.57273175930304054</v>
      </c>
      <c r="AZ19" s="1" cm="1">
        <f t="array" ref="AZ19">OptionDelta("C",$E19,$D$4,AZ$10,$D$5,$D$8,0)</f>
        <v>0.60228749680470339</v>
      </c>
      <c r="BA19" s="1" cm="1">
        <f t="array" ref="BA19">OptionDelta("C",$E19,$D$4,BA$10,$D$5,$D$8,0)</f>
        <v>0.62458405795544159</v>
      </c>
      <c r="BB19" s="1" cm="1">
        <f t="array" ref="BB19">OptionDelta("C",$E19,$D$4,BB$10,$D$5,$D$8,0)</f>
        <v>0.64306616326250143</v>
      </c>
      <c r="BC19" s="1" cm="1">
        <f t="array" ref="BC19">OptionDelta("C",$E19,$D$4,BC$10,$D$5,$D$8,0)</f>
        <v>0.65907714492767744</v>
      </c>
    </row>
    <row r="20" spans="5:55" x14ac:dyDescent="0.3">
      <c r="E20" s="2">
        <f t="shared" si="6"/>
        <v>105</v>
      </c>
      <c r="F20" s="1" cm="1">
        <f t="array" ref="F20">OptionDelta("C",$E20,$D$4,F$10,$D$5,$D$6,0)</f>
        <v>0.79357096026156482</v>
      </c>
      <c r="G20" s="1" cm="1">
        <f t="array" ref="G20">OptionDelta("C",$E20,$D$4,G$10,$D$5,$D$6,0)</f>
        <v>0.72992052908241489</v>
      </c>
      <c r="H20" s="1" cm="1">
        <f t="array" ref="H20">OptionDelta("C",$E20,$D$4,H$10,$D$5,$D$6,0)</f>
        <v>0.70109401201543442</v>
      </c>
      <c r="I20" s="1" cm="1">
        <f t="array" ref="I20">OptionDelta("C",$E20,$D$4,I$10,$D$5,$D$6,0)</f>
        <v>0.68459548536557624</v>
      </c>
      <c r="J20" s="1" cm="1">
        <f t="array" ref="J20">OptionDelta("C",$E20,$D$4,J$10,$D$5,$D$6,0)</f>
        <v>0.67402849627857031</v>
      </c>
      <c r="K20" s="1" cm="1">
        <f t="array" ref="K20">OptionDelta("C",$E20,$D$4,K$10,$D$5,$D$6,0)</f>
        <v>0.66681258720741177</v>
      </c>
      <c r="L20" s="1" cm="1">
        <f t="array" ref="L20">OptionDelta("C",$E20,$D$4,L$10,$D$5,$D$6,0)</f>
        <v>0.66168859212232867</v>
      </c>
      <c r="M20" s="1" cm="1">
        <f t="array" ref="M20">OptionDelta("C",$E20,$D$4,M$10,$D$5,$D$6,0)</f>
        <v>0.65796272969308234</v>
      </c>
      <c r="N20" s="1" cm="1">
        <f t="array" ref="N20">OptionDelta("C",$E20,$D$4,N$10,$D$5,$D$6,0)</f>
        <v>0.65521889020886737</v>
      </c>
      <c r="O20" s="1" cm="1">
        <f t="array" ref="O20">OptionDelta("C",$E20,$D$4,O$10,$D$5,$D$6,0)</f>
        <v>0.65319132580079731</v>
      </c>
      <c r="P20" s="1" cm="1">
        <f t="array" ref="P20">OptionDelta("C",$E20,$D$4,P$10,$D$5,$D$6,0)</f>
        <v>0.64974470477957968</v>
      </c>
      <c r="Q20" s="1" cm="1">
        <f t="array" ref="Q20">OptionDelta("C",$E20,$D$4,Q$10,$D$5,$D$6,0)</f>
        <v>0.6556620776426314</v>
      </c>
      <c r="R20" s="1" cm="1">
        <f t="array" ref="R20">OptionDelta("C",$E20,$D$4,R$10,$D$5,$D$6,0)</f>
        <v>0.66347851713393957</v>
      </c>
      <c r="S20" s="1" cm="1">
        <f t="array" ref="S20">OptionDelta("C",$E20,$D$4,S$10,$D$5,$D$6,0)</f>
        <v>0.67166244266164088</v>
      </c>
      <c r="W20" s="2">
        <f t="shared" si="7"/>
        <v>105</v>
      </c>
      <c r="X20" s="1" cm="1">
        <f t="array" ref="X20">OptionDelta("C",$E20,$D$4,X$10,$D$5,$D$7,0)</f>
        <v>0.94411804837488877</v>
      </c>
      <c r="Y20" s="1" cm="1">
        <f t="array" ref="Y20">OptionDelta("C",$E20,$D$4,Y$10,$D$5,$D$7,0)</f>
        <v>0.87658089249568349</v>
      </c>
      <c r="Z20" s="1" cm="1">
        <f t="array" ref="Z20">OptionDelta("C",$E20,$D$4,Z$10,$D$5,$D$7,0)</f>
        <v>0.83470864554501067</v>
      </c>
      <c r="AA20" s="1" cm="1">
        <f t="array" ref="AA20">OptionDelta("C",$E20,$D$4,AA$10,$D$5,$D$7,0)</f>
        <v>0.80683951354982253</v>
      </c>
      <c r="AB20" s="1" cm="1">
        <f t="array" ref="AB20">OptionDelta("C",$E20,$D$4,AB$10,$D$5,$D$7,0)</f>
        <v>0.7870023302677005</v>
      </c>
      <c r="AC20" s="1" cm="1">
        <f t="array" ref="AC20">OptionDelta("C",$E20,$D$4,AC$10,$D$5,$D$7,0)</f>
        <v>0.77218677368637101</v>
      </c>
      <c r="AD20" s="1" cm="1">
        <f t="array" ref="AD20">OptionDelta("C",$E20,$D$4,AD$10,$D$5,$D$7,0)</f>
        <v>0.760730082505234</v>
      </c>
      <c r="AE20" s="1" cm="1">
        <f t="array" ref="AE20">OptionDelta("C",$E20,$D$4,AE$10,$D$5,$D$7,0)</f>
        <v>0.75163843630541693</v>
      </c>
      <c r="AF20" s="1" cm="1">
        <f t="array" ref="AF20">OptionDelta("C",$E20,$D$4,AF$10,$D$5,$D$7,0)</f>
        <v>0.74427963343394432</v>
      </c>
      <c r="AG20" s="1" cm="1">
        <f t="array" ref="AG20">OptionDelta("C",$E20,$D$4,AG$10,$D$5,$D$7,0)</f>
        <v>0.73823114549048119</v>
      </c>
      <c r="AH20" s="1" cm="1">
        <f t="array" ref="AH20">OptionDelta("C",$E20,$D$4,AH$10,$D$5,$D$7,0)</f>
        <v>0.71128089691736807</v>
      </c>
      <c r="AI20" s="1" cm="1">
        <f t="array" ref="AI20">OptionDelta("C",$E20,$D$4,AI$10,$D$5,$D$7,0)</f>
        <v>0.70591773123367962</v>
      </c>
      <c r="AJ20" s="1" cm="1">
        <f t="array" ref="AJ20">OptionDelta("C",$E20,$D$4,AJ$10,$D$5,$D$7,0)</f>
        <v>0.70676234221741052</v>
      </c>
      <c r="AK20" s="1" cm="1">
        <f t="array" ref="AK20">OptionDelta("C",$E20,$D$4,AK$10,$D$5,$D$7,0)</f>
        <v>0.71007589254163683</v>
      </c>
      <c r="AO20" s="2">
        <f t="shared" si="8"/>
        <v>105</v>
      </c>
      <c r="AP20" s="1" cm="1">
        <f t="array" ref="AP20">OptionDelta("C",$E20,$D$4,AP$10,$D$5,$D$8,0)</f>
        <v>0.71642998296826488</v>
      </c>
      <c r="AQ20" s="1" cm="1">
        <f t="array" ref="AQ20">OptionDelta("C",$E20,$D$4,AQ$10,$D$5,$D$8,0)</f>
        <v>0.67207480164598299</v>
      </c>
      <c r="AR20" s="1" cm="1">
        <f t="array" ref="AR20">OptionDelta("C",$E20,$D$4,AR$10,$D$5,$D$8,0)</f>
        <v>0.65444283411208759</v>
      </c>
      <c r="AS20" s="1" cm="1">
        <f t="array" ref="AS20">OptionDelta("C",$E20,$D$4,AS$10,$D$5,$D$8,0)</f>
        <v>0.64546184621426217</v>
      </c>
      <c r="AT20" s="1" cm="1">
        <f t="array" ref="AT20">OptionDelta("C",$E20,$D$4,AT$10,$D$5,$D$8,0)</f>
        <v>0.64044005264399373</v>
      </c>
      <c r="AU20" s="1" cm="1">
        <f t="array" ref="AU20">OptionDelta("C",$E20,$D$4,AU$10,$D$5,$D$8,0)</f>
        <v>0.6375691792945577</v>
      </c>
      <c r="AV20" s="1" cm="1">
        <f t="array" ref="AV20">OptionDelta("C",$E20,$D$4,AV$10,$D$5,$D$8,0)</f>
        <v>0.63599441741087059</v>
      </c>
      <c r="AW20" s="1" cm="1">
        <f t="array" ref="AW20">OptionDelta("C",$E20,$D$4,AW$10,$D$5,$D$8,0)</f>
        <v>0.63525669084775627</v>
      </c>
      <c r="AX20" s="1" cm="1">
        <f t="array" ref="AX20">OptionDelta("C",$E20,$D$4,AX$10,$D$5,$D$8,0)</f>
        <v>0.63508678730440149</v>
      </c>
      <c r="AY20" s="1" cm="1">
        <f t="array" ref="AY20">OptionDelta("C",$E20,$D$4,AY$10,$D$5,$D$8,0)</f>
        <v>0.63531632275589001</v>
      </c>
      <c r="AZ20" s="1" cm="1">
        <f t="array" ref="AZ20">OptionDelta("C",$E20,$D$4,AZ$10,$D$5,$D$8,0)</f>
        <v>0.64589902155139922</v>
      </c>
      <c r="BA20" s="1" cm="1">
        <f t="array" ref="BA20">OptionDelta("C",$E20,$D$4,BA$10,$D$5,$D$8,0)</f>
        <v>0.65962480217204278</v>
      </c>
      <c r="BB20" s="1" cm="1">
        <f t="array" ref="BB20">OptionDelta("C",$E20,$D$4,BB$10,$D$5,$D$8,0)</f>
        <v>0.67291748622828185</v>
      </c>
      <c r="BC20" s="1" cm="1">
        <f t="array" ref="BC20">OptionDelta("C",$E20,$D$4,BC$10,$D$5,$D$8,0)</f>
        <v>0.68533776358227261</v>
      </c>
    </row>
    <row r="21" spans="5:55" x14ac:dyDescent="0.3">
      <c r="E21" s="2">
        <f t="shared" si="6"/>
        <v>110</v>
      </c>
      <c r="F21" s="1" cm="1">
        <f t="array" ref="F21">OptionDelta("C",$E21,$D$4,F$10,$D$5,$D$6,0)</f>
        <v>0.93995791805464912</v>
      </c>
      <c r="G21" s="1" cm="1">
        <f t="array" ref="G21">OptionDelta("C",$E21,$D$4,G$10,$D$5,$D$6,0)</f>
        <v>0.87132614165736733</v>
      </c>
      <c r="H21" s="1" cm="1">
        <f t="array" ref="H21">OptionDelta("C",$E21,$D$4,H$10,$D$5,$D$6,0)</f>
        <v>0.82950660741686155</v>
      </c>
      <c r="I21" s="1" cm="1">
        <f t="array" ref="I21">OptionDelta("C",$E21,$D$4,I$10,$D$5,$D$6,0)</f>
        <v>0.80188165059672933</v>
      </c>
      <c r="J21" s="1" cm="1">
        <f t="array" ref="J21">OptionDelta("C",$E21,$D$4,J$10,$D$5,$D$6,0)</f>
        <v>0.78230772963384732</v>
      </c>
      <c r="K21" s="1" cm="1">
        <f t="array" ref="K21">OptionDelta("C",$E21,$D$4,K$10,$D$5,$D$6,0)</f>
        <v>0.76773686176629652</v>
      </c>
      <c r="L21" s="1" cm="1">
        <f t="array" ref="L21">OptionDelta("C",$E21,$D$4,L$10,$D$5,$D$6,0)</f>
        <v>0.7564993813863905</v>
      </c>
      <c r="M21" s="1" cm="1">
        <f t="array" ref="M21">OptionDelta("C",$E21,$D$4,M$10,$D$5,$D$6,0)</f>
        <v>0.74760249342748353</v>
      </c>
      <c r="N21" s="1" cm="1">
        <f t="array" ref="N21">OptionDelta("C",$E21,$D$4,N$10,$D$5,$D$6,0)</f>
        <v>0.74041691025313783</v>
      </c>
      <c r="O21" s="1" cm="1">
        <f t="array" ref="O21">OptionDelta("C",$E21,$D$4,O$10,$D$5,$D$6,0)</f>
        <v>0.73452316868917078</v>
      </c>
      <c r="P21" s="1" cm="1">
        <f t="array" ref="P21">OptionDelta("C",$E21,$D$4,P$10,$D$5,$D$6,0)</f>
        <v>0.7085330993545631</v>
      </c>
      <c r="Q21" s="1" cm="1">
        <f t="array" ref="Q21">OptionDelta("C",$E21,$D$4,Q$10,$D$5,$D$6,0)</f>
        <v>0.70365585138940701</v>
      </c>
      <c r="R21" s="1" cm="1">
        <f t="array" ref="R21">OptionDelta("C",$E21,$D$4,R$10,$D$5,$D$6,0)</f>
        <v>0.70480655105134737</v>
      </c>
      <c r="S21" s="1" cm="1">
        <f t="array" ref="S21">OptionDelta("C",$E21,$D$4,S$10,$D$5,$D$6,0)</f>
        <v>0.70833606363246282</v>
      </c>
      <c r="W21" s="2">
        <f t="shared" si="7"/>
        <v>110</v>
      </c>
      <c r="X21" s="1" cm="1">
        <f t="array" ref="X21">OptionDelta("C",$E21,$D$4,X$10,$D$5,$D$7,0)</f>
        <v>0.99889850177275419</v>
      </c>
      <c r="Y21" s="1" cm="1">
        <f t="array" ref="Y21">OptionDelta("C",$E21,$D$4,Y$10,$D$5,$D$7,0)</f>
        <v>0.98603550784275051</v>
      </c>
      <c r="Z21" s="1" cm="1">
        <f t="array" ref="Z21">OptionDelta("C",$E21,$D$4,Z$10,$D$5,$D$7,0)</f>
        <v>0.96579345861513155</v>
      </c>
      <c r="AA21" s="1" cm="1">
        <f t="array" ref="AA21">OptionDelta("C",$E21,$D$4,AA$10,$D$5,$D$7,0)</f>
        <v>0.94540611613468872</v>
      </c>
      <c r="AB21" s="1" cm="1">
        <f t="array" ref="AB21">OptionDelta("C",$E21,$D$4,AB$10,$D$5,$D$7,0)</f>
        <v>0.9270206788480384</v>
      </c>
      <c r="AC21" s="1" cm="1">
        <f t="array" ref="AC21">OptionDelta("C",$E21,$D$4,AC$10,$D$5,$D$7,0)</f>
        <v>0.910951676948353</v>
      </c>
      <c r="AD21" s="1" cm="1">
        <f t="array" ref="AD21">OptionDelta("C",$E21,$D$4,AD$10,$D$5,$D$7,0)</f>
        <v>0.8970058106562373</v>
      </c>
      <c r="AE21" s="1" cm="1">
        <f t="array" ref="AE21">OptionDelta("C",$E21,$D$4,AE$10,$D$5,$D$7,0)</f>
        <v>0.88488455046683934</v>
      </c>
      <c r="AF21" s="1" cm="1">
        <f t="array" ref="AF21">OptionDelta("C",$E21,$D$4,AF$10,$D$5,$D$7,0)</f>
        <v>0.87430092401455395</v>
      </c>
      <c r="AG21" s="1" cm="1">
        <f t="array" ref="AG21">OptionDelta("C",$E21,$D$4,AG$10,$D$5,$D$7,0)</f>
        <v>0.86500851994546202</v>
      </c>
      <c r="AH21" s="1" cm="1">
        <f t="array" ref="AH21">OptionDelta("C",$E21,$D$4,AH$10,$D$5,$D$7,0)</f>
        <v>0.81221192244611107</v>
      </c>
      <c r="AI21" s="1" cm="1">
        <f t="array" ref="AI21">OptionDelta("C",$E21,$D$4,AI$10,$D$5,$D$7,0)</f>
        <v>0.79105324594553816</v>
      </c>
      <c r="AJ21" s="1" cm="1">
        <f t="array" ref="AJ21">OptionDelta("C",$E21,$D$4,AJ$10,$D$5,$D$7,0)</f>
        <v>0.78128810999478626</v>
      </c>
      <c r="AK21" s="1" cm="1">
        <f t="array" ref="AK21">OptionDelta("C",$E21,$D$4,AK$10,$D$5,$D$7,0)</f>
        <v>0.77686562090211797</v>
      </c>
      <c r="AO21" s="2">
        <f t="shared" si="8"/>
        <v>110</v>
      </c>
      <c r="AP21" s="1" cm="1">
        <f t="array" ref="AP21">OptionDelta("C",$E21,$D$4,AP$10,$D$5,$D$8,0)</f>
        <v>0.85602570106502918</v>
      </c>
      <c r="AQ21" s="1" cm="1">
        <f t="array" ref="AQ21">OptionDelta("C",$E21,$D$4,AQ$10,$D$5,$D$8,0)</f>
        <v>0.78593314054026053</v>
      </c>
      <c r="AR21" s="1" cm="1">
        <f t="array" ref="AR21">OptionDelta("C",$E21,$D$4,AR$10,$D$5,$D$8,0)</f>
        <v>0.75189182389050946</v>
      </c>
      <c r="AS21" s="1" cm="1">
        <f t="array" ref="AS21">OptionDelta("C",$E21,$D$4,AS$10,$D$5,$D$8,0)</f>
        <v>0.7318042573881709</v>
      </c>
      <c r="AT21" s="1" cm="1">
        <f t="array" ref="AT21">OptionDelta("C",$E21,$D$4,AT$10,$D$5,$D$8,0)</f>
        <v>0.71868272096314856</v>
      </c>
      <c r="AU21" s="1" cm="1">
        <f t="array" ref="AU21">OptionDelta("C",$E21,$D$4,AU$10,$D$5,$D$8,0)</f>
        <v>0.70958032306564656</v>
      </c>
      <c r="AV21" s="1" cm="1">
        <f t="array" ref="AV21">OptionDelta("C",$E21,$D$4,AV$10,$D$5,$D$8,0)</f>
        <v>0.70302215257089251</v>
      </c>
      <c r="AW21" s="1" cm="1">
        <f t="array" ref="AW21">OptionDelta("C",$E21,$D$4,AW$10,$D$5,$D$8,0)</f>
        <v>0.69818182521677907</v>
      </c>
      <c r="AX21" s="1" cm="1">
        <f t="array" ref="AX21">OptionDelta("C",$E21,$D$4,AX$10,$D$5,$D$8,0)</f>
        <v>0.69455768345693381</v>
      </c>
      <c r="AY21" s="1" cm="1">
        <f t="array" ref="AY21">OptionDelta("C",$E21,$D$4,AY$10,$D$5,$D$8,0)</f>
        <v>0.69182637898167587</v>
      </c>
      <c r="AZ21" s="1" cm="1">
        <f t="array" ref="AZ21">OptionDelta("C",$E21,$D$4,AZ$10,$D$5,$D$8,0)</f>
        <v>0.68577893776060739</v>
      </c>
      <c r="BA21" s="1" cm="1">
        <f t="array" ref="BA21">OptionDelta("C",$E21,$D$4,BA$10,$D$5,$D$8,0)</f>
        <v>0.69180288754629138</v>
      </c>
      <c r="BB21" s="1" cm="1">
        <f t="array" ref="BB21">OptionDelta("C",$E21,$D$4,BB$10,$D$5,$D$8,0)</f>
        <v>0.70038806898924744</v>
      </c>
      <c r="BC21" s="1" cm="1">
        <f t="array" ref="BC21">OptionDelta("C",$E21,$D$4,BC$10,$D$5,$D$8,0)</f>
        <v>0.70953466945632937</v>
      </c>
    </row>
    <row r="22" spans="5:55" x14ac:dyDescent="0.3">
      <c r="E22" s="2">
        <f t="shared" si="6"/>
        <v>115</v>
      </c>
      <c r="F22" s="1" cm="1">
        <f t="array" ref="F22">OptionDelta("C",$E22,$D$4,F$10,$D$5,$D$6,0)</f>
        <v>0.98800422406854482</v>
      </c>
      <c r="G22" s="1" cm="1">
        <f t="array" ref="G22">OptionDelta("C",$E22,$D$4,G$10,$D$5,$D$6,0)</f>
        <v>0.94841416414843493</v>
      </c>
      <c r="H22" s="1" cm="1">
        <f t="array" ref="H22">OptionDelta("C",$E22,$D$4,H$10,$D$5,$D$6,0)</f>
        <v>0.91276887593354383</v>
      </c>
      <c r="I22" s="1" cm="1">
        <f t="array" ref="I22">OptionDelta("C",$E22,$D$4,I$10,$D$5,$D$6,0)</f>
        <v>0.88488828305391432</v>
      </c>
      <c r="J22" s="1" cm="1">
        <f t="array" ref="J22">OptionDelta("C",$E22,$D$4,J$10,$D$5,$D$6,0)</f>
        <v>0.8630953437034381</v>
      </c>
      <c r="K22" s="1" cm="1">
        <f t="array" ref="K22">OptionDelta("C",$E22,$D$4,K$10,$D$5,$D$6,0)</f>
        <v>0.84574392541104015</v>
      </c>
      <c r="L22" s="1" cm="1">
        <f t="array" ref="L22">OptionDelta("C",$E22,$D$4,L$10,$D$5,$D$6,0)</f>
        <v>0.83165762889347106</v>
      </c>
      <c r="M22" s="1" cm="1">
        <f t="array" ref="M22">OptionDelta("C",$E22,$D$4,M$10,$D$5,$D$6,0)</f>
        <v>0.82002413987768763</v>
      </c>
      <c r="N22" s="1" cm="1">
        <f t="array" ref="N22">OptionDelta("C",$E22,$D$4,N$10,$D$5,$D$6,0)</f>
        <v>0.81027566906216286</v>
      </c>
      <c r="O22" s="1" cm="1">
        <f t="array" ref="O22">OptionDelta("C",$E22,$D$4,O$10,$D$5,$D$6,0)</f>
        <v>0.80200640740621953</v>
      </c>
      <c r="P22" s="1" cm="1">
        <f t="array" ref="P22">OptionDelta("C",$E22,$D$4,P$10,$D$5,$D$6,0)</f>
        <v>0.75998835998968672</v>
      </c>
      <c r="Q22" s="1" cm="1">
        <f t="array" ref="Q22">OptionDelta("C",$E22,$D$4,Q$10,$D$5,$D$6,0)</f>
        <v>0.74641976679143052</v>
      </c>
      <c r="R22" s="1" cm="1">
        <f t="array" ref="R22">OptionDelta("C",$E22,$D$4,R$10,$D$5,$D$6,0)</f>
        <v>0.74196163694002004</v>
      </c>
      <c r="S22" s="1" cm="1">
        <f t="array" ref="S22">OptionDelta("C",$E22,$D$4,S$10,$D$5,$D$6,0)</f>
        <v>0.74148404620256403</v>
      </c>
      <c r="W22" s="2">
        <f t="shared" si="7"/>
        <v>115</v>
      </c>
      <c r="X22" s="1" cm="1">
        <f t="array" ref="X22">OptionDelta("C",$E22,$D$4,X$10,$D$5,$D$7,0)</f>
        <v>0.99999603555087258</v>
      </c>
      <c r="Y22" s="1" cm="1">
        <f t="array" ref="Y22">OptionDelta("C",$E22,$D$4,Y$10,$D$5,$D$7,0)</f>
        <v>0.99929416451516662</v>
      </c>
      <c r="Z22" s="1" cm="1">
        <f t="array" ref="Z22">OptionDelta("C",$E22,$D$4,Z$10,$D$5,$D$7,0)</f>
        <v>0.99577886954542294</v>
      </c>
      <c r="AA22" s="1" cm="1">
        <f t="array" ref="AA22">OptionDelta("C",$E22,$D$4,AA$10,$D$5,$D$7,0)</f>
        <v>0.98940827229066197</v>
      </c>
      <c r="AB22" s="1" cm="1">
        <f t="array" ref="AB22">OptionDelta("C",$E22,$D$4,AB$10,$D$5,$D$7,0)</f>
        <v>0.98135607564044858</v>
      </c>
      <c r="AC22" s="1" cm="1">
        <f t="array" ref="AC22">OptionDelta("C",$E22,$D$4,AC$10,$D$5,$D$7,0)</f>
        <v>0.97260314455363983</v>
      </c>
      <c r="AD22" s="1" cm="1">
        <f t="array" ref="AD22">OptionDelta("C",$E22,$D$4,AD$10,$D$5,$D$7,0)</f>
        <v>0.96375065198429899</v>
      </c>
      <c r="AE22" s="1" cm="1">
        <f t="array" ref="AE22">OptionDelta("C",$E22,$D$4,AE$10,$D$5,$D$7,0)</f>
        <v>0.95512804158206499</v>
      </c>
      <c r="AF22" s="1" cm="1">
        <f t="array" ref="AF22">OptionDelta("C",$E22,$D$4,AF$10,$D$5,$D$7,0)</f>
        <v>0.94690122807155452</v>
      </c>
      <c r="AG22" s="1" cm="1">
        <f t="array" ref="AG22">OptionDelta("C",$E22,$D$4,AG$10,$D$5,$D$7,0)</f>
        <v>0.9391430239591263</v>
      </c>
      <c r="AH22" s="1" cm="1">
        <f t="array" ref="AH22">OptionDelta("C",$E22,$D$4,AH$10,$D$5,$D$7,0)</f>
        <v>0.88500763743571798</v>
      </c>
      <c r="AI22" s="1" cm="1">
        <f t="array" ref="AI22">OptionDelta("C",$E22,$D$4,AI$10,$D$5,$D$7,0)</f>
        <v>0.85695166013778001</v>
      </c>
      <c r="AJ22" s="1" cm="1">
        <f t="array" ref="AJ22">OptionDelta("C",$E22,$D$4,AJ$10,$D$5,$D$7,0)</f>
        <v>0.84105655977843707</v>
      </c>
      <c r="AK22" s="1" cm="1">
        <f t="array" ref="AK22">OptionDelta("C",$E22,$D$4,AK$10,$D$5,$D$7,0)</f>
        <v>0.83158425080253329</v>
      </c>
      <c r="AO22" s="2">
        <f t="shared" si="8"/>
        <v>115</v>
      </c>
      <c r="AP22" s="1" cm="1">
        <f t="array" ref="AP22">OptionDelta("C",$E22,$D$4,AP$10,$D$5,$D$8,0)</f>
        <v>0.9371394361344666</v>
      </c>
      <c r="AQ22" s="1" cm="1">
        <f t="array" ref="AQ22">OptionDelta("C",$E22,$D$4,AQ$10,$D$5,$D$8,0)</f>
        <v>0.86943263666792814</v>
      </c>
      <c r="AR22" s="1" cm="1">
        <f t="array" ref="AR22">OptionDelta("C",$E22,$D$4,AR$10,$D$5,$D$8,0)</f>
        <v>0.82919270948748747</v>
      </c>
      <c r="AS22" s="1" cm="1">
        <f t="array" ref="AS22">OptionDelta("C",$E22,$D$4,AS$10,$D$5,$D$8,0)</f>
        <v>0.80304840536517041</v>
      </c>
      <c r="AT22" s="1" cm="1">
        <f t="array" ref="AT22">OptionDelta("C",$E22,$D$4,AT$10,$D$5,$D$8,0)</f>
        <v>0.78479210831011448</v>
      </c>
      <c r="AU22" s="1" cm="1">
        <f t="array" ref="AU22">OptionDelta("C",$E22,$D$4,AU$10,$D$5,$D$8,0)</f>
        <v>0.77139506484411136</v>
      </c>
      <c r="AV22" s="1" cm="1">
        <f t="array" ref="AV22">OptionDelta("C",$E22,$D$4,AV$10,$D$5,$D$8,0)</f>
        <v>0.76121383901599127</v>
      </c>
      <c r="AW22" s="1" cm="1">
        <f t="array" ref="AW22">OptionDelta("C",$E22,$D$4,AW$10,$D$5,$D$8,0)</f>
        <v>0.75327765691030435</v>
      </c>
      <c r="AX22" s="1" cm="1">
        <f t="array" ref="AX22">OptionDelta("C",$E22,$D$4,AX$10,$D$5,$D$8,0)</f>
        <v>0.74697433142683922</v>
      </c>
      <c r="AY22" s="1" cm="1">
        <f t="array" ref="AY22">OptionDelta("C",$E22,$D$4,AY$10,$D$5,$D$8,0)</f>
        <v>0.74189753633829758</v>
      </c>
      <c r="AZ22" s="1" cm="1">
        <f t="array" ref="AZ22">OptionDelta("C",$E22,$D$4,AZ$10,$D$5,$D$8,0)</f>
        <v>0.72196690064701641</v>
      </c>
      <c r="BA22" s="1" cm="1">
        <f t="array" ref="BA22">OptionDelta("C",$E22,$D$4,BA$10,$D$5,$D$8,0)</f>
        <v>0.72123513401713546</v>
      </c>
      <c r="BB22" s="1" cm="1">
        <f t="array" ref="BB22">OptionDelta("C",$E22,$D$4,BB$10,$D$5,$D$8,0)</f>
        <v>0.72561465541937875</v>
      </c>
      <c r="BC22" s="1" cm="1">
        <f t="array" ref="BC22">OptionDelta("C",$E22,$D$4,BC$10,$D$5,$D$8,0)</f>
        <v>0.7318081009305093</v>
      </c>
    </row>
    <row r="23" spans="5:55" x14ac:dyDescent="0.3">
      <c r="E23" s="2">
        <f t="shared" si="6"/>
        <v>120</v>
      </c>
      <c r="F23" s="1" cm="1">
        <f t="array" ref="F23">OptionDelta("C",$E23,$D$4,F$10,$D$5,$D$6,0)</f>
        <v>0.99830623193923973</v>
      </c>
      <c r="G23" s="1" cm="1">
        <f t="array" ref="G23">OptionDelta("C",$E23,$D$4,G$10,$D$5,$D$6,0)</f>
        <v>0.9823760534317052</v>
      </c>
      <c r="H23" s="1" cm="1">
        <f t="array" ref="H23">OptionDelta("C",$E23,$D$4,H$10,$D$5,$D$6,0)</f>
        <v>0.95963958476134859</v>
      </c>
      <c r="I23" s="1" cm="1">
        <f t="array" ref="I23">OptionDelta("C",$E23,$D$4,I$10,$D$5,$D$6,0)</f>
        <v>0.93776106845399343</v>
      </c>
      <c r="J23" s="1" cm="1">
        <f t="array" ref="J23">OptionDelta("C",$E23,$D$4,J$10,$D$5,$D$6,0)</f>
        <v>0.91853340172068842</v>
      </c>
      <c r="K23" s="1" cm="1">
        <f t="array" ref="K23">OptionDelta("C",$E23,$D$4,K$10,$D$5,$D$6,0)</f>
        <v>0.90200659044195874</v>
      </c>
      <c r="L23" s="1" cm="1">
        <f t="array" ref="L23">OptionDelta("C",$E23,$D$4,L$10,$D$5,$D$6,0)</f>
        <v>0.88783196322373703</v>
      </c>
      <c r="M23" s="1" cm="1">
        <f t="array" ref="M23">OptionDelta("C",$E23,$D$4,M$10,$D$5,$D$6,0)</f>
        <v>0.87562125149536263</v>
      </c>
      <c r="N23" s="1" cm="1">
        <f t="array" ref="N23">OptionDelta("C",$E23,$D$4,N$10,$D$5,$D$6,0)</f>
        <v>0.86503450040480123</v>
      </c>
      <c r="O23" s="1" cm="1">
        <f t="array" ref="O23">OptionDelta("C",$E23,$D$4,O$10,$D$5,$D$6,0)</f>
        <v>0.85579311074329834</v>
      </c>
      <c r="P23" s="1" cm="1">
        <f t="array" ref="P23">OptionDelta("C",$E23,$D$4,P$10,$D$5,$D$6,0)</f>
        <v>0.80420462073819765</v>
      </c>
      <c r="Q23" s="1" cm="1">
        <f t="array" ref="Q23">OptionDelta("C",$E23,$D$4,Q$10,$D$5,$D$6,0)</f>
        <v>0.78410275921225248</v>
      </c>
      <c r="R23" s="1" cm="1">
        <f t="array" ref="R23">OptionDelta("C",$E23,$D$4,R$10,$D$5,$D$6,0)</f>
        <v>0.77511660853638908</v>
      </c>
      <c r="S23" s="1" cm="1">
        <f t="array" ref="S23">OptionDelta("C",$E23,$D$4,S$10,$D$5,$D$6,0)</f>
        <v>0.77128749032735988</v>
      </c>
      <c r="W23" s="2">
        <f t="shared" si="7"/>
        <v>120</v>
      </c>
      <c r="X23" s="1" cm="1">
        <f t="array" ref="X23">OptionDelta("C",$E23,$D$4,X$10,$D$5,$D$7,0)</f>
        <v>0.99999999693089381</v>
      </c>
      <c r="Y23" s="1" cm="1">
        <f t="array" ref="Y23">OptionDelta("C",$E23,$D$4,Y$10,$D$5,$D$7,0)</f>
        <v>0.9999829287565416</v>
      </c>
      <c r="Z23" s="1" cm="1">
        <f t="array" ref="Z23">OptionDelta("C",$E23,$D$4,Z$10,$D$5,$D$7,0)</f>
        <v>0.99967623132709926</v>
      </c>
      <c r="AA23" s="1" cm="1">
        <f t="array" ref="AA23">OptionDelta("C",$E23,$D$4,AA$10,$D$5,$D$7,0)</f>
        <v>0.99854754541412227</v>
      </c>
      <c r="AB23" s="1" cm="1">
        <f t="array" ref="AB23">OptionDelta("C",$E23,$D$4,AB$10,$D$5,$D$7,0)</f>
        <v>0.99636788743791604</v>
      </c>
      <c r="AC23" s="1" cm="1">
        <f t="array" ref="AC23">OptionDelta("C",$E23,$D$4,AC$10,$D$5,$D$7,0)</f>
        <v>0.99324341588079323</v>
      </c>
      <c r="AD23" s="1" cm="1">
        <f t="array" ref="AD23">OptionDelta("C",$E23,$D$4,AD$10,$D$5,$D$7,0)</f>
        <v>0.98940714410148023</v>
      </c>
      <c r="AE23" s="1" cm="1">
        <f t="array" ref="AE23">OptionDelta("C",$E23,$D$4,AE$10,$D$5,$D$7,0)</f>
        <v>0.98509406838389901</v>
      </c>
      <c r="AF23" s="1" cm="1">
        <f t="array" ref="AF23">OptionDelta("C",$E23,$D$4,AF$10,$D$5,$D$7,0)</f>
        <v>0.98049779905589118</v>
      </c>
      <c r="AG23" s="1" cm="1">
        <f t="array" ref="AG23">OptionDelta("C",$E23,$D$4,AG$10,$D$5,$D$7,0)</f>
        <v>0.9757644962341846</v>
      </c>
      <c r="AH23" s="1" cm="1">
        <f t="array" ref="AH23">OptionDelta("C",$E23,$D$4,AH$10,$D$5,$D$7,0)</f>
        <v>0.93336619424077227</v>
      </c>
      <c r="AI23" s="1" cm="1">
        <f t="array" ref="AI23">OptionDelta("C",$E23,$D$4,AI$10,$D$5,$D$7,0)</f>
        <v>0.90531441414396252</v>
      </c>
      <c r="AJ23" s="1" cm="1">
        <f t="array" ref="AJ23">OptionDelta("C",$E23,$D$4,AJ$10,$D$5,$D$7,0)</f>
        <v>0.88716872324765816</v>
      </c>
      <c r="AK23" s="1" cm="1">
        <f t="array" ref="AK23">OptionDelta("C",$E23,$D$4,AK$10,$D$5,$D$7,0)</f>
        <v>0.87508800250645269</v>
      </c>
      <c r="AO23" s="2">
        <f t="shared" si="8"/>
        <v>120</v>
      </c>
      <c r="AP23" s="1" cm="1">
        <f t="array" ref="AP23">OptionDelta("C",$E23,$D$4,AP$10,$D$5,$D$8,0)</f>
        <v>0.97613772992890591</v>
      </c>
      <c r="AQ23" s="1" cm="1">
        <f t="array" ref="AQ23">OptionDelta("C",$E23,$D$4,AQ$10,$D$5,$D$8,0)</f>
        <v>0.92519830817009863</v>
      </c>
      <c r="AR23" s="1" cm="1">
        <f t="array" ref="AR23">OptionDelta("C",$E23,$D$4,AR$10,$D$5,$D$8,0)</f>
        <v>0.88685853170876361</v>
      </c>
      <c r="AS23" s="1" cm="1">
        <f t="array" ref="AS23">OptionDelta("C",$E23,$D$4,AS$10,$D$5,$D$8,0)</f>
        <v>0.85923063815805933</v>
      </c>
      <c r="AT23" s="1" cm="1">
        <f t="array" ref="AT23">OptionDelta("C",$E23,$D$4,AT$10,$D$5,$D$8,0)</f>
        <v>0.83869492248144772</v>
      </c>
      <c r="AU23" s="1" cm="1">
        <f t="array" ref="AU23">OptionDelta("C",$E23,$D$4,AU$10,$D$5,$D$8,0)</f>
        <v>0.82293195018806276</v>
      </c>
      <c r="AV23" s="1" cm="1">
        <f t="array" ref="AV23">OptionDelta("C",$E23,$D$4,AV$10,$D$5,$D$8,0)</f>
        <v>0.81050916202186163</v>
      </c>
      <c r="AW23" s="1" cm="1">
        <f t="array" ref="AW23">OptionDelta("C",$E23,$D$4,AW$10,$D$5,$D$8,0)</f>
        <v>0.80051177059449707</v>
      </c>
      <c r="AX23" s="1" cm="1">
        <f t="array" ref="AX23">OptionDelta("C",$E23,$D$4,AX$10,$D$5,$D$8,0)</f>
        <v>0.79233157169098423</v>
      </c>
      <c r="AY23" s="1" cm="1">
        <f t="array" ref="AY23">OptionDelta("C",$E23,$D$4,AY$10,$D$5,$D$8,0)</f>
        <v>0.78554896929810647</v>
      </c>
      <c r="AZ23" s="1" cm="1">
        <f t="array" ref="AZ23">OptionDelta("C",$E23,$D$4,AZ$10,$D$5,$D$8,0)</f>
        <v>0.754591046066726</v>
      </c>
      <c r="BA23" s="1" cm="1">
        <f t="array" ref="BA23">OptionDelta("C",$E23,$D$4,BA$10,$D$5,$D$8,0)</f>
        <v>0.74806744044833073</v>
      </c>
      <c r="BB23" s="1" cm="1">
        <f t="array" ref="BB23">OptionDelta("C",$E23,$D$4,BB$10,$D$5,$D$8,0)</f>
        <v>0.74874189438577665</v>
      </c>
      <c r="BC23" s="1" cm="1">
        <f t="array" ref="BC23">OptionDelta("C",$E23,$D$4,BC$10,$D$5,$D$8,0)</f>
        <v>0.75229664733269386</v>
      </c>
    </row>
    <row r="24" spans="5:55" x14ac:dyDescent="0.3">
      <c r="E24" s="2">
        <f t="shared" si="6"/>
        <v>125</v>
      </c>
      <c r="F24" s="1" cm="1">
        <f t="array" ref="F24">OptionDelta("C",$E24,$D$4,F$10,$D$5,$D$6,0)</f>
        <v>0.99982531626414572</v>
      </c>
      <c r="G24" s="1" cm="1">
        <f t="array" ref="G24">OptionDelta("C",$E24,$D$4,G$10,$D$5,$D$6,0)</f>
        <v>0.99479497737862488</v>
      </c>
      <c r="H24" s="1" cm="1">
        <f t="array" ref="H24">OptionDelta("C",$E24,$D$4,H$10,$D$5,$D$6,0)</f>
        <v>0.98296199066116863</v>
      </c>
      <c r="I24" s="1" cm="1">
        <f t="array" ref="I24">OptionDelta("C",$E24,$D$4,I$10,$D$5,$D$6,0)</f>
        <v>0.96848451708238714</v>
      </c>
      <c r="J24" s="1" cm="1">
        <f t="array" ref="J24">OptionDelta("C",$E24,$D$4,J$10,$D$5,$D$6,0)</f>
        <v>0.95390232385199913</v>
      </c>
      <c r="K24" s="1" cm="1">
        <f t="array" ref="K24">OptionDelta("C",$E24,$D$4,K$10,$D$5,$D$6,0)</f>
        <v>0.9402142801511969</v>
      </c>
      <c r="L24" s="1" cm="1">
        <f t="array" ref="L24">OptionDelta("C",$E24,$D$4,L$10,$D$5,$D$6,0)</f>
        <v>0.92772250848626392</v>
      </c>
      <c r="M24" s="1" cm="1">
        <f t="array" ref="M24">OptionDelta("C",$E24,$D$4,M$10,$D$5,$D$6,0)</f>
        <v>0.91644879859772543</v>
      </c>
      <c r="N24" s="1" cm="1">
        <f t="array" ref="N24">OptionDelta("C",$E24,$D$4,N$10,$D$5,$D$6,0)</f>
        <v>0.90631047116941144</v>
      </c>
      <c r="O24" s="1" cm="1">
        <f t="array" ref="O24">OptionDelta("C",$E24,$D$4,O$10,$D$5,$D$6,0)</f>
        <v>0.89719292559733332</v>
      </c>
      <c r="P24" s="1" cm="1">
        <f t="array" ref="P24">OptionDelta("C",$E24,$D$4,P$10,$D$5,$D$6,0)</f>
        <v>0.84160197553171501</v>
      </c>
      <c r="Q24" s="1" cm="1">
        <f t="array" ref="Q24">OptionDelta("C",$E24,$D$4,Q$10,$D$5,$D$6,0)</f>
        <v>0.81699370064357868</v>
      </c>
      <c r="R24" s="1" cm="1">
        <f t="array" ref="R24">OptionDelta("C",$E24,$D$4,R$10,$D$5,$D$6,0)</f>
        <v>0.80451480332788361</v>
      </c>
      <c r="S24" s="1" cm="1">
        <f t="array" ref="S24">OptionDelta("C",$E24,$D$4,S$10,$D$5,$D$6,0)</f>
        <v>0.79796496558691377</v>
      </c>
      <c r="W24" s="2">
        <f t="shared" si="7"/>
        <v>125</v>
      </c>
      <c r="X24" s="1" cm="1">
        <f t="array" ref="X24">OptionDelta("C",$E24,$D$4,X$10,$D$5,$D$7,0)</f>
        <v>0.99999999999939337</v>
      </c>
      <c r="Y24" s="1" cm="1">
        <f t="array" ref="Y24">OptionDelta("C",$E24,$D$4,Y$10,$D$5,$D$7,0)</f>
        <v>0.99999978673956835</v>
      </c>
      <c r="Z24" s="1" cm="1">
        <f t="array" ref="Z24">OptionDelta("C",$E24,$D$4,Z$10,$D$5,$D$7,0)</f>
        <v>0.99998381961018046</v>
      </c>
      <c r="AA24" s="1" cm="1">
        <f t="array" ref="AA24">OptionDelta("C",$E24,$D$4,AA$10,$D$5,$D$7,0)</f>
        <v>0.99985444081884667</v>
      </c>
      <c r="AB24" s="1" cm="1">
        <f t="array" ref="AB24">OptionDelta("C",$E24,$D$4,AB$10,$D$5,$D$7,0)</f>
        <v>0.99944644902317548</v>
      </c>
      <c r="AC24" s="1" cm="1">
        <f t="array" ref="AC24">OptionDelta("C",$E24,$D$4,AC$10,$D$5,$D$7,0)</f>
        <v>0.99863656915944365</v>
      </c>
      <c r="AD24" s="1" cm="1">
        <f t="array" ref="AD24">OptionDelta("C",$E24,$D$4,AD$10,$D$5,$D$7,0)</f>
        <v>0.9973854793151351</v>
      </c>
      <c r="AE24" s="1" cm="1">
        <f t="array" ref="AE24">OptionDelta("C",$E24,$D$4,AE$10,$D$5,$D$7,0)</f>
        <v>0.99571799089194879</v>
      </c>
      <c r="AF24" s="1" cm="1">
        <f t="array" ref="AF24">OptionDelta("C",$E24,$D$4,AF$10,$D$5,$D$7,0)</f>
        <v>0.99369223383243865</v>
      </c>
      <c r="AG24" s="1" cm="1">
        <f t="array" ref="AG24">OptionDelta("C",$E24,$D$4,AG$10,$D$5,$D$7,0)</f>
        <v>0.9913773450413681</v>
      </c>
      <c r="AH24" s="1" cm="1">
        <f t="array" ref="AH24">OptionDelta("C",$E24,$D$4,AH$10,$D$5,$D$7,0)</f>
        <v>0.96327265988008681</v>
      </c>
      <c r="AI24" s="1" cm="1">
        <f t="array" ref="AI24">OptionDelta("C",$E24,$D$4,AI$10,$D$5,$D$7,0)</f>
        <v>0.9392042006984751</v>
      </c>
      <c r="AJ24" s="1" cm="1">
        <f t="array" ref="AJ24">OptionDelta("C",$E24,$D$4,AJ$10,$D$5,$D$7,0)</f>
        <v>0.9215709212989972</v>
      </c>
      <c r="AK24" s="1" cm="1">
        <f t="array" ref="AK24">OptionDelta("C",$E24,$D$4,AK$10,$D$5,$D$7,0)</f>
        <v>0.90878962693226017</v>
      </c>
      <c r="AO24" s="2">
        <f t="shared" si="8"/>
        <v>125</v>
      </c>
      <c r="AP24" s="1" cm="1">
        <f t="array" ref="AP24">OptionDelta("C",$E24,$D$4,AP$10,$D$5,$D$8,0)</f>
        <v>0.99202624587419741</v>
      </c>
      <c r="AQ24" s="1" cm="1">
        <f t="array" ref="AQ24">OptionDelta("C",$E24,$D$4,AQ$10,$D$5,$D$8,0)</f>
        <v>0.95952522958374731</v>
      </c>
      <c r="AR24" s="1" cm="1">
        <f t="array" ref="AR24">OptionDelta("C",$E24,$D$4,AR$10,$D$5,$D$8,0)</f>
        <v>0.92763817410360494</v>
      </c>
      <c r="AS24" s="1" cm="1">
        <f t="array" ref="AS24">OptionDelta("C",$E24,$D$4,AS$10,$D$5,$D$8,0)</f>
        <v>0.90182488378357173</v>
      </c>
      <c r="AT24" s="1" cm="1">
        <f t="array" ref="AT24">OptionDelta("C",$E24,$D$4,AT$10,$D$5,$D$8,0)</f>
        <v>0.8813068623898227</v>
      </c>
      <c r="AU24" s="1" cm="1">
        <f t="array" ref="AU24">OptionDelta("C",$E24,$D$4,AU$10,$D$5,$D$8,0)</f>
        <v>0.86482705141973804</v>
      </c>
      <c r="AV24" s="1" cm="1">
        <f t="array" ref="AV24">OptionDelta("C",$E24,$D$4,AV$10,$D$5,$D$8,0)</f>
        <v>0.85138984659601924</v>
      </c>
      <c r="AW24" s="1" cm="1">
        <f t="array" ref="AW24">OptionDelta("C",$E24,$D$4,AW$10,$D$5,$D$8,0)</f>
        <v>0.84027414396084255</v>
      </c>
      <c r="AX24" s="1" cm="1">
        <f t="array" ref="AX24">OptionDelta("C",$E24,$D$4,AX$10,$D$5,$D$8,0)</f>
        <v>0.83096150825161674</v>
      </c>
      <c r="AY24" s="1" cm="1">
        <f t="array" ref="AY24">OptionDelta("C",$E24,$D$4,AY$10,$D$5,$D$8,0)</f>
        <v>0.82307441711333773</v>
      </c>
      <c r="AZ24" s="1" cm="1">
        <f t="array" ref="AZ24">OptionDelta("C",$E24,$D$4,AZ$10,$D$5,$D$8,0)</f>
        <v>0.78383972120701739</v>
      </c>
      <c r="BA24" s="1" cm="1">
        <f t="array" ref="BA24">OptionDelta("C",$E24,$D$4,BA$10,$D$5,$D$8,0)</f>
        <v>0.77246297183665924</v>
      </c>
      <c r="BB24" s="1" cm="1">
        <f t="array" ref="BB24">OptionDelta("C",$E24,$D$4,BB$10,$D$5,$D$8,0)</f>
        <v>0.76991671192728905</v>
      </c>
      <c r="BC24" s="1" cm="1">
        <f t="array" ref="BC24">OptionDelta("C",$E24,$D$4,BC$10,$D$5,$D$8,0)</f>
        <v>0.77113459229413017</v>
      </c>
    </row>
    <row r="25" spans="5:55" x14ac:dyDescent="0.3">
      <c r="E25" s="2">
        <f t="shared" si="6"/>
        <v>130</v>
      </c>
      <c r="F25" s="1" cm="1">
        <f t="array" ref="F25">OptionDelta("C",$E25,$D$4,F$10,$D$5,$D$6,0)</f>
        <v>0.99998640314018139</v>
      </c>
      <c r="G25" s="1" cm="1">
        <f t="array" ref="G25">OptionDelta("C",$E25,$D$4,G$10,$D$5,$D$6,0)</f>
        <v>0.99865188998007925</v>
      </c>
      <c r="H25" s="1" cm="1">
        <f t="array" ref="H25">OptionDelta("C",$E25,$D$4,H$10,$D$5,$D$6,0)</f>
        <v>0.99337921785148087</v>
      </c>
      <c r="I25" s="1" cm="1">
        <f t="array" ref="I25">OptionDelta("C",$E25,$D$4,I$10,$D$5,$D$6,0)</f>
        <v>0.98496017489321974</v>
      </c>
      <c r="J25" s="1" cm="1">
        <f t="array" ref="J25">OptionDelta("C",$E25,$D$4,J$10,$D$5,$D$6,0)</f>
        <v>0.97507573833647321</v>
      </c>
      <c r="K25" s="1" cm="1">
        <f t="array" ref="K25">OptionDelta("C",$E25,$D$4,K$10,$D$5,$D$6,0)</f>
        <v>0.96483221684018183</v>
      </c>
      <c r="L25" s="1" cm="1">
        <f t="array" ref="L25">OptionDelta("C",$E25,$D$4,L$10,$D$5,$D$6,0)</f>
        <v>0.95481273623086027</v>
      </c>
      <c r="M25" s="1" cm="1">
        <f t="array" ref="M25">OptionDelta("C",$E25,$D$4,M$10,$D$5,$D$6,0)</f>
        <v>0.9452921469955603</v>
      </c>
      <c r="N25" s="1" cm="1">
        <f t="array" ref="N25">OptionDelta("C",$E25,$D$4,N$10,$D$5,$D$6,0)</f>
        <v>0.93638087415065951</v>
      </c>
      <c r="O25" s="1" cm="1">
        <f t="array" ref="O25">OptionDelta("C",$E25,$D$4,O$10,$D$5,$D$6,0)</f>
        <v>0.92810491023994279</v>
      </c>
      <c r="P25" s="1" cm="1">
        <f t="array" ref="P25">OptionDelta("C",$E25,$D$4,P$10,$D$5,$D$6,0)</f>
        <v>0.87280055331254425</v>
      </c>
      <c r="Q25" s="1" cm="1">
        <f t="array" ref="Q25">OptionDelta("C",$E25,$D$4,Q$10,$D$5,$D$6,0)</f>
        <v>0.84546800175065795</v>
      </c>
      <c r="R25" s="1" cm="1">
        <f t="array" ref="R25">OptionDelta("C",$E25,$D$4,R$10,$D$5,$D$6,0)</f>
        <v>0.83044131386615572</v>
      </c>
      <c r="S25" s="1" cm="1">
        <f t="array" ref="S25">OptionDelta("C",$E25,$D$4,S$10,$D$5,$D$6,0)</f>
        <v>0.82175514850703979</v>
      </c>
      <c r="W25" s="2">
        <f t="shared" si="7"/>
        <v>130</v>
      </c>
      <c r="X25" s="1" cm="1">
        <f t="array" ref="X25">OptionDelta("C",$E25,$D$4,X$10,$D$5,$D$7,0)</f>
        <v>1</v>
      </c>
      <c r="Y25" s="1" cm="1">
        <f t="array" ref="Y25">OptionDelta("C",$E25,$D$4,Y$10,$D$5,$D$7,0)</f>
        <v>0.99999999851931465</v>
      </c>
      <c r="Z25" s="1" cm="1">
        <f t="array" ref="Z25">OptionDelta("C",$E25,$D$4,Z$10,$D$5,$D$7,0)</f>
        <v>0.99999944833507226</v>
      </c>
      <c r="AA25" s="1" cm="1">
        <f t="array" ref="AA25">OptionDelta("C",$E25,$D$4,AA$10,$D$5,$D$7,0)</f>
        <v>0.99998898282504689</v>
      </c>
      <c r="AB25" s="1" cm="1">
        <f t="array" ref="AB25">OptionDelta("C",$E25,$D$4,AB$10,$D$5,$D$7,0)</f>
        <v>0.99993230917992704</v>
      </c>
      <c r="AC25" s="1" cm="1">
        <f t="array" ref="AC25">OptionDelta("C",$E25,$D$4,AC$10,$D$5,$D$7,0)</f>
        <v>0.99977023212247085</v>
      </c>
      <c r="AD25" s="1" cm="1">
        <f t="array" ref="AD25">OptionDelta("C",$E25,$D$4,AD$10,$D$5,$D$7,0)</f>
        <v>0.99944558802202021</v>
      </c>
      <c r="AE25" s="1" cm="1">
        <f t="array" ref="AE25">OptionDelta("C",$E25,$D$4,AE$10,$D$5,$D$7,0)</f>
        <v>0.99892066116278744</v>
      </c>
      <c r="AF25" s="1" cm="1">
        <f t="array" ref="AF25">OptionDelta("C",$E25,$D$4,AF$10,$D$5,$D$7,0)</f>
        <v>0.99818047109526631</v>
      </c>
      <c r="AG25" s="1" cm="1">
        <f t="array" ref="AG25">OptionDelta("C",$E25,$D$4,AG$10,$D$5,$D$7,0)</f>
        <v>0.99722837337629622</v>
      </c>
      <c r="AH25" s="1" cm="1">
        <f t="array" ref="AH25">OptionDelta("C",$E25,$D$4,AH$10,$D$5,$D$7,0)</f>
        <v>0.9806483495408157</v>
      </c>
      <c r="AI25" s="1" cm="1">
        <f t="array" ref="AI25">OptionDelta("C",$E25,$D$4,AI$10,$D$5,$D$7,0)</f>
        <v>0.96201541129490264</v>
      </c>
      <c r="AJ25" s="1" cm="1">
        <f t="array" ref="AJ25">OptionDelta("C",$E25,$D$4,AJ$10,$D$5,$D$7,0)</f>
        <v>0.94649958655795841</v>
      </c>
      <c r="AK25" s="1" cm="1">
        <f t="array" ref="AK25">OptionDelta("C",$E25,$D$4,AK$10,$D$5,$D$7,0)</f>
        <v>0.93431723431540992</v>
      </c>
      <c r="AO25" s="2">
        <f t="shared" si="8"/>
        <v>130</v>
      </c>
      <c r="AP25" s="1" cm="1">
        <f t="array" ref="AP25">OptionDelta("C",$E25,$D$4,AP$10,$D$5,$D$8,0)</f>
        <v>0.9976251547967403</v>
      </c>
      <c r="AQ25" s="1" cm="1">
        <f t="array" ref="AQ25">OptionDelta("C",$E25,$D$4,AQ$10,$D$5,$D$8,0)</f>
        <v>0.97920186730211123</v>
      </c>
      <c r="AR25" s="1" cm="1">
        <f t="array" ref="AR25">OptionDelta("C",$E25,$D$4,AR$10,$D$5,$D$8,0)</f>
        <v>0.95516243259384059</v>
      </c>
      <c r="AS25" s="1" cm="1">
        <f t="array" ref="AS25">OptionDelta("C",$E25,$D$4,AS$10,$D$5,$D$8,0)</f>
        <v>0.93302831921275364</v>
      </c>
      <c r="AT25" s="1" cm="1">
        <f t="array" ref="AT25">OptionDelta("C",$E25,$D$4,AT$10,$D$5,$D$8,0)</f>
        <v>0.91409849026161683</v>
      </c>
      <c r="AU25" s="1" cm="1">
        <f t="array" ref="AU25">OptionDelta("C",$E25,$D$4,AU$10,$D$5,$D$8,0)</f>
        <v>0.89814375452956496</v>
      </c>
      <c r="AV25" s="1" cm="1">
        <f t="array" ref="AV25">OptionDelta("C",$E25,$D$4,AV$10,$D$5,$D$8,0)</f>
        <v>0.8846722298971994</v>
      </c>
      <c r="AW25" s="1" cm="1">
        <f t="array" ref="AW25">OptionDelta("C",$E25,$D$4,AW$10,$D$5,$D$8,0)</f>
        <v>0.87322148228571717</v>
      </c>
      <c r="AX25" s="1" cm="1">
        <f t="array" ref="AX25">OptionDelta("C",$E25,$D$4,AX$10,$D$5,$D$8,0)</f>
        <v>0.86341232176687477</v>
      </c>
      <c r="AY25" s="1" cm="1">
        <f t="array" ref="AY25">OptionDelta("C",$E25,$D$4,AY$10,$D$5,$D$8,0)</f>
        <v>0.85494512380940124</v>
      </c>
      <c r="AZ25" s="1" cm="1">
        <f t="array" ref="AZ25">OptionDelta("C",$E25,$D$4,AZ$10,$D$5,$D$8,0)</f>
        <v>0.80993885351262629</v>
      </c>
      <c r="BA25" s="1" cm="1">
        <f t="array" ref="BA25">OptionDelta("C",$E25,$D$4,BA$10,$D$5,$D$8,0)</f>
        <v>0.79459325631183764</v>
      </c>
      <c r="BB25" s="1" cm="1">
        <f t="array" ref="BB25">OptionDelta("C",$E25,$D$4,BB$10,$D$5,$D$8,0)</f>
        <v>0.78928431354169604</v>
      </c>
      <c r="BC25" s="1" cm="1">
        <f t="array" ref="BC25">OptionDelta("C",$E25,$D$4,BC$10,$D$5,$D$8,0)</f>
        <v>0.78845019812977468</v>
      </c>
    </row>
    <row r="26" spans="5:55" x14ac:dyDescent="0.3">
      <c r="E26" s="2">
        <f t="shared" si="6"/>
        <v>135</v>
      </c>
      <c r="F26" s="1" cm="1">
        <f t="array" ref="F26">OptionDelta("C",$E26,$D$4,F$10,$D$5,$D$6,0)</f>
        <v>0.99999917643923686</v>
      </c>
      <c r="G26" s="1" cm="1">
        <f t="array" ref="G26">OptionDelta("C",$E26,$D$4,G$10,$D$5,$D$6,0)</f>
        <v>0.99968959215435294</v>
      </c>
      <c r="H26" s="1" cm="1">
        <f t="array" ref="H26">OptionDelta("C",$E26,$D$4,H$10,$D$5,$D$6,0)</f>
        <v>0.99761170131759624</v>
      </c>
      <c r="I26" s="1" cm="1">
        <f t="array" ref="I26">OptionDelta("C",$E26,$D$4,I$10,$D$5,$D$6,0)</f>
        <v>0.99319515409537595</v>
      </c>
      <c r="J26" s="1" cm="1">
        <f t="array" ref="J26">OptionDelta("C",$E26,$D$4,J$10,$D$5,$D$6,0)</f>
        <v>0.987063941065492</v>
      </c>
      <c r="K26" s="1" cm="1">
        <f t="array" ref="K26">OptionDelta("C",$E26,$D$4,K$10,$D$5,$D$6,0)</f>
        <v>0.97998098357938546</v>
      </c>
      <c r="L26" s="1" cm="1">
        <f t="array" ref="L26">OptionDelta("C",$E26,$D$4,L$10,$D$5,$D$6,0)</f>
        <v>0.97250574341060869</v>
      </c>
      <c r="M26" s="1" cm="1">
        <f t="array" ref="M26">OptionDelta("C",$E26,$D$4,M$10,$D$5,$D$6,0)</f>
        <v>0.9649914282191755</v>
      </c>
      <c r="N26" s="1" cm="1">
        <f t="array" ref="N26">OptionDelta("C",$E26,$D$4,N$10,$D$5,$D$6,0)</f>
        <v>0.95764540824748623</v>
      </c>
      <c r="O26" s="1" cm="1">
        <f t="array" ref="O26">OptionDelta("C",$E26,$D$4,O$10,$D$5,$D$6,0)</f>
        <v>0.95058198959185258</v>
      </c>
      <c r="P26" s="1" cm="1">
        <f t="array" ref="P26">OptionDelta("C",$E26,$D$4,P$10,$D$5,$D$6,0)</f>
        <v>0.89851971842195577</v>
      </c>
      <c r="Q26" s="1" cm="1">
        <f t="array" ref="Q26">OptionDelta("C",$E26,$D$4,Q$10,$D$5,$D$6,0)</f>
        <v>0.86994580030636615</v>
      </c>
      <c r="R26" s="1" cm="1">
        <f t="array" ref="R26">OptionDelta("C",$E26,$D$4,R$10,$D$5,$D$6,0)</f>
        <v>0.85320104521339801</v>
      </c>
      <c r="S26" s="1" cm="1">
        <f t="array" ref="S26">OptionDelta("C",$E26,$D$4,S$10,$D$5,$D$6,0)</f>
        <v>0.8429039016580514</v>
      </c>
      <c r="W26" s="2">
        <f t="shared" si="7"/>
        <v>135</v>
      </c>
      <c r="X26" s="1" cm="1">
        <f t="array" ref="X26">OptionDelta("C",$E26,$D$4,X$10,$D$5,$D$7,0)</f>
        <v>1</v>
      </c>
      <c r="Y26" s="1" cm="1">
        <f t="array" ref="Y26">OptionDelta("C",$E26,$D$4,Y$10,$D$5,$D$7,0)</f>
        <v>0.99999999999389166</v>
      </c>
      <c r="Z26" s="1" cm="1">
        <f t="array" ref="Z26">OptionDelta("C",$E26,$D$4,Z$10,$D$5,$D$7,0)</f>
        <v>0.9999999866108833</v>
      </c>
      <c r="AA26" s="1" cm="1">
        <f t="array" ref="AA26">OptionDelta("C",$E26,$D$4,AA$10,$D$5,$D$7,0)</f>
        <v>0.99999935060366185</v>
      </c>
      <c r="AB26" s="1" cm="1">
        <f t="array" ref="AB26">OptionDelta("C",$E26,$D$4,AB$10,$D$5,$D$7,0)</f>
        <v>0.99999319889057736</v>
      </c>
      <c r="AC26" s="1" cm="1">
        <f t="array" ref="AC26">OptionDelta("C",$E26,$D$4,AC$10,$D$5,$D$7,0)</f>
        <v>0.99996703614043125</v>
      </c>
      <c r="AD26" s="1" cm="1">
        <f t="array" ref="AD26">OptionDelta("C",$E26,$D$4,AD$10,$D$5,$D$7,0)</f>
        <v>0.99989736258573836</v>
      </c>
      <c r="AE26" s="1" cm="1">
        <f t="array" ref="AE26">OptionDelta("C",$E26,$D$4,AE$10,$D$5,$D$7,0)</f>
        <v>0.99975797900363672</v>
      </c>
      <c r="AF26" s="1" cm="1">
        <f t="array" ref="AF26">OptionDelta("C",$E26,$D$4,AF$10,$D$5,$D$7,0)</f>
        <v>0.99952627336039468</v>
      </c>
      <c r="AG26" s="1" cm="1">
        <f t="array" ref="AG26">OptionDelta("C",$E26,$D$4,AG$10,$D$5,$D$7,0)</f>
        <v>0.99918656546080542</v>
      </c>
      <c r="AH26" s="1" cm="1">
        <f t="array" ref="AH26">OptionDelta("C",$E26,$D$4,AH$10,$D$5,$D$7,0)</f>
        <v>0.99020716359662175</v>
      </c>
      <c r="AI26" s="1" cm="1">
        <f t="array" ref="AI26">OptionDelta("C",$E26,$D$4,AI$10,$D$5,$D$7,0)</f>
        <v>0.97683982081086107</v>
      </c>
      <c r="AJ26" s="1" cm="1">
        <f t="array" ref="AJ26">OptionDelta("C",$E26,$D$4,AJ$10,$D$5,$D$7,0)</f>
        <v>0.9641109494110095</v>
      </c>
      <c r="AK26" s="1" cm="1">
        <f t="array" ref="AK26">OptionDelta("C",$E26,$D$4,AK$10,$D$5,$D$7,0)</f>
        <v>0.9532794554679479</v>
      </c>
      <c r="AO26" s="2">
        <f t="shared" si="8"/>
        <v>135</v>
      </c>
      <c r="AP26" s="1" cm="1">
        <f t="array" ref="AP26">OptionDelta("C",$E26,$D$4,AP$10,$D$5,$D$8,0)</f>
        <v>0.99936207053892745</v>
      </c>
      <c r="AQ26" s="1" cm="1">
        <f t="array" ref="AQ26">OptionDelta("C",$E26,$D$4,AQ$10,$D$5,$D$8,0)</f>
        <v>0.98979805440371849</v>
      </c>
      <c r="AR26" s="1" cm="1">
        <f t="array" ref="AR26">OptionDelta("C",$E26,$D$4,AR$10,$D$5,$D$8,0)</f>
        <v>0.97299735807546184</v>
      </c>
      <c r="AS26" s="1" cm="1">
        <f t="array" ref="AS26">OptionDelta("C",$E26,$D$4,AS$10,$D$5,$D$8,0)</f>
        <v>0.95521216048553548</v>
      </c>
      <c r="AT26" s="1" cm="1">
        <f t="array" ref="AT26">OptionDelta("C",$E26,$D$4,AT$10,$D$5,$D$8,0)</f>
        <v>0.93874735257652986</v>
      </c>
      <c r="AU26" s="1" cm="1">
        <f t="array" ref="AU26">OptionDelta("C",$E26,$D$4,AU$10,$D$5,$D$8,0)</f>
        <v>0.92413592245152854</v>
      </c>
      <c r="AV26" s="1" cm="1">
        <f t="array" ref="AV26">OptionDelta("C",$E26,$D$4,AV$10,$D$5,$D$8,0)</f>
        <v>0.91133681457196536</v>
      </c>
      <c r="AW26" s="1" cm="1">
        <f t="array" ref="AW26">OptionDelta("C",$E26,$D$4,AW$10,$D$5,$D$8,0)</f>
        <v>0.90014918606468963</v>
      </c>
      <c r="AX26" s="1" cm="1">
        <f t="array" ref="AX26">OptionDelta("C",$E26,$D$4,AX$10,$D$5,$D$8,0)</f>
        <v>0.89034882296294016</v>
      </c>
      <c r="AY26" s="1" cm="1">
        <f t="array" ref="AY26">OptionDelta("C",$E26,$D$4,AY$10,$D$5,$D$8,0)</f>
        <v>0.88173051157264637</v>
      </c>
      <c r="AZ26" s="1" cm="1">
        <f t="array" ref="AZ26">OptionDelta("C",$E26,$D$4,AZ$10,$D$5,$D$8,0)</f>
        <v>0.83313443249219921</v>
      </c>
      <c r="BA26" s="1" cm="1">
        <f t="array" ref="BA26">OptionDelta("C",$E26,$D$4,BA$10,$D$5,$D$8,0)</f>
        <v>0.81463163438593589</v>
      </c>
      <c r="BB26" s="1" cm="1">
        <f t="array" ref="BB26">OptionDelta("C",$E26,$D$4,BB$10,$D$5,$D$8,0)</f>
        <v>0.80698542949219532</v>
      </c>
      <c r="BC26" s="1" cm="1">
        <f t="array" ref="BC26">OptionDelta("C",$E26,$D$4,BC$10,$D$5,$D$8,0)</f>
        <v>0.80436467483037943</v>
      </c>
    </row>
    <row r="27" spans="5:55" x14ac:dyDescent="0.3">
      <c r="E27" s="2">
        <f t="shared" si="6"/>
        <v>140</v>
      </c>
      <c r="F27" s="1" cm="1">
        <f t="array" ref="F27">OptionDelta("C",$E27,$D$4,F$10,$D$5,$D$6,0)</f>
        <v>0.99999996008829672</v>
      </c>
      <c r="G27" s="1" cm="1">
        <f t="array" ref="G27">OptionDelta("C",$E27,$D$4,G$10,$D$5,$D$6,0)</f>
        <v>0.99993565599706147</v>
      </c>
      <c r="H27" s="1" cm="1">
        <f t="array" ref="H27">OptionDelta("C",$E27,$D$4,H$10,$D$5,$D$6,0)</f>
        <v>0.99919396953371908</v>
      </c>
      <c r="I27" s="1" cm="1">
        <f t="array" ref="I27">OptionDelta("C",$E27,$D$4,I$10,$D$5,$D$6,0)</f>
        <v>0.99706463005532564</v>
      </c>
      <c r="J27" s="1" cm="1">
        <f t="array" ref="J27">OptionDelta("C",$E27,$D$4,J$10,$D$5,$D$6,0)</f>
        <v>0.9935275944696309</v>
      </c>
      <c r="K27" s="1" cm="1">
        <f t="array" ref="K27">OptionDelta("C",$E27,$D$4,K$10,$D$5,$D$6,0)</f>
        <v>0.98893439681623385</v>
      </c>
      <c r="L27" s="1" cm="1">
        <f t="array" ref="L27">OptionDelta("C",$E27,$D$4,L$10,$D$5,$D$6,0)</f>
        <v>0.98367272820713014</v>
      </c>
      <c r="M27" s="1" cm="1">
        <f t="array" ref="M27">OptionDelta("C",$E27,$D$4,M$10,$D$5,$D$6,0)</f>
        <v>0.97805296953813903</v>
      </c>
      <c r="N27" s="1" cm="1">
        <f t="array" ref="N27">OptionDelta("C",$E27,$D$4,N$10,$D$5,$D$6,0)</f>
        <v>0.97229624527713165</v>
      </c>
      <c r="O27" s="1" cm="1">
        <f t="array" ref="O27">OptionDelta("C",$E27,$D$4,O$10,$D$5,$D$6,0)</f>
        <v>0.96655118639654458</v>
      </c>
      <c r="P27" s="1" cm="1">
        <f t="array" ref="P27">OptionDelta("C",$E27,$D$4,P$10,$D$5,$D$6,0)</f>
        <v>0.91950370400292614</v>
      </c>
      <c r="Q27" s="1" cm="1">
        <f t="array" ref="Q27">OptionDelta("C",$E27,$D$4,Q$10,$D$5,$D$6,0)</f>
        <v>0.89086087651205026</v>
      </c>
      <c r="R27" s="1" cm="1">
        <f t="array" ref="R27">OptionDelta("C",$E27,$D$4,R$10,$D$5,$D$6,0)</f>
        <v>0.87310261037867953</v>
      </c>
      <c r="S27" s="1" cm="1">
        <f t="array" ref="S27">OptionDelta("C",$E27,$D$4,S$10,$D$5,$D$6,0)</f>
        <v>0.86165498136593754</v>
      </c>
      <c r="W27" s="2">
        <f t="shared" si="7"/>
        <v>140</v>
      </c>
      <c r="X27" s="1" cm="1">
        <f t="array" ref="X27">OptionDelta("C",$E27,$D$4,X$10,$D$5,$D$7,0)</f>
        <v>1</v>
      </c>
      <c r="Y27" s="1" cm="1">
        <f t="array" ref="Y27">OptionDelta("C",$E27,$D$4,Y$10,$D$5,$D$7,0)</f>
        <v>0.99999999999998412</v>
      </c>
      <c r="Z27" s="1" cm="1">
        <f t="array" ref="Z27">OptionDelta("C",$E27,$D$4,Z$10,$D$5,$D$7,0)</f>
        <v>0.99999999975964071</v>
      </c>
      <c r="AA27" s="1" cm="1">
        <f t="array" ref="AA27">OptionDelta("C",$E27,$D$4,AA$10,$D$5,$D$7,0)</f>
        <v>0.99999996934905533</v>
      </c>
      <c r="AB27" s="1" cm="1">
        <f t="array" ref="AB27">OptionDelta("C",$E27,$D$4,AB$10,$D$5,$D$7,0)</f>
        <v>0.99999942627332528</v>
      </c>
      <c r="AC27" s="1" cm="1">
        <f t="array" ref="AC27">OptionDelta("C",$E27,$D$4,AC$10,$D$5,$D$7,0)</f>
        <v>0.99999590254116577</v>
      </c>
      <c r="AD27" s="1" cm="1">
        <f t="array" ref="AD27">OptionDelta("C",$E27,$D$4,AD$10,$D$5,$D$7,0)</f>
        <v>0.99998316518966346</v>
      </c>
      <c r="AE27" s="1" cm="1">
        <f t="array" ref="AE27">OptionDelta("C",$E27,$D$4,AE$10,$D$5,$D$7,0)</f>
        <v>0.99995111048223762</v>
      </c>
      <c r="AF27" s="1" cm="1">
        <f t="array" ref="AF27">OptionDelta("C",$E27,$D$4,AF$10,$D$5,$D$7,0)</f>
        <v>0.99988744523010076</v>
      </c>
      <c r="AG27" s="1" cm="1">
        <f t="array" ref="AG27">OptionDelta("C",$E27,$D$4,AG$10,$D$5,$D$7,0)</f>
        <v>0.99977989302522097</v>
      </c>
      <c r="AH27" s="1" cm="1">
        <f t="array" ref="AH27">OptionDelta("C",$E27,$D$4,AH$10,$D$5,$D$7,0)</f>
        <v>0.99521999012116835</v>
      </c>
      <c r="AI27" s="1" cm="1">
        <f t="array" ref="AI27">OptionDelta("C",$E27,$D$4,AI$10,$D$5,$D$7,0)</f>
        <v>0.98618256040797059</v>
      </c>
      <c r="AJ27" s="1" cm="1">
        <f t="array" ref="AJ27">OptionDelta("C",$E27,$D$4,AJ$10,$D$5,$D$7,0)</f>
        <v>0.97628058460472156</v>
      </c>
      <c r="AK27" s="1" cm="1">
        <f t="array" ref="AK27">OptionDelta("C",$E27,$D$4,AK$10,$D$5,$D$7,0)</f>
        <v>0.96712760884191817</v>
      </c>
      <c r="AO27" s="2">
        <f t="shared" si="8"/>
        <v>140</v>
      </c>
      <c r="AP27" s="1" cm="1">
        <f t="array" ref="AP27">OptionDelta("C",$E27,$D$4,AP$10,$D$5,$D$8,0)</f>
        <v>0.99984374547949573</v>
      </c>
      <c r="AQ27" s="1" cm="1">
        <f t="array" ref="AQ27">OptionDelta("C",$E27,$D$4,AQ$10,$D$5,$D$8,0)</f>
        <v>0.99519988085741351</v>
      </c>
      <c r="AR27" s="1" cm="1">
        <f t="array" ref="AR27">OptionDelta("C",$E27,$D$4,AR$10,$D$5,$D$8,0)</f>
        <v>0.98414791288614301</v>
      </c>
      <c r="AS27" s="1" cm="1">
        <f t="array" ref="AS27">OptionDelta("C",$E27,$D$4,AS$10,$D$5,$D$8,0)</f>
        <v>0.97057515521784565</v>
      </c>
      <c r="AT27" s="1" cm="1">
        <f t="array" ref="AT27">OptionDelta("C",$E27,$D$4,AT$10,$D$5,$D$8,0)</f>
        <v>0.95689898642329607</v>
      </c>
      <c r="AU27" s="1" cm="1">
        <f t="array" ref="AU27">OptionDelta("C",$E27,$D$4,AU$10,$D$5,$D$8,0)</f>
        <v>0.94407756560009015</v>
      </c>
      <c r="AV27" s="1" cm="1">
        <f t="array" ref="AV27">OptionDelta("C",$E27,$D$4,AV$10,$D$5,$D$8,0)</f>
        <v>0.93240240791875728</v>
      </c>
      <c r="AW27" s="1" cm="1">
        <f t="array" ref="AW27">OptionDelta("C",$E27,$D$4,AW$10,$D$5,$D$8,0)</f>
        <v>0.92189531953464121</v>
      </c>
      <c r="AX27" s="1" cm="1">
        <f t="array" ref="AX27">OptionDelta("C",$E27,$D$4,AX$10,$D$5,$D$8,0)</f>
        <v>0.9124771715221327</v>
      </c>
      <c r="AY27" s="1" cm="1">
        <f t="array" ref="AY27">OptionDelta("C",$E27,$D$4,AY$10,$D$5,$D$8,0)</f>
        <v>0.90403781886513113</v>
      </c>
      <c r="AZ27" s="1" cm="1">
        <f t="array" ref="AZ27">OptionDelta("C",$E27,$D$4,AZ$10,$D$5,$D$8,0)</f>
        <v>0.85367938888663453</v>
      </c>
      <c r="BA27" s="1" cm="1">
        <f t="array" ref="BA27">OptionDelta("C",$E27,$D$4,BA$10,$D$5,$D$8,0)</f>
        <v>0.83274857213885123</v>
      </c>
      <c r="BB27" s="1" cm="1">
        <f t="array" ref="BB27">OptionDelta("C",$E27,$D$4,BB$10,$D$5,$D$8,0)</f>
        <v>0.82315449700674104</v>
      </c>
      <c r="BC27" s="1" cm="1">
        <f t="array" ref="BC27">OptionDelta("C",$E27,$D$4,BC$10,$D$5,$D$8,0)</f>
        <v>0.81899164140300906</v>
      </c>
    </row>
    <row r="50" spans="3:55" x14ac:dyDescent="0.3">
      <c r="C50" t="s">
        <v>9</v>
      </c>
      <c r="E50" s="1"/>
      <c r="F50" s="2">
        <v>0.1</v>
      </c>
      <c r="G50" s="2">
        <f>F50+0.1</f>
        <v>0.2</v>
      </c>
      <c r="H50" s="2">
        <f t="shared" ref="H50:N50" si="9">G50+0.1</f>
        <v>0.30000000000000004</v>
      </c>
      <c r="I50" s="2">
        <f t="shared" si="9"/>
        <v>0.4</v>
      </c>
      <c r="J50" s="2">
        <f t="shared" si="9"/>
        <v>0.5</v>
      </c>
      <c r="K50" s="2">
        <f t="shared" si="9"/>
        <v>0.6</v>
      </c>
      <c r="L50" s="2">
        <f t="shared" si="9"/>
        <v>0.7</v>
      </c>
      <c r="M50" s="2">
        <f t="shared" si="9"/>
        <v>0.79999999999999993</v>
      </c>
      <c r="N50" s="2">
        <f t="shared" si="9"/>
        <v>0.89999999999999991</v>
      </c>
      <c r="O50" s="2">
        <f>N50+0.1</f>
        <v>0.99999999999999989</v>
      </c>
      <c r="P50" s="2">
        <f>O50+1</f>
        <v>2</v>
      </c>
      <c r="Q50" s="2">
        <f t="shared" ref="Q50:S50" si="10">P50+1</f>
        <v>3</v>
      </c>
      <c r="R50" s="2">
        <f t="shared" si="10"/>
        <v>4</v>
      </c>
      <c r="S50" s="2">
        <f t="shared" si="10"/>
        <v>5</v>
      </c>
      <c r="U50" t="s">
        <v>9</v>
      </c>
      <c r="W50" s="1"/>
      <c r="X50" s="2">
        <v>0.1</v>
      </c>
      <c r="Y50" s="2">
        <f>X50+0.1</f>
        <v>0.2</v>
      </c>
      <c r="Z50" s="2">
        <f t="shared" ref="Z50:AF50" si="11">Y50+0.1</f>
        <v>0.30000000000000004</v>
      </c>
      <c r="AA50" s="2">
        <f t="shared" si="11"/>
        <v>0.4</v>
      </c>
      <c r="AB50" s="2">
        <f t="shared" si="11"/>
        <v>0.5</v>
      </c>
      <c r="AC50" s="2">
        <f t="shared" si="11"/>
        <v>0.6</v>
      </c>
      <c r="AD50" s="2">
        <f t="shared" si="11"/>
        <v>0.7</v>
      </c>
      <c r="AE50" s="2">
        <f t="shared" si="11"/>
        <v>0.79999999999999993</v>
      </c>
      <c r="AF50" s="2">
        <f t="shared" si="11"/>
        <v>0.89999999999999991</v>
      </c>
      <c r="AG50" s="2">
        <f>AF50+0.1</f>
        <v>0.99999999999999989</v>
      </c>
      <c r="AH50" s="2">
        <f>AG50+1</f>
        <v>2</v>
      </c>
      <c r="AI50" s="2">
        <f t="shared" ref="AI50:AK50" si="12">AH50+1</f>
        <v>3</v>
      </c>
      <c r="AJ50" s="2">
        <f t="shared" si="12"/>
        <v>4</v>
      </c>
      <c r="AK50" s="2">
        <f t="shared" si="12"/>
        <v>5</v>
      </c>
      <c r="AM50" t="s">
        <v>9</v>
      </c>
      <c r="AO50" s="1"/>
      <c r="AP50" s="2">
        <v>0.1</v>
      </c>
      <c r="AQ50" s="2">
        <f>AP50+0.1</f>
        <v>0.2</v>
      </c>
      <c r="AR50" s="2">
        <f t="shared" ref="AR50:AX50" si="13">AQ50+0.1</f>
        <v>0.30000000000000004</v>
      </c>
      <c r="AS50" s="2">
        <f t="shared" si="13"/>
        <v>0.4</v>
      </c>
      <c r="AT50" s="2">
        <f t="shared" si="13"/>
        <v>0.5</v>
      </c>
      <c r="AU50" s="2">
        <f t="shared" si="13"/>
        <v>0.6</v>
      </c>
      <c r="AV50" s="2">
        <f t="shared" si="13"/>
        <v>0.7</v>
      </c>
      <c r="AW50" s="2">
        <f t="shared" si="13"/>
        <v>0.79999999999999993</v>
      </c>
      <c r="AX50" s="2">
        <f t="shared" si="13"/>
        <v>0.89999999999999991</v>
      </c>
      <c r="AY50" s="2">
        <f>AX50+0.1</f>
        <v>0.99999999999999989</v>
      </c>
      <c r="AZ50" s="2">
        <f>AY50+1</f>
        <v>2</v>
      </c>
      <c r="BA50" s="2">
        <f t="shared" ref="BA50:BC50" si="14">AZ50+1</f>
        <v>3</v>
      </c>
      <c r="BB50" s="2">
        <f t="shared" si="14"/>
        <v>4</v>
      </c>
      <c r="BC50" s="2">
        <f t="shared" si="14"/>
        <v>5</v>
      </c>
    </row>
    <row r="51" spans="3:55" x14ac:dyDescent="0.3">
      <c r="C51" t="s">
        <v>6</v>
      </c>
      <c r="E51" s="2">
        <v>60</v>
      </c>
      <c r="F51" s="1" cm="1">
        <f t="array" ref="F51">OptionTheta("C",$E51,100,F$50,0.01,0.2,0)</f>
        <v>-2.0824866053344973E-16</v>
      </c>
      <c r="G51" s="1" cm="1">
        <f t="array" ref="G51">OptionTheta("C",$E51,100,G$50,0.01,0.2,0)</f>
        <v>-1.7867609363612641E-9</v>
      </c>
      <c r="H51" s="1" cm="1">
        <f t="array" ref="H51">OptionTheta("C",$E51,100,H$50,0.01,0.2,0)</f>
        <v>-3.3577670640289765E-7</v>
      </c>
      <c r="I51" s="1" cm="1">
        <f t="array" ref="I51">OptionTheta("C",$E51,100,I$50,0.01,0.2,0)</f>
        <v>-4.4165655198783056E-6</v>
      </c>
      <c r="J51" s="1" cm="1">
        <f t="array" ref="J51">OptionTheta("C",$E51,100,J$50,0.01,0.2,0)</f>
        <v>-2.0225469566983438E-5</v>
      </c>
      <c r="K51" s="1" cm="1">
        <f t="array" ref="K51">OptionTheta("C",$E51,100,K$50,0.01,0.2,0)</f>
        <v>-5.4883488636290301E-5</v>
      </c>
      <c r="L51" s="1" cm="1">
        <f t="array" ref="L51">OptionTheta("C",$E51,100,L$50,0.01,0.2,0)</f>
        <v>-1.107015493586071E-4</v>
      </c>
      <c r="M51" s="1" cm="1">
        <f t="array" ref="M51">OptionTheta("C",$E51,100,M$50,0.01,0.2,0)</f>
        <v>-1.8577586836861511E-4</v>
      </c>
      <c r="N51" s="1" cm="1">
        <f t="array" ref="N51">OptionTheta("C",$E51,100,N$50,0.01,0.2,0)</f>
        <v>-2.7605758779448086E-4</v>
      </c>
      <c r="O51" s="1" cm="1">
        <f t="array" ref="O51">OptionTheta("C",$E51,100,O$50,0.01,0.2,0)</f>
        <v>-3.769889628874361E-4</v>
      </c>
      <c r="P51" s="1" cm="1">
        <f t="array" ref="P51">OptionTheta("C",$E51,100,P$50,0.01,0.2,0)</f>
        <v>-1.3832148881930421E-3</v>
      </c>
      <c r="Q51" s="1" cm="1">
        <f t="array" ref="Q51">OptionTheta("C",$E51,100,Q$50,0.01,0.2,0)</f>
        <v>-1.9677685366328093E-3</v>
      </c>
      <c r="R51" s="1" cm="1">
        <f t="array" ref="R51">OptionTheta("C",$E51,100,R$50,0.01,0.2,0)</f>
        <v>-2.2561687563191169E-3</v>
      </c>
      <c r="S51" s="1" cm="1">
        <f t="array" ref="S51">OptionTheta("C",$E51,100,S$50,0.01,0.2,0)</f>
        <v>-2.3914141658243899E-3</v>
      </c>
      <c r="U51" t="s">
        <v>8</v>
      </c>
      <c r="W51" s="2">
        <v>60</v>
      </c>
      <c r="X51" s="1" cm="1">
        <f t="array" ref="X51">OptionTheta("C",$E51,100,X$50,0.01,0.1,0)</f>
        <v>-4.8607391233108838E-59</v>
      </c>
      <c r="Y51" s="1" cm="1">
        <f t="array" ref="Y51">OptionTheta("C",$E51,100,Y$50,0.01,0.1,0)</f>
        <v>-7.394036773880533E-31</v>
      </c>
      <c r="Z51" s="1" cm="1">
        <f t="array" ref="Z51">OptionTheta("C",$E51,100,Z$50,0.01,0.1,0)</f>
        <v>-1.6820692697282176E-21</v>
      </c>
      <c r="AA51" s="1" cm="1">
        <f t="array" ref="AA51">OptionTheta("C",$E51,100,AA$50,0.01,0.1,0)</f>
        <v>-7.6992724938714466E-17</v>
      </c>
      <c r="AB51" s="1" cm="1">
        <f t="array" ref="AB51">OptionTheta("C",$E51,100,AB$50,0.01,0.1,0)</f>
        <v>-4.70206042936716E-14</v>
      </c>
      <c r="AC51" s="1" cm="1">
        <f t="array" ref="AC51">OptionTheta("C",$E51,100,AC$50,0.01,0.1,0)</f>
        <v>-3.3311438102539535E-12</v>
      </c>
      <c r="AD51" s="1" cm="1">
        <f t="array" ref="AD51">OptionTheta("C",$E51,100,AD$50,0.01,0.1,0)</f>
        <v>-6.9080303501675964E-11</v>
      </c>
      <c r="AE51" s="1" cm="1">
        <f t="array" ref="AE51">OptionTheta("C",$E51,100,AE$50,0.01,0.1,0)</f>
        <v>-6.6573166634795337E-10</v>
      </c>
      <c r="AF51" s="1" cm="1">
        <f t="array" ref="AF51">OptionTheta("C",$E51,100,AF$50,0.01,0.1,0)</f>
        <v>-3.8529870723675087E-9</v>
      </c>
      <c r="AG51" s="1" cm="1">
        <f t="array" ref="AG51">OptionTheta("C",$E51,100,AG$50,0.01,0.1,0)</f>
        <v>-1.5616486625209357E-8</v>
      </c>
      <c r="AH51" s="1" cm="1">
        <f t="array" ref="AH51">OptionTheta("C",$E51,100,AH$50,0.01,0.1,0)</f>
        <v>-7.6971390871607689E-6</v>
      </c>
      <c r="AI51" s="1" cm="1">
        <f t="array" ref="AI51">OptionTheta("C",$E51,100,AI$50,0.01,0.1,0)</f>
        <v>-5.6462471820863381E-5</v>
      </c>
      <c r="AJ51" s="1" cm="1">
        <f t="array" ref="AJ51">OptionTheta("C",$E51,100,AJ$50,0.01,0.1,0)</f>
        <v>-1.4781744530698417E-4</v>
      </c>
      <c r="AK51" s="1" cm="1">
        <f t="array" ref="AK51">OptionTheta("C",$E51,100,AK$50,0.01,0.1,0)</f>
        <v>-2.5828777230125691E-4</v>
      </c>
      <c r="AM51" t="s">
        <v>7</v>
      </c>
      <c r="AO51" s="2">
        <v>60</v>
      </c>
      <c r="AP51" s="1" cm="1">
        <f t="array" ref="AP51">OptionTheta("C",$E51,100,AP$50,0.01,0.3,0)</f>
        <v>-2.1549990018490184E-8</v>
      </c>
      <c r="AQ51" s="1" cm="1">
        <f t="array" ref="AQ51">OptionTheta("C",$E51,100,AQ$50,0.01,0.3,0)</f>
        <v>-2.1461836222321897E-5</v>
      </c>
      <c r="AR51" s="1" cm="1">
        <f t="array" ref="AR51">OptionTheta("C",$E51,100,AR$50,0.01,0.3,0)</f>
        <v>-1.9662281836474357E-4</v>
      </c>
      <c r="AS51" s="1" cm="1">
        <f t="array" ref="AS51">OptionTheta("C",$E51,100,AS$50,0.01,0.3,0)</f>
        <v>-5.7074558651204542E-4</v>
      </c>
      <c r="AT51" s="1" cm="1">
        <f t="array" ref="AT51">OptionTheta("C",$E51,100,AT$50,0.01,0.3,0)</f>
        <v>-1.0552037640840729E-3</v>
      </c>
      <c r="AU51" s="1" cm="1">
        <f t="array" ref="AU51">OptionTheta("C",$E51,100,AU$50,0.01,0.3,0)</f>
        <v>-1.5635260002588606E-3</v>
      </c>
      <c r="AV51" s="1" cm="1">
        <f t="array" ref="AV51">OptionTheta("C",$E51,100,AV$50,0.01,0.3,0)</f>
        <v>-2.0463456463499924E-3</v>
      </c>
      <c r="AW51" s="1" cm="1">
        <f t="array" ref="AW51">OptionTheta("C",$E51,100,AW$50,0.01,0.3,0)</f>
        <v>-2.4820405101908015E-3</v>
      </c>
      <c r="AX51" s="1" cm="1">
        <f t="array" ref="AX51">OptionTheta("C",$E51,100,AX$50,0.01,0.3,0)</f>
        <v>-2.8643976252613942E-3</v>
      </c>
      <c r="AY51" s="1" cm="1">
        <f t="array" ref="AY51">OptionTheta("C",$E51,100,AY$50,0.01,0.3,0)</f>
        <v>-3.1946917066473708E-3</v>
      </c>
      <c r="AZ51" s="1" cm="1">
        <f t="array" ref="AZ51">OptionTheta("C",$E51,100,AZ$50,0.01,0.3,0)</f>
        <v>-4.6813137664605499E-3</v>
      </c>
      <c r="BA51" s="1" cm="1">
        <f t="array" ref="BA51">OptionTheta("C",$E51,100,BA$50,0.01,0.3,0)</f>
        <v>-4.8647554364029642E-3</v>
      </c>
      <c r="BB51" s="1" cm="1">
        <f t="array" ref="BB51">OptionTheta("C",$E51,100,BB$50,0.01,0.3,0)</f>
        <v>-4.7392880521538129E-3</v>
      </c>
      <c r="BC51" s="1" cm="1">
        <f t="array" ref="BC51">OptionTheta("C",$E51,100,BC$50,0.01,0.3,0)</f>
        <v>-4.5351230739948635E-3</v>
      </c>
    </row>
    <row r="52" spans="3:55" x14ac:dyDescent="0.3">
      <c r="E52" s="2">
        <f>E51+5</f>
        <v>65</v>
      </c>
      <c r="F52" s="1" cm="1">
        <f t="array" ref="F52">OptionTheta("C",$E52,100,F$50,0.01,0.2,0)</f>
        <v>-2.6248667904048782E-12</v>
      </c>
      <c r="G52" s="1" cm="1">
        <f t="array" ref="G52">OptionTheta("C",$E52,100,G$50,0.01,0.2,0)</f>
        <v>-2.0280984836933173E-7</v>
      </c>
      <c r="H52" s="1" cm="1">
        <f t="array" ref="H52">OptionTheta("C",$E52,100,H$50,0.01,0.2,0)</f>
        <v>-7.9321511715336207E-6</v>
      </c>
      <c r="I52" s="1" cm="1">
        <f t="array" ref="I52">OptionTheta("C",$E52,100,I$50,0.01,0.2,0)</f>
        <v>-4.7608365958502972E-5</v>
      </c>
      <c r="J52" s="1" cm="1">
        <f t="array" ref="J52">OptionTheta("C",$E52,100,J$50,0.01,0.2,0)</f>
        <v>-1.3618275715220169E-4</v>
      </c>
      <c r="K52" s="1" cm="1">
        <f t="array" ref="K52">OptionTheta("C",$E52,100,K$50,0.01,0.2,0)</f>
        <v>-2.7006423463393585E-4</v>
      </c>
      <c r="L52" s="1" cm="1">
        <f t="array" ref="L52">OptionTheta("C",$E52,100,L$50,0.01,0.2,0)</f>
        <v>-4.3544627319080443E-4</v>
      </c>
      <c r="M52" s="1" cm="1">
        <f t="array" ref="M52">OptionTheta("C",$E52,100,M$50,0.01,0.2,0)</f>
        <v>-6.1782905440109872E-4</v>
      </c>
      <c r="N52" s="1" cm="1">
        <f t="array" ref="N52">OptionTheta("C",$E52,100,N$50,0.01,0.2,0)</f>
        <v>-8.05754417427621E-4</v>
      </c>
      <c r="O52" s="1" cm="1">
        <f t="array" ref="O52">OptionTheta("C",$E52,100,O$50,0.01,0.2,0)</f>
        <v>-9.9131500388700074E-4</v>
      </c>
      <c r="P52" s="1" cm="1">
        <f t="array" ref="P52">OptionTheta("C",$E52,100,P$50,0.01,0.2,0)</f>
        <v>-2.2764255882806923E-3</v>
      </c>
      <c r="Q52" s="1" cm="1">
        <f t="array" ref="Q52">OptionTheta("C",$E52,100,Q$50,0.01,0.2,0)</f>
        <v>-2.7721439412935851E-3</v>
      </c>
      <c r="R52" s="1" cm="1">
        <f t="array" ref="R52">OptionTheta("C",$E52,100,R$50,0.01,0.2,0)</f>
        <v>-2.941578372976773E-3</v>
      </c>
      <c r="S52" s="1" cm="1">
        <f t="array" ref="S52">OptionTheta("C",$E52,100,S$50,0.01,0.2,0)</f>
        <v>-2.9767508290865787E-3</v>
      </c>
      <c r="W52" s="2">
        <f>W51+5</f>
        <v>65</v>
      </c>
      <c r="X52" s="1" cm="1">
        <f t="array" ref="X52">OptionTheta("C",$E52,100,X$50,0.01,0.1,0)</f>
        <v>-1.08587626406211E-42</v>
      </c>
      <c r="Y52" s="1" cm="1">
        <f t="array" ref="Y52">OptionTheta("C",$E52,100,Y$50,0.01,0.1,0)</f>
        <v>-1.084394209613217E-22</v>
      </c>
      <c r="Z52" s="1" cm="1">
        <f t="array" ref="Z52">OptionTheta("C",$E52,100,Z$50,0.01,0.1,0)</f>
        <v>-4.6211580497309133E-16</v>
      </c>
      <c r="AA52" s="1" cm="1">
        <f t="array" ref="AA52">OptionTheta("C",$E52,100,AA$50,0.01,0.1,0)</f>
        <v>-9.1578871538016226E-13</v>
      </c>
      <c r="AB52" s="1" cm="1">
        <f t="array" ref="AB52">OptionTheta("C",$E52,100,AB$50,0.01,0.1,0)</f>
        <v>-8.503599422603399E-11</v>
      </c>
      <c r="AC52" s="1" cm="1">
        <f t="array" ref="AC52">OptionTheta("C",$E52,100,AC$50,0.01,0.1,0)</f>
        <v>-1.7164793217520011E-9</v>
      </c>
      <c r="AD52" s="1" cm="1">
        <f t="array" ref="AD52">OptionTheta("C",$E52,100,AD$50,0.01,0.1,0)</f>
        <v>-1.4520814292739796E-8</v>
      </c>
      <c r="AE52" s="1" cm="1">
        <f t="array" ref="AE52">OptionTheta("C",$E52,100,AE$50,0.01,0.1,0)</f>
        <v>-7.1439472848684185E-8</v>
      </c>
      <c r="AF52" s="1" cm="1">
        <f t="array" ref="AF52">OptionTheta("C",$E52,100,AF$50,0.01,0.1,0)</f>
        <v>-2.4511925227671841E-7</v>
      </c>
      <c r="AG52" s="1" cm="1">
        <f t="array" ref="AG52">OptionTheta("C",$E52,100,AG$50,0.01,0.1,0)</f>
        <v>-6.539723525880598E-7</v>
      </c>
      <c r="AH52" s="1" cm="1">
        <f t="array" ref="AH52">OptionTheta("C",$E52,100,AH$50,0.01,0.1,0)</f>
        <v>-4.9218966358370517E-5</v>
      </c>
      <c r="AI52" s="1" cm="1">
        <f t="array" ref="AI52">OptionTheta("C",$E52,100,AI$50,0.01,0.1,0)</f>
        <v>-1.9342981188610103E-4</v>
      </c>
      <c r="AJ52" s="1" cm="1">
        <f t="array" ref="AJ52">OptionTheta("C",$E52,100,AJ$50,0.01,0.1,0)</f>
        <v>-3.7114411583880655E-4</v>
      </c>
      <c r="AK52" s="1" cm="1">
        <f t="array" ref="AK52">OptionTheta("C",$E52,100,AK$50,0.01,0.1,0)</f>
        <v>-5.3865140524796259E-4</v>
      </c>
      <c r="AO52" s="2">
        <f>AO51+5</f>
        <v>65</v>
      </c>
      <c r="AP52" s="1" cm="1">
        <f t="array" ref="AP52">OptionTheta("C",$E52,100,AP$50,0.01,0.3,0)</f>
        <v>-1.4645521225796432E-6</v>
      </c>
      <c r="AQ52" s="1" cm="1">
        <f t="array" ref="AQ52">OptionTheta("C",$E52,100,AQ$50,0.01,0.3,0)</f>
        <v>-1.79852789003481E-4</v>
      </c>
      <c r="AR52" s="1" cm="1">
        <f t="array" ref="AR52">OptionTheta("C",$E52,100,AR$50,0.01,0.3,0)</f>
        <v>-8.2033851045462951E-4</v>
      </c>
      <c r="AS52" s="1" cm="1">
        <f t="array" ref="AS52">OptionTheta("C",$E52,100,AS$50,0.01,0.3,0)</f>
        <v>-1.6804353520095858E-3</v>
      </c>
      <c r="AT52" s="1" cm="1">
        <f t="array" ref="AT52">OptionTheta("C",$E52,100,AT$50,0.01,0.3,0)</f>
        <v>-2.5207520927682326E-3</v>
      </c>
      <c r="AU52" s="1" cm="1">
        <f t="array" ref="AU52">OptionTheta("C",$E52,100,AU$50,0.01,0.3,0)</f>
        <v>-3.2494106581974483E-3</v>
      </c>
      <c r="AV52" s="1" cm="1">
        <f t="array" ref="AV52">OptionTheta("C",$E52,100,AV$50,0.01,0.3,0)</f>
        <v>-3.8502540749068654E-3</v>
      </c>
      <c r="AW52" s="1" cm="1">
        <f t="array" ref="AW52">OptionTheta("C",$E52,100,AW$50,0.01,0.3,0)</f>
        <v>-4.3345416160164435E-3</v>
      </c>
      <c r="AX52" s="1" cm="1">
        <f t="array" ref="AX52">OptionTheta("C",$E52,100,AX$50,0.01,0.3,0)</f>
        <v>-4.7206112946230235E-3</v>
      </c>
      <c r="AY52" s="1" cm="1">
        <f t="array" ref="AY52">OptionTheta("C",$E52,100,AY$50,0.01,0.3,0)</f>
        <v>-5.026524094306325E-3</v>
      </c>
      <c r="AZ52" s="1" cm="1">
        <f t="array" ref="AZ52">OptionTheta("C",$E52,100,AZ$50,0.01,0.3,0)</f>
        <v>-5.9813696060692575E-3</v>
      </c>
      <c r="BA52" s="1" cm="1">
        <f t="array" ref="BA52">OptionTheta("C",$E52,100,BA$50,0.01,0.3,0)</f>
        <v>-5.800314684605924E-3</v>
      </c>
      <c r="BB52" s="1" cm="1">
        <f t="array" ref="BB52">OptionTheta("C",$E52,100,BB$50,0.01,0.3,0)</f>
        <v>-5.4588780490776694E-3</v>
      </c>
      <c r="BC52" s="1" cm="1">
        <f t="array" ref="BC52">OptionTheta("C",$E52,100,BC$50,0.01,0.3,0)</f>
        <v>-5.1165889558534737E-3</v>
      </c>
    </row>
    <row r="53" spans="3:55" x14ac:dyDescent="0.3">
      <c r="E53" s="2">
        <f t="shared" ref="E53:E67" si="15">E52+5</f>
        <v>70</v>
      </c>
      <c r="F53" s="1" cm="1">
        <f t="array" ref="F53">OptionTheta("C",$E53,100,F$50,0.01,0.2,0)</f>
        <v>-3.9404830525703291E-9</v>
      </c>
      <c r="G53" s="1" cm="1">
        <f t="array" ref="G53">OptionTheta("C",$E53,100,G$50,0.01,0.2,0)</f>
        <v>-7.9406924481039188E-6</v>
      </c>
      <c r="H53" s="1" cm="1">
        <f t="array" ref="H53">OptionTheta("C",$E53,100,H$50,0.01,0.2,0)</f>
        <v>-9.2140485212822404E-5</v>
      </c>
      <c r="I53" s="1" cm="1">
        <f t="array" ref="I53">OptionTheta("C",$E53,100,I$50,0.01,0.2,0)</f>
        <v>-3.0130195547792748E-4</v>
      </c>
      <c r="J53" s="1" cm="1">
        <f t="array" ref="J53">OptionTheta("C",$E53,100,J$50,0.01,0.2,0)</f>
        <v>-5.9878975718341467E-4</v>
      </c>
      <c r="K53" s="1" cm="1">
        <f t="array" ref="K53">OptionTheta("C",$E53,100,K$50,0.01,0.2,0)</f>
        <v>-9.3160424169297287E-4</v>
      </c>
      <c r="L53" s="1" cm="1">
        <f t="array" ref="L53">OptionTheta("C",$E53,100,L$50,0.01,0.2,0)</f>
        <v>-1.2631773869274513E-3</v>
      </c>
      <c r="M53" s="1" cm="1">
        <f t="array" ref="M53">OptionTheta("C",$E53,100,M$50,0.01,0.2,0)</f>
        <v>-1.5740008656708259E-3</v>
      </c>
      <c r="N53" s="1" cm="1">
        <f t="array" ref="N53">OptionTheta("C",$E53,100,N$50,0.01,0.2,0)</f>
        <v>-1.8556840243722011E-3</v>
      </c>
      <c r="O53" s="1" cm="1">
        <f t="array" ref="O53">OptionTheta("C",$E53,100,O$50,0.01,0.2,0)</f>
        <v>-2.1060358663825907E-3</v>
      </c>
      <c r="P53" s="1" cm="1">
        <f t="array" ref="P53">OptionTheta("C",$E53,100,P$50,0.01,0.2,0)</f>
        <v>-3.3666522687759771E-3</v>
      </c>
      <c r="Q53" s="1" cm="1">
        <f t="array" ref="Q53">OptionTheta("C",$E53,100,Q$50,0.01,0.2,0)</f>
        <v>-3.635864637664292E-3</v>
      </c>
      <c r="R53" s="1" cm="1">
        <f t="array" ref="R53">OptionTheta("C",$E53,100,R$50,0.01,0.2,0)</f>
        <v>-3.6341149755855307E-3</v>
      </c>
      <c r="S53" s="1" cm="1">
        <f t="array" ref="S53">OptionTheta("C",$E53,100,S$50,0.01,0.2,0)</f>
        <v>-3.5482817080170629E-3</v>
      </c>
      <c r="W53" s="2">
        <f t="shared" ref="W53:W67" si="16">W52+5</f>
        <v>70</v>
      </c>
      <c r="X53" s="1" cm="1">
        <f t="array" ref="X53">OptionTheta("C",$E53,100,X$50,0.01,0.1,0)</f>
        <v>-4.9219683121509843E-30</v>
      </c>
      <c r="Y53" s="1" cm="1">
        <f t="array" ref="Y53">OptionTheta("C",$E53,100,Y$50,0.01,0.1,0)</f>
        <v>-2.2694361220867503E-16</v>
      </c>
      <c r="Z53" s="1" cm="1">
        <f t="array" ref="Z53">OptionTheta("C",$E53,100,Z$50,0.01,0.1,0)</f>
        <v>-7.4791430571018037E-12</v>
      </c>
      <c r="AA53" s="1" cm="1">
        <f t="array" ref="AA53">OptionTheta("C",$E53,100,AA$50,0.01,0.1,0)</f>
        <v>-1.3039335518015704E-9</v>
      </c>
      <c r="AB53" s="1" cm="1">
        <f t="array" ref="AB53">OptionTheta("C",$E53,100,AB$50,0.01,0.1,0)</f>
        <v>-2.8171504015769907E-8</v>
      </c>
      <c r="AC53" s="1" cm="1">
        <f t="array" ref="AC53">OptionTheta("C",$E53,100,AC$50,0.01,0.1,0)</f>
        <v>-2.1516966274240728E-7</v>
      </c>
      <c r="AD53" s="1" cm="1">
        <f t="array" ref="AD53">OptionTheta("C",$E53,100,AD$50,0.01,0.1,0)</f>
        <v>-9.0937510122591557E-7</v>
      </c>
      <c r="AE53" s="1" cm="1">
        <f t="array" ref="AE53">OptionTheta("C",$E53,100,AE$50,0.01,0.1,0)</f>
        <v>-2.6589967230020451E-6</v>
      </c>
      <c r="AF53" s="1" cm="1">
        <f t="array" ref="AF53">OptionTheta("C",$E53,100,AF$50,0.01,0.1,0)</f>
        <v>-6.0877951498852109E-6</v>
      </c>
      <c r="AG53" s="1" cm="1">
        <f t="array" ref="AG53">OptionTheta("C",$E53,100,AG$50,0.01,0.1,0)</f>
        <v>-1.1752640499261435E-5</v>
      </c>
      <c r="AH53" s="1" cm="1">
        <f t="array" ref="AH53">OptionTheta("C",$E53,100,AH$50,0.01,0.1,0)</f>
        <v>-2.0682932881957742E-4</v>
      </c>
      <c r="AI53" s="1" cm="1">
        <f t="array" ref="AI53">OptionTheta("C",$E53,100,AI$50,0.01,0.1,0)</f>
        <v>-5.0203494188602073E-4</v>
      </c>
      <c r="AJ53" s="1" cm="1">
        <f t="array" ref="AJ53">OptionTheta("C",$E53,100,AJ$50,0.01,0.1,0)</f>
        <v>-7.5805134587510507E-4</v>
      </c>
      <c r="AK53" s="1" cm="1">
        <f t="array" ref="AK53">OptionTheta("C",$E53,100,AK$50,0.01,0.1,0)</f>
        <v>-9.5361421913977456E-4</v>
      </c>
      <c r="AO53" s="2">
        <f t="shared" ref="AO53:AO67" si="17">AO52+5</f>
        <v>70</v>
      </c>
      <c r="AP53" s="1" cm="1">
        <f t="array" ref="AP53">OptionTheta("C",$E53,100,AP$50,0.01,0.3,0)</f>
        <v>-3.8599251798747767E-5</v>
      </c>
      <c r="AQ53" s="1" cm="1">
        <f t="array" ref="AQ53">OptionTheta("C",$E53,100,AQ$50,0.01,0.3,0)</f>
        <v>-9.3767928080001135E-4</v>
      </c>
      <c r="AR53" s="1" cm="1">
        <f t="array" ref="AR53">OptionTheta("C",$E53,100,AR$50,0.01,0.3,0)</f>
        <v>-2.4927261695394526E-3</v>
      </c>
      <c r="AS53" s="1" cm="1">
        <f t="array" ref="AS53">OptionTheta("C",$E53,100,AS$50,0.01,0.3,0)</f>
        <v>-3.8989224445752516E-3</v>
      </c>
      <c r="AT53" s="1" cm="1">
        <f t="array" ref="AT53">OptionTheta("C",$E53,100,AT$50,0.01,0.3,0)</f>
        <v>-4.9750887751915211E-3</v>
      </c>
      <c r="AU53" s="1" cm="1">
        <f t="array" ref="AU53">OptionTheta("C",$E53,100,AU$50,0.01,0.3,0)</f>
        <v>-5.7579697874939008E-3</v>
      </c>
      <c r="AV53" s="1" cm="1">
        <f t="array" ref="AV53">OptionTheta("C",$E53,100,AV$50,0.01,0.3,0)</f>
        <v>-6.3174464964430178E-3</v>
      </c>
      <c r="AW53" s="1" cm="1">
        <f t="array" ref="AW53">OptionTheta("C",$E53,100,AW$50,0.01,0.3,0)</f>
        <v>-6.7135247272137799E-3</v>
      </c>
      <c r="AX53" s="1" cm="1">
        <f t="array" ref="AX53">OptionTheta("C",$E53,100,AX$50,0.01,0.3,0)</f>
        <v>-6.9909687558181227E-3</v>
      </c>
      <c r="AY53" s="1" cm="1">
        <f t="array" ref="AY53">OptionTheta("C",$E53,100,AY$50,0.01,0.3,0)</f>
        <v>-7.1819210348500759E-3</v>
      </c>
      <c r="AZ53" s="1" cm="1">
        <f t="array" ref="AZ53">OptionTheta("C",$E53,100,AZ$50,0.01,0.3,0)</f>
        <v>-7.2754572296498624E-3</v>
      </c>
      <c r="BA53" s="1" cm="1">
        <f t="array" ref="BA53">OptionTheta("C",$E53,100,BA$50,0.01,0.3,0)</f>
        <v>-6.6876625701143017E-3</v>
      </c>
      <c r="BB53" s="1" cm="1">
        <f t="array" ref="BB53">OptionTheta("C",$E53,100,BB$50,0.01,0.3,0)</f>
        <v>-6.1279613810610641E-3</v>
      </c>
      <c r="BC53" s="1" cm="1">
        <f t="array" ref="BC53">OptionTheta("C",$E53,100,BC$50,0.01,0.3,0)</f>
        <v>-5.6522519726966928E-3</v>
      </c>
    </row>
    <row r="54" spans="3:55" x14ac:dyDescent="0.3">
      <c r="E54" s="2">
        <f t="shared" si="15"/>
        <v>75</v>
      </c>
      <c r="F54" s="1" cm="1">
        <f t="array" ref="F54">OptionTheta("C",$E54,100,F$50,0.01,0.2,0)</f>
        <v>-1.0397680648206159E-6</v>
      </c>
      <c r="G54" s="1" cm="1">
        <f t="array" ref="G54">OptionTheta("C",$E54,100,G$50,0.01,0.2,0)</f>
        <v>-1.3031085671558085E-4</v>
      </c>
      <c r="H54" s="1" cm="1">
        <f t="array" ref="H54">OptionTheta("C",$E54,100,H$50,0.01,0.2,0)</f>
        <v>-5.9937806731496612E-4</v>
      </c>
      <c r="I54" s="1" cm="1">
        <f t="array" ref="I54">OptionTheta("C",$E54,100,I$50,0.01,0.2,0)</f>
        <v>-1.234372742904436E-3</v>
      </c>
      <c r="J54" s="1" cm="1">
        <f t="array" ref="J54">OptionTheta("C",$E54,100,J$50,0.01,0.2,0)</f>
        <v>-1.8591772491187443E-3</v>
      </c>
      <c r="K54" s="1" cm="1">
        <f t="array" ref="K54">OptionTheta("C",$E54,100,K$50,0.01,0.2,0)</f>
        <v>-2.4047647486842693E-3</v>
      </c>
      <c r="L54" s="1" cm="1">
        <f t="array" ref="L54">OptionTheta("C",$E54,100,L$50,0.01,0.2,0)</f>
        <v>-2.8579845943357499E-3</v>
      </c>
      <c r="M54" s="1" cm="1">
        <f t="array" ref="M54">OptionTheta("C",$E54,100,M$50,0.01,0.2,0)</f>
        <v>-3.2262609285481081E-3</v>
      </c>
      <c r="N54" s="1" cm="1">
        <f t="array" ref="N54">OptionTheta("C",$E54,100,N$50,0.01,0.2,0)</f>
        <v>-3.5225471584751761E-3</v>
      </c>
      <c r="O54" s="1" cm="1">
        <f t="array" ref="O54">OptionTheta("C",$E54,100,O$50,0.01,0.2,0)</f>
        <v>-3.7598067009455686E-3</v>
      </c>
      <c r="P54" s="1" cm="1">
        <f t="array" ref="P54">OptionTheta("C",$E54,100,P$50,0.01,0.2,0)</f>
        <v>-4.5638212258901963E-3</v>
      </c>
      <c r="Q54" s="1" cm="1">
        <f t="array" ref="Q54">OptionTheta("C",$E54,100,Q$50,0.01,0.2,0)</f>
        <v>-4.4990305615206011E-3</v>
      </c>
      <c r="R54" s="1" cm="1">
        <f t="array" ref="R54">OptionTheta("C",$E54,100,R$50,0.01,0.2,0)</f>
        <v>-4.2970851982288083E-3</v>
      </c>
      <c r="S54" s="1" cm="1">
        <f t="array" ref="S54">OptionTheta("C",$E54,100,S$50,0.01,0.2,0)</f>
        <v>-4.0829616890457558E-3</v>
      </c>
      <c r="W54" s="2">
        <f t="shared" si="16"/>
        <v>75</v>
      </c>
      <c r="X54" s="1" cm="1">
        <f t="array" ref="X54">OptionTheta("C",$E54,100,X$50,0.01,0.1,0)</f>
        <v>-2.1440234195109654E-20</v>
      </c>
      <c r="Y54" s="1" cm="1">
        <f t="array" ref="Y54">OptionTheta("C",$E54,100,Y$50,0.01,0.1,0)</f>
        <v>-1.4749846893202475E-11</v>
      </c>
      <c r="Z54" s="1" cm="1">
        <f t="array" ref="Z54">OptionTheta("C",$E54,100,Z$50,0.01,0.1,0)</f>
        <v>-1.1975842083892231E-8</v>
      </c>
      <c r="AA54" s="1" cm="1">
        <f t="array" ref="AA54">OptionTheta("C",$E54,100,AA$50,0.01,0.1,0)</f>
        <v>-3.278888743849616E-7</v>
      </c>
      <c r="AB54" s="1" cm="1">
        <f t="array" ref="AB54">OptionTheta("C",$E54,100,AB$50,0.01,0.1,0)</f>
        <v>-2.333768996237393E-6</v>
      </c>
      <c r="AC54" s="1" cm="1">
        <f t="array" ref="AC54">OptionTheta("C",$E54,100,AC$50,0.01,0.1,0)</f>
        <v>-8.5050236349412051E-6</v>
      </c>
      <c r="AD54" s="1" cm="1">
        <f t="array" ref="AD54">OptionTheta("C",$E54,100,AD$50,0.01,0.1,0)</f>
        <v>-2.119349141272701E-5</v>
      </c>
      <c r="AE54" s="1" cm="1">
        <f t="array" ref="AE54">OptionTheta("C",$E54,100,AE$50,0.01,0.1,0)</f>
        <v>-4.1704733289099132E-5</v>
      </c>
      <c r="AF54" s="1" cm="1">
        <f t="array" ref="AF54">OptionTheta("C",$E54,100,AF$50,0.01,0.1,0)</f>
        <v>-7.0182114445786222E-5</v>
      </c>
      <c r="AG54" s="1" cm="1">
        <f t="array" ref="AG54">OptionTheta("C",$E54,100,AG$50,0.01,0.1,0)</f>
        <v>-1.0592549484760876E-4</v>
      </c>
      <c r="AH54" s="1" cm="1">
        <f t="array" ref="AH54">OptionTheta("C",$E54,100,AH$50,0.01,0.1,0)</f>
        <v>-6.1764905407730715E-4</v>
      </c>
      <c r="AI54" s="1" cm="1">
        <f t="array" ref="AI54">OptionTheta("C",$E54,100,AI$50,0.01,0.1,0)</f>
        <v>-1.0401613305351381E-3</v>
      </c>
      <c r="AJ54" s="1" cm="1">
        <f t="array" ref="AJ54">OptionTheta("C",$E54,100,AJ$50,0.01,0.1,0)</f>
        <v>-1.3099246585766978E-3</v>
      </c>
      <c r="AK54" s="1" cm="1">
        <f t="array" ref="AK54">OptionTheta("C",$E54,100,AK$50,0.01,0.1,0)</f>
        <v>-1.4789037362070367E-3</v>
      </c>
      <c r="AO54" s="2">
        <f t="shared" si="17"/>
        <v>75</v>
      </c>
      <c r="AP54" s="1" cm="1">
        <f t="array" ref="AP54">OptionTheta("C",$E54,100,AP$50,0.01,0.3,0)</f>
        <v>-4.6914242652264476E-4</v>
      </c>
      <c r="AQ54" s="1" cm="1">
        <f t="array" ref="AQ54">OptionTheta("C",$E54,100,AQ$50,0.01,0.3,0)</f>
        <v>-3.3173520135102042E-3</v>
      </c>
      <c r="AR54" s="1" cm="1">
        <f t="array" ref="AR54">OptionTheta("C",$E54,100,AR$50,0.01,0.3,0)</f>
        <v>-5.8463285736070399E-3</v>
      </c>
      <c r="AS54" s="1" cm="1">
        <f t="array" ref="AS54">OptionTheta("C",$E54,100,AS$50,0.01,0.3,0)</f>
        <v>-7.4466314730471418E-3</v>
      </c>
      <c r="AT54" s="1" cm="1">
        <f t="array" ref="AT54">OptionTheta("C",$E54,100,AT$50,0.01,0.3,0)</f>
        <v>-8.4012195500086009E-3</v>
      </c>
      <c r="AU54" s="1" cm="1">
        <f t="array" ref="AU54">OptionTheta("C",$E54,100,AU$50,0.01,0.3,0)</f>
        <v>-8.9575430478272353E-3</v>
      </c>
      <c r="AV54" s="1" cm="1">
        <f t="array" ref="AV54">OptionTheta("C",$E54,100,AV$50,0.01,0.3,0)</f>
        <v>-9.269051285118025E-3</v>
      </c>
      <c r="AW54" s="1" cm="1">
        <f t="array" ref="AW54">OptionTheta("C",$E54,100,AW$50,0.01,0.3,0)</f>
        <v>-9.4273139905304212E-3</v>
      </c>
      <c r="AX54" s="1" cm="1">
        <f t="array" ref="AX54">OptionTheta("C",$E54,100,AX$50,0.01,0.3,0)</f>
        <v>-9.4877363884708094E-3</v>
      </c>
      <c r="AY54" s="1" cm="1">
        <f t="array" ref="AY54">OptionTheta("C",$E54,100,AY$50,0.01,0.3,0)</f>
        <v>-9.4846913015921505E-3</v>
      </c>
      <c r="AZ54" s="1" cm="1">
        <f t="array" ref="AZ54">OptionTheta("C",$E54,100,AZ$50,0.01,0.3,0)</f>
        <v>-8.5006918870688866E-3</v>
      </c>
      <c r="BA54" s="1" cm="1">
        <f t="array" ref="BA54">OptionTheta("C",$E54,100,BA$50,0.01,0.3,0)</f>
        <v>-7.5020370957601138E-3</v>
      </c>
      <c r="BB54" s="1" cm="1">
        <f t="array" ref="BB54">OptionTheta("C",$E54,100,BB$50,0.01,0.3,0)</f>
        <v>-6.7355356887253475E-3</v>
      </c>
      <c r="BC54" s="1" cm="1">
        <f t="array" ref="BC54">OptionTheta("C",$E54,100,BC$50,0.01,0.3,0)</f>
        <v>-6.1370043560337343E-3</v>
      </c>
    </row>
    <row r="55" spans="3:55" x14ac:dyDescent="0.3">
      <c r="E55" s="2">
        <f t="shared" si="15"/>
        <v>80</v>
      </c>
      <c r="F55" s="1" cm="1">
        <f t="array" ref="F55">OptionTheta("C",$E55,100,F$50,0.01,0.2,0)</f>
        <v>-6.5223093214192003E-5</v>
      </c>
      <c r="G55" s="1" cm="1">
        <f t="array" ref="G55">OptionTheta("C",$E55,100,G$50,0.01,0.2,0)</f>
        <v>-1.04263926294409E-3</v>
      </c>
      <c r="H55" s="1" cm="1">
        <f t="array" ref="H55">OptionTheta("C",$E55,100,H$50,0.01,0.2,0)</f>
        <v>-2.4154996273794385E-3</v>
      </c>
      <c r="I55" s="1" cm="1">
        <f t="array" ref="I55">OptionTheta("C",$E55,100,I$50,0.01,0.2,0)</f>
        <v>-3.5316160394163161E-3</v>
      </c>
      <c r="J55" s="1" cm="1">
        <f t="array" ref="J55">OptionTheta("C",$E55,100,J$50,0.01,0.2,0)</f>
        <v>-4.3318309302801308E-3</v>
      </c>
      <c r="K55" s="1" cm="1">
        <f t="array" ref="K55">OptionTheta("C",$E55,100,K$50,0.01,0.2,0)</f>
        <v>-4.886901600014427E-3</v>
      </c>
      <c r="L55" s="1" cm="1">
        <f t="array" ref="L55">OptionTheta("C",$E55,100,L$50,0.01,0.2,0)</f>
        <v>-5.2679667427073381E-3</v>
      </c>
      <c r="M55" s="1" cm="1">
        <f t="array" ref="M55">OptionTheta("C",$E55,100,M$50,0.01,0.2,0)</f>
        <v>-5.5275294956448687E-3</v>
      </c>
      <c r="N55" s="1" cm="1">
        <f t="array" ref="N55">OptionTheta("C",$E55,100,N$50,0.01,0.2,0)</f>
        <v>-5.7018629445087735E-3</v>
      </c>
      <c r="O55" s="1" cm="1">
        <f t="array" ref="O55">OptionTheta("C",$E55,100,O$50,0.01,0.2,0)</f>
        <v>-5.8157635441449815E-3</v>
      </c>
      <c r="P55" s="1" cm="1">
        <f t="array" ref="P55">OptionTheta("C",$E55,100,P$50,0.01,0.2,0)</f>
        <v>-5.7590243652999194E-3</v>
      </c>
      <c r="Q55" s="1" cm="1">
        <f t="array" ref="Q55">OptionTheta("C",$E55,100,Q$50,0.01,0.2,0)</f>
        <v>-5.3069289492333055E-3</v>
      </c>
      <c r="R55" s="1" cm="1">
        <f t="array" ref="R55">OptionTheta("C",$E55,100,R$50,0.01,0.2,0)</f>
        <v>-4.9010750454576753E-3</v>
      </c>
      <c r="S55" s="1" cm="1">
        <f t="array" ref="S55">OptionTheta("C",$E55,100,S$50,0.01,0.2,0)</f>
        <v>-4.5638685371750427E-3</v>
      </c>
      <c r="W55" s="2">
        <f t="shared" si="16"/>
        <v>80</v>
      </c>
      <c r="X55" s="1" cm="1">
        <f t="array" ref="X55">OptionTheta("C",$E55,100,X$50,0.01,0.1,0)</f>
        <v>-2.9987587661495556E-13</v>
      </c>
      <c r="Y55" s="1" cm="1">
        <f t="array" ref="Y55">OptionTheta("C",$E55,100,Y$50,0.01,0.1,0)</f>
        <v>-5.4426425665660641E-8</v>
      </c>
      <c r="Z55" s="1" cm="1">
        <f t="array" ref="Z55">OptionTheta("C",$E55,100,Z$50,0.01,0.1,0)</f>
        <v>-2.8371084775912358E-6</v>
      </c>
      <c r="AA55" s="1" cm="1">
        <f t="array" ref="AA55">OptionTheta("C",$E55,100,AA$50,0.01,0.1,0)</f>
        <v>-1.9695489009571748E-5</v>
      </c>
      <c r="AB55" s="1" cm="1">
        <f t="array" ref="AB55">OptionTheta("C",$E55,100,AB$50,0.01,0.1,0)</f>
        <v>-6.1567719232975506E-5</v>
      </c>
      <c r="AC55" s="1" cm="1">
        <f t="array" ref="AC55">OptionTheta("C",$E55,100,AC$50,0.01,0.1,0)</f>
        <v>-1.2968848286531008E-4</v>
      </c>
      <c r="AD55" s="1" cm="1">
        <f t="array" ref="AD55">OptionTheta("C",$E55,100,AD$50,0.01,0.1,0)</f>
        <v>-2.1852655736779805E-4</v>
      </c>
      <c r="AE55" s="1" cm="1">
        <f t="array" ref="AE55">OptionTheta("C",$E55,100,AE$50,0.01,0.1,0)</f>
        <v>-3.207334895425356E-4</v>
      </c>
      <c r="AF55" s="1" cm="1">
        <f t="array" ref="AF55">OptionTheta("C",$E55,100,AF$50,0.01,0.1,0)</f>
        <v>-4.2975710045097979E-4</v>
      </c>
      <c r="AG55" s="1" cm="1">
        <f t="array" ref="AG55">OptionTheta("C",$E55,100,AG$50,0.01,0.1,0)</f>
        <v>-5.4062403596464139E-4</v>
      </c>
      <c r="AH55" s="1" cm="1">
        <f t="array" ref="AH55">OptionTheta("C",$E55,100,AH$50,0.01,0.1,0)</f>
        <v>-1.393497328409217E-3</v>
      </c>
      <c r="AI55" s="1" cm="1">
        <f t="array" ref="AI55">OptionTheta("C",$E55,100,AI$50,0.01,0.1,0)</f>
        <v>-1.7923956660358823E-3</v>
      </c>
      <c r="AJ55" s="1" cm="1">
        <f t="array" ref="AJ55">OptionTheta("C",$E55,100,AJ$50,0.01,0.1,0)</f>
        <v>-1.9750182600096898E-3</v>
      </c>
      <c r="AK55" s="1" cm="1">
        <f t="array" ref="AK55">OptionTheta("C",$E55,100,AK$50,0.01,0.1,0)</f>
        <v>-2.0592901027797787E-3</v>
      </c>
      <c r="AO55" s="2">
        <f t="shared" si="17"/>
        <v>80</v>
      </c>
      <c r="AP55" s="1" cm="1">
        <f t="array" ref="AP55">OptionTheta("C",$E55,100,AP$50,0.01,0.3,0)</f>
        <v>-3.0078894605649669E-3</v>
      </c>
      <c r="AQ55" s="1" cm="1">
        <f t="array" ref="AQ55">OptionTheta("C",$E55,100,AQ$50,0.01,0.3,0)</f>
        <v>-8.5194390350108885E-3</v>
      </c>
      <c r="AR55" s="1" cm="1">
        <f t="array" ref="AR55">OptionTheta("C",$E55,100,AR$50,0.01,0.3,0)</f>
        <v>-1.1071292666040015E-2</v>
      </c>
      <c r="AS55" s="1" cm="1">
        <f t="array" ref="AS55">OptionTheta("C",$E55,100,AS$50,0.01,0.3,0)</f>
        <v>-1.2111342052952891E-2</v>
      </c>
      <c r="AT55" s="1" cm="1">
        <f t="array" ref="AT55">OptionTheta("C",$E55,100,AT$50,0.01,0.3,0)</f>
        <v>-1.247280983828359E-2</v>
      </c>
      <c r="AU55" s="1" cm="1">
        <f t="array" ref="AU55">OptionTheta("C",$E55,100,AU$50,0.01,0.3,0)</f>
        <v>-1.2514917545781391E-2</v>
      </c>
      <c r="AV55" s="1" cm="1">
        <f t="array" ref="AV55">OptionTheta("C",$E55,100,AV$50,0.01,0.3,0)</f>
        <v>-1.2400669864055774E-2</v>
      </c>
      <c r="AW55" s="1" cm="1">
        <f t="array" ref="AW55">OptionTheta("C",$E55,100,AW$50,0.01,0.3,0)</f>
        <v>-1.2209181629855972E-2</v>
      </c>
      <c r="AX55" s="1" cm="1">
        <f t="array" ref="AX55">OptionTheta("C",$E55,100,AX$50,0.01,0.3,0)</f>
        <v>-1.1981003461584481E-2</v>
      </c>
      <c r="AY55" s="1" cm="1">
        <f t="array" ref="AY55">OptionTheta("C",$E55,100,AY$50,0.01,0.3,0)</f>
        <v>-1.1737745850549732E-2</v>
      </c>
      <c r="AZ55" s="1" cm="1">
        <f t="array" ref="AZ55">OptionTheta("C",$E55,100,AZ$50,0.01,0.3,0)</f>
        <v>-9.6077555339189359E-3</v>
      </c>
      <c r="BA55" s="1" cm="1">
        <f t="array" ref="BA55">OptionTheta("C",$E55,100,BA$50,0.01,0.3,0)</f>
        <v>-8.2267347934791776E-3</v>
      </c>
      <c r="BB55" s="1" cm="1">
        <f t="array" ref="BB55">OptionTheta("C",$E55,100,BB$50,0.01,0.3,0)</f>
        <v>-7.2751933658265393E-3</v>
      </c>
      <c r="BC55" s="1" cm="1">
        <f t="array" ref="BC55">OptionTheta("C",$E55,100,BC$50,0.01,0.3,0)</f>
        <v>-6.5684877615526747E-3</v>
      </c>
    </row>
    <row r="56" spans="3:55" x14ac:dyDescent="0.3">
      <c r="E56" s="2">
        <f t="shared" si="15"/>
        <v>85</v>
      </c>
      <c r="F56" s="1" cm="1">
        <f t="array" ref="F56">OptionTheta("C",$E56,100,F$50,0.01,0.2,0)</f>
        <v>-1.2340908727128785E-3</v>
      </c>
      <c r="G56" s="1" cm="1">
        <f t="array" ref="G56">OptionTheta("C",$E56,100,G$50,0.01,0.2,0)</f>
        <v>-4.5832538113903584E-3</v>
      </c>
      <c r="H56" s="1" cm="1">
        <f t="array" ref="H56">OptionTheta("C",$E56,100,H$50,0.01,0.2,0)</f>
        <v>-6.5319029442229837E-3</v>
      </c>
      <c r="I56" s="1" cm="1">
        <f t="array" ref="I56">OptionTheta("C",$E56,100,I$50,0.01,0.2,0)</f>
        <v>-7.4930015931228399E-3</v>
      </c>
      <c r="J56" s="1" cm="1">
        <f t="array" ref="J56">OptionTheta("C",$E56,100,J$50,0.01,0.2,0)</f>
        <v>-7.9475655930915743E-3</v>
      </c>
      <c r="K56" s="1" cm="1">
        <f t="array" ref="K56">OptionTheta("C",$E56,100,K$50,0.01,0.2,0)</f>
        <v>-8.1390639478204456E-3</v>
      </c>
      <c r="L56" s="1" cm="1">
        <f t="array" ref="L56">OptionTheta("C",$E56,100,L$50,0.01,0.2,0)</f>
        <v>-8.1885639235653052E-3</v>
      </c>
      <c r="M56" s="1" cm="1">
        <f t="array" ref="M56">OptionTheta("C",$E56,100,M$50,0.01,0.2,0)</f>
        <v>-8.1590863415906181E-3</v>
      </c>
      <c r="N56" s="1" cm="1">
        <f t="array" ref="N56">OptionTheta("C",$E56,100,N$50,0.01,0.2,0)</f>
        <v>-8.0850577561104031E-3</v>
      </c>
      <c r="O56" s="1" cm="1">
        <f t="array" ref="O56">OptionTheta("C",$E56,100,O$50,0.01,0.2,0)</f>
        <v>-7.9860677844929163E-3</v>
      </c>
      <c r="P56" s="1" cm="1">
        <f t="array" ref="P56">OptionTheta("C",$E56,100,P$50,0.01,0.2,0)</f>
        <v>-6.84819091805745E-3</v>
      </c>
      <c r="Q56" s="1" cm="1">
        <f t="array" ref="Q56">OptionTheta("C",$E56,100,Q$50,0.01,0.2,0)</f>
        <v>-6.0164633372898129E-3</v>
      </c>
      <c r="R56" s="1" cm="1">
        <f t="array" ref="R56">OptionTheta("C",$E56,100,R$50,0.01,0.2,0)</f>
        <v>-5.425385421020462E-3</v>
      </c>
      <c r="S56" s="1" cm="1">
        <f t="array" ref="S56">OptionTheta("C",$E56,100,S$50,0.01,0.2,0)</f>
        <v>-4.9801516860839574E-3</v>
      </c>
      <c r="W56" s="2">
        <f t="shared" si="16"/>
        <v>85</v>
      </c>
      <c r="X56" s="1" cm="1">
        <f t="array" ref="X56">OptionTheta("C",$E56,100,X$50,0.01,0.1,0)</f>
        <v>-3.484615224356023E-8</v>
      </c>
      <c r="Y56" s="1" cm="1">
        <f t="array" ref="Y56">OptionTheta("C",$E56,100,Y$50,0.01,0.1,0)</f>
        <v>-1.8350671934921964E-5</v>
      </c>
      <c r="Z56" s="1" cm="1">
        <f t="array" ref="Z56">OptionTheta("C",$E56,100,Z$50,0.01,0.1,0)</f>
        <v>-1.3663281919535562E-4</v>
      </c>
      <c r="AA56" s="1" cm="1">
        <f t="array" ref="AA56">OptionTheta("C",$E56,100,AA$50,0.01,0.1,0)</f>
        <v>-3.5880637288301833E-4</v>
      </c>
      <c r="AB56" s="1" cm="1">
        <f t="array" ref="AB56">OptionTheta("C",$E56,100,AB$50,0.01,0.1,0)</f>
        <v>-6.2633483265583673E-4</v>
      </c>
      <c r="AC56" s="1" cm="1">
        <f t="array" ref="AC56">OptionTheta("C",$E56,100,AC$50,0.01,0.1,0)</f>
        <v>-8.9507303836912409E-4</v>
      </c>
      <c r="AD56" s="1" cm="1">
        <f t="array" ref="AD56">OptionTheta("C",$E56,100,AD$50,0.01,0.1,0)</f>
        <v>-1.1435497472532126E-3</v>
      </c>
      <c r="AE56" s="1" cm="1">
        <f t="array" ref="AE56">OptionTheta("C",$E56,100,AE$50,0.01,0.1,0)</f>
        <v>-1.36412973646698E-3</v>
      </c>
      <c r="AF56" s="1" cm="1">
        <f t="array" ref="AF56">OptionTheta("C",$E56,100,AF$50,0.01,0.1,0)</f>
        <v>-1.5559486729817653E-3</v>
      </c>
      <c r="AG56" s="1" cm="1">
        <f t="array" ref="AG56">OptionTheta("C",$E56,100,AG$50,0.01,0.1,0)</f>
        <v>-1.7210375065471273E-3</v>
      </c>
      <c r="AH56" s="1" cm="1">
        <f t="array" ref="AH56">OptionTheta("C",$E56,100,AH$50,0.01,0.1,0)</f>
        <v>-2.494565685701439E-3</v>
      </c>
      <c r="AI56" s="1" cm="1">
        <f t="array" ref="AI56">OptionTheta("C",$E56,100,AI$50,0.01,0.1,0)</f>
        <v>-2.6547740949320045E-3</v>
      </c>
      <c r="AJ56" s="1" cm="1">
        <f t="array" ref="AJ56">OptionTheta("C",$E56,100,AJ$50,0.01,0.1,0)</f>
        <v>-2.6632813499454658E-3</v>
      </c>
      <c r="AK56" s="1" cm="1">
        <f t="array" ref="AK56">OptionTheta("C",$E56,100,AK$50,0.01,0.1,0)</f>
        <v>-2.6259889649814889E-3</v>
      </c>
      <c r="AO56" s="2">
        <f t="shared" si="17"/>
        <v>85</v>
      </c>
      <c r="AP56" s="1" cm="1">
        <f t="array" ref="AP56">OptionTheta("C",$E56,100,AP$50,0.01,0.3,0)</f>
        <v>-1.1310878555330526E-2</v>
      </c>
      <c r="AQ56" s="1" cm="1">
        <f t="array" ref="AQ56">OptionTheta("C",$E56,100,AQ$50,0.01,0.3,0)</f>
        <v>-1.6750650645336353E-2</v>
      </c>
      <c r="AR56" s="1" cm="1">
        <f t="array" ref="AR56">OptionTheta("C",$E56,100,AR$50,0.01,0.3,0)</f>
        <v>-1.7542361876317809E-2</v>
      </c>
      <c r="AS56" s="1" cm="1">
        <f t="array" ref="AS56">OptionTheta("C",$E56,100,AS$50,0.01,0.3,0)</f>
        <v>-1.7229760863557639E-2</v>
      </c>
      <c r="AT56" s="1" cm="1">
        <f t="array" ref="AT56">OptionTheta("C",$E56,100,AT$50,0.01,0.3,0)</f>
        <v>-1.6634225491545772E-2</v>
      </c>
      <c r="AU56" s="1" cm="1">
        <f t="array" ref="AU56">OptionTheta("C",$E56,100,AU$50,0.01,0.3,0)</f>
        <v>-1.5987706934550008E-2</v>
      </c>
      <c r="AV56" s="1" cm="1">
        <f t="array" ref="AV56">OptionTheta("C",$E56,100,AV$50,0.01,0.3,0)</f>
        <v>-1.5362860266520348E-2</v>
      </c>
      <c r="AW56" s="1" cm="1">
        <f t="array" ref="AW56">OptionTheta("C",$E56,100,AW$50,0.01,0.3,0)</f>
        <v>-1.478163582439752E-2</v>
      </c>
      <c r="AX56" s="1" cm="1">
        <f t="array" ref="AX56">OptionTheta("C",$E56,100,AX$50,0.01,0.3,0)</f>
        <v>-1.4248306028145802E-2</v>
      </c>
      <c r="AY56" s="1" cm="1">
        <f t="array" ref="AY56">OptionTheta("C",$E56,100,AY$50,0.01,0.3,0)</f>
        <v>-1.3760849356365786E-2</v>
      </c>
      <c r="AZ56" s="1" cm="1">
        <f t="array" ref="AZ56">OptionTheta("C",$E56,100,AZ$50,0.01,0.3,0)</f>
        <v>-1.0562482528402098E-2</v>
      </c>
      <c r="BA56" s="1" cm="1">
        <f t="array" ref="BA56">OptionTheta("C",$E56,100,BA$50,0.01,0.3,0)</f>
        <v>-8.852148601048446E-3</v>
      </c>
      <c r="BB56" s="1" cm="1">
        <f t="array" ref="BB56">OptionTheta("C",$E56,100,BB$50,0.01,0.3,0)</f>
        <v>-7.7442022009995065E-3</v>
      </c>
      <c r="BC56" s="1" cm="1">
        <f t="array" ref="BC56">OptionTheta("C",$E56,100,BC$50,0.01,0.3,0)</f>
        <v>-6.9464164713146882E-3</v>
      </c>
    </row>
    <row r="57" spans="3:55" x14ac:dyDescent="0.3">
      <c r="E57" s="2">
        <f t="shared" si="15"/>
        <v>90</v>
      </c>
      <c r="F57" s="1" cm="1">
        <f t="array" ref="F57">OptionTheta("C",$E57,100,F$50,0.01,0.2,0)</f>
        <v>-8.522520099390616E-3</v>
      </c>
      <c r="G57" s="1" cm="1">
        <f t="array" ref="G57">OptionTheta("C",$E57,100,G$50,0.01,0.2,0)</f>
        <v>-1.2182280442978789E-2</v>
      </c>
      <c r="H57" s="1" cm="1">
        <f t="array" ref="H57">OptionTheta("C",$E57,100,H$50,0.01,0.2,0)</f>
        <v>-1.2638171987152169E-2</v>
      </c>
      <c r="I57" s="1" cm="1">
        <f t="array" ref="I57">OptionTheta("C",$E57,100,I$50,0.01,0.2,0)</f>
        <v>-1.2373426930014803E-2</v>
      </c>
      <c r="J57" s="1" cm="1">
        <f t="array" ref="J57">OptionTheta("C",$E57,100,J$50,0.01,0.2,0)</f>
        <v>-1.1936056934393841E-2</v>
      </c>
      <c r="K57" s="1" cm="1">
        <f t="array" ref="K57">OptionTheta("C",$E57,100,K$50,0.01,0.2,0)</f>
        <v>-1.147563848433512E-2</v>
      </c>
      <c r="L57" s="1" cm="1">
        <f t="array" ref="L57">OptionTheta("C",$E57,100,L$50,0.01,0.2,0)</f>
        <v>-1.1037011543744306E-2</v>
      </c>
      <c r="M57" s="1" cm="1">
        <f t="array" ref="M57">OptionTheta("C",$E57,100,M$50,0.01,0.2,0)</f>
        <v>-1.0632526316781011E-2</v>
      </c>
      <c r="N57" s="1" cm="1">
        <f t="array" ref="N57">OptionTheta("C",$E57,100,N$50,0.01,0.2,0)</f>
        <v>-1.0263570156163148E-2</v>
      </c>
      <c r="O57" s="1" cm="1">
        <f t="array" ref="O57">OptionTheta("C",$E57,100,O$50,0.01,0.2,0)</f>
        <v>-9.9278329449124306E-3</v>
      </c>
      <c r="P57" s="1" cm="1">
        <f t="array" ref="P57">OptionTheta("C",$E57,100,P$50,0.01,0.2,0)</f>
        <v>-7.7498814871130887E-3</v>
      </c>
      <c r="Q57" s="1" cm="1">
        <f t="array" ref="Q57">OptionTheta("C",$E57,100,Q$50,0.01,0.2,0)</f>
        <v>-6.59899592315612E-3</v>
      </c>
      <c r="R57" s="1" cm="1">
        <f t="array" ref="R57">OptionTheta("C",$E57,100,R$50,0.01,0.2,0)</f>
        <v>-5.8579384639842105E-3</v>
      </c>
      <c r="S57" s="1" cm="1">
        <f t="array" ref="S57">OptionTheta("C",$E57,100,S$50,0.01,0.2,0)</f>
        <v>-5.3263546065456507E-3</v>
      </c>
      <c r="W57" s="2">
        <f t="shared" si="16"/>
        <v>90</v>
      </c>
      <c r="X57" s="1" cm="1">
        <f t="array" ref="X57">OptionTheta("C",$E57,100,X$50,0.01,0.1,0)</f>
        <v>-7.1956503233977506E-5</v>
      </c>
      <c r="Y57" s="1" cm="1">
        <f t="array" ref="Y57">OptionTheta("C",$E57,100,Y$50,0.01,0.1,0)</f>
        <v>-8.2797370478681644E-4</v>
      </c>
      <c r="Z57" s="1" cm="1">
        <f t="array" ref="Z57">OptionTheta("C",$E57,100,Z$50,0.01,0.1,0)</f>
        <v>-1.7270312440617181E-3</v>
      </c>
      <c r="AA57" s="1" cm="1">
        <f t="array" ref="AA57">OptionTheta("C",$E57,100,AA$50,0.01,0.1,0)</f>
        <v>-2.4033185999368196E-3</v>
      </c>
      <c r="AB57" s="1" cm="1">
        <f t="array" ref="AB57">OptionTheta("C",$E57,100,AB$50,0.01,0.1,0)</f>
        <v>-2.86820697129312E-3</v>
      </c>
      <c r="AC57" s="1" cm="1">
        <f t="array" ref="AC57">OptionTheta("C",$E57,100,AC$50,0.01,0.1,0)</f>
        <v>-3.1826508680168749E-3</v>
      </c>
      <c r="AD57" s="1" cm="1">
        <f t="array" ref="AD57">OptionTheta("C",$E57,100,AD$50,0.01,0.1,0)</f>
        <v>-3.3952024638746522E-3</v>
      </c>
      <c r="AE57" s="1" cm="1">
        <f t="array" ref="AE57">OptionTheta("C",$E57,100,AE$50,0.01,0.1,0)</f>
        <v>-3.538718453343772E-3</v>
      </c>
      <c r="AF57" s="1" cm="1">
        <f t="array" ref="AF57">OptionTheta("C",$E57,100,AF$50,0.01,0.1,0)</f>
        <v>-3.6348243433050815E-3</v>
      </c>
      <c r="AG57" s="1" cm="1">
        <f t="array" ref="AG57">OptionTheta("C",$E57,100,AG$50,0.01,0.1,0)</f>
        <v>-3.6978399638639176E-3</v>
      </c>
      <c r="AH57" s="1" cm="1">
        <f t="array" ref="AH57">OptionTheta("C",$E57,100,AH$50,0.01,0.1,0)</f>
        <v>-3.6890735961092476E-3</v>
      </c>
      <c r="AI57" s="1" cm="1">
        <f t="array" ref="AI57">OptionTheta("C",$E57,100,AI$50,0.01,0.1,0)</f>
        <v>-3.4725023557419634E-3</v>
      </c>
      <c r="AJ57" s="1" cm="1">
        <f t="array" ref="AJ57">OptionTheta("C",$E57,100,AJ$50,0.01,0.1,0)</f>
        <v>-3.2779817587708549E-3</v>
      </c>
      <c r="AK57" s="1" cm="1">
        <f t="array" ref="AK57">OptionTheta("C",$E57,100,AK$50,0.01,0.1,0)</f>
        <v>-3.1167209253369476E-3</v>
      </c>
      <c r="AO57" s="2">
        <f t="shared" si="17"/>
        <v>90</v>
      </c>
      <c r="AP57" s="1" cm="1">
        <f t="array" ref="AP57">OptionTheta("C",$E57,100,AP$50,0.01,0.3,0)</f>
        <v>-2.7156950482848472E-2</v>
      </c>
      <c r="AQ57" s="1" cm="1">
        <f t="array" ref="AQ57">OptionTheta("C",$E57,100,AQ$50,0.01,0.3,0)</f>
        <v>-2.631451405539716E-2</v>
      </c>
      <c r="AR57" s="1" cm="1">
        <f t="array" ref="AR57">OptionTheta("C",$E57,100,AR$50,0.01,0.3,0)</f>
        <v>-2.393134700814065E-2</v>
      </c>
      <c r="AS57" s="1" cm="1">
        <f t="array" ref="AS57">OptionTheta("C",$E57,100,AS$50,0.01,0.3,0)</f>
        <v>-2.1906052910039862E-2</v>
      </c>
      <c r="AT57" s="1" cm="1">
        <f t="array" ref="AT57">OptionTheta("C",$E57,100,AT$50,0.01,0.3,0)</f>
        <v>-2.0274661940088017E-2</v>
      </c>
      <c r="AU57" s="1" cm="1">
        <f t="array" ref="AU57">OptionTheta("C",$E57,100,AU$50,0.01,0.3,0)</f>
        <v>-1.8946385688934309E-2</v>
      </c>
      <c r="AV57" s="1" cm="1">
        <f t="array" ref="AV57">OptionTheta("C",$E57,100,AV$50,0.01,0.3,0)</f>
        <v>-1.7844179087973727E-2</v>
      </c>
      <c r="AW57" s="1" cm="1">
        <f t="array" ref="AW57">OptionTheta("C",$E57,100,AW$50,0.01,0.3,0)</f>
        <v>-1.6912727096520957E-2</v>
      </c>
      <c r="AX57" s="1" cm="1">
        <f t="array" ref="AX57">OptionTheta("C",$E57,100,AX$50,0.01,0.3,0)</f>
        <v>-1.6112934908725979E-2</v>
      </c>
      <c r="AY57" s="1" cm="1">
        <f t="array" ref="AY57">OptionTheta("C",$E57,100,AY$50,0.01,0.3,0)</f>
        <v>-1.5416779554245644E-2</v>
      </c>
      <c r="AZ57" s="1" cm="1">
        <f t="array" ref="AZ57">OptionTheta("C",$E57,100,AZ$50,0.01,0.3,0)</f>
        <v>-1.1345229383883113E-2</v>
      </c>
      <c r="BA57" s="1" cm="1">
        <f t="array" ref="BA57">OptionTheta("C",$E57,100,BA$50,0.01,0.3,0)</f>
        <v>-9.374520779380115E-3</v>
      </c>
      <c r="BB57" s="1" cm="1">
        <f t="array" ref="BB57">OptionTheta("C",$E57,100,BB$50,0.01,0.3,0)</f>
        <v>-8.1426436947306634E-3</v>
      </c>
      <c r="BC57" s="1" cm="1">
        <f t="array" ref="BC57">OptionTheta("C",$E57,100,BC$50,0.01,0.3,0)</f>
        <v>-7.2720111968502194E-3</v>
      </c>
    </row>
    <row r="58" spans="3:55" x14ac:dyDescent="0.3">
      <c r="E58" s="2">
        <f t="shared" si="15"/>
        <v>95</v>
      </c>
      <c r="F58" s="1" cm="1">
        <f t="array" ref="F58">OptionTheta("C",$E58,100,F$50,0.01,0.2,0)</f>
        <v>-2.5090681011235426E-2</v>
      </c>
      <c r="G58" s="1" cm="1">
        <f t="array" ref="G58">OptionTheta("C",$E58,100,G$50,0.01,0.2,0)</f>
        <v>-2.1177711703521649E-2</v>
      </c>
      <c r="H58" s="1" cm="1">
        <f t="array" ref="H58">OptionTheta("C",$E58,100,H$50,0.01,0.2,0)</f>
        <v>-1.8442912923839445E-2</v>
      </c>
      <c r="I58" s="1" cm="1">
        <f t="array" ref="I58">OptionTheta("C",$E58,100,I$50,0.01,0.2,0)</f>
        <v>-1.6547567498754211E-2</v>
      </c>
      <c r="J58" s="1" cm="1">
        <f t="array" ref="J58">OptionTheta("C",$E58,100,J$50,0.01,0.2,0)</f>
        <v>-1.5149999772640718E-2</v>
      </c>
      <c r="K58" s="1" cm="1">
        <f t="array" ref="K58">OptionTheta("C",$E58,100,K$50,0.01,0.2,0)</f>
        <v>-1.4067784566544894E-2</v>
      </c>
      <c r="L58" s="1" cm="1">
        <f t="array" ref="L58">OptionTheta("C",$E58,100,L$50,0.01,0.2,0)</f>
        <v>-1.3198563756395727E-2</v>
      </c>
      <c r="M58" s="1" cm="1">
        <f t="array" ref="M58">OptionTheta("C",$E58,100,M$50,0.01,0.2,0)</f>
        <v>-1.2480713076671431E-2</v>
      </c>
      <c r="N58" s="1" cm="1">
        <f t="array" ref="N58">OptionTheta("C",$E58,100,N$50,0.01,0.2,0)</f>
        <v>-1.187483186946591E-2</v>
      </c>
      <c r="O58" s="1" cm="1">
        <f t="array" ref="O58">OptionTheta("C",$E58,100,O$50,0.01,0.2,0)</f>
        <v>-1.135446597700572E-2</v>
      </c>
      <c r="P58" s="1" cm="1">
        <f t="array" ref="P58">OptionTheta("C",$E58,100,P$50,0.01,0.2,0)</f>
        <v>-8.4142414389325373E-3</v>
      </c>
      <c r="Q58" s="1" cm="1">
        <f t="array" ref="Q58">OptionTheta("C",$E58,100,Q$50,0.01,0.2,0)</f>
        <v>-7.0402965731493055E-3</v>
      </c>
      <c r="R58" s="1" cm="1">
        <f t="array" ref="R58">OptionTheta("C",$E58,100,R$50,0.01,0.2,0)</f>
        <v>-6.194227730312701E-3</v>
      </c>
      <c r="S58" s="1" cm="1">
        <f t="array" ref="S58">OptionTheta("C",$E58,100,S$50,0.01,0.2,0)</f>
        <v>-5.6014346113472564E-3</v>
      </c>
      <c r="W58" s="2">
        <f t="shared" si="16"/>
        <v>95</v>
      </c>
      <c r="X58" s="1" cm="1">
        <f t="array" ref="X58">OptionTheta("C",$E58,100,X$50,0.01,0.1,0)</f>
        <v>-4.9006030079422874E-3</v>
      </c>
      <c r="Y58" s="1" cm="1">
        <f t="array" ref="Y58">OptionTheta("C",$E58,100,Y$50,0.01,0.1,0)</f>
        <v>-6.8365065413363742E-3</v>
      </c>
      <c r="Z58" s="1" cm="1">
        <f t="array" ref="Z58">OptionTheta("C",$E58,100,Z$50,0.01,0.1,0)</f>
        <v>-7.0767071554018396E-3</v>
      </c>
      <c r="AA58" s="1" cm="1">
        <f t="array" ref="AA58">OptionTheta("C",$E58,100,AA$50,0.01,0.1,0)</f>
        <v>-6.9465581228966731E-3</v>
      </c>
      <c r="AB58" s="1" cm="1">
        <f t="array" ref="AB58">OptionTheta("C",$E58,100,AB$50,0.01,0.1,0)</f>
        <v>-6.7289781339823261E-3</v>
      </c>
      <c r="AC58" s="1" cm="1">
        <f t="array" ref="AC58">OptionTheta("C",$E58,100,AC$50,0.01,0.1,0)</f>
        <v>-6.5000392338948861E-3</v>
      </c>
      <c r="AD58" s="1" cm="1">
        <f t="array" ref="AD58">OptionTheta("C",$E58,100,AD$50,0.01,0.1,0)</f>
        <v>-6.2822853527534283E-3</v>
      </c>
      <c r="AE58" s="1" cm="1">
        <f t="array" ref="AE58">OptionTheta("C",$E58,100,AE$50,0.01,0.1,0)</f>
        <v>-6.0818261522560787E-3</v>
      </c>
      <c r="AF58" s="1" cm="1">
        <f t="array" ref="AF58">OptionTheta("C",$E58,100,AF$50,0.01,0.1,0)</f>
        <v>-5.899276831986414E-3</v>
      </c>
      <c r="AG58" s="1" cm="1">
        <f t="array" ref="AG58">OptionTheta("C",$E58,100,AG$50,0.01,0.1,0)</f>
        <v>-5.7334209143317183E-3</v>
      </c>
      <c r="AH58" s="1" cm="1">
        <f t="array" ref="AH58">OptionTheta("C",$E58,100,AH$50,0.01,0.1,0)</f>
        <v>-4.6640249678363745E-3</v>
      </c>
      <c r="AI58" s="1" cm="1">
        <f t="array" ref="AI58">OptionTheta("C",$E58,100,AI$50,0.01,0.1,0)</f>
        <v>-4.1041967805758922E-3</v>
      </c>
      <c r="AJ58" s="1" cm="1">
        <f t="array" ref="AJ58">OptionTheta("C",$E58,100,AJ$50,0.01,0.1,0)</f>
        <v>-3.7459055472475462E-3</v>
      </c>
      <c r="AK58" s="1" cm="1">
        <f t="array" ref="AK58">OptionTheta("C",$E58,100,AK$50,0.01,0.1,0)</f>
        <v>-3.4898745462750205E-3</v>
      </c>
      <c r="AO58" s="2">
        <f t="shared" si="17"/>
        <v>95</v>
      </c>
      <c r="AP58" s="1" cm="1">
        <f t="array" ref="AP58">OptionTheta("C",$E58,100,AP$50,0.01,0.3,0)</f>
        <v>-4.4607745574303262E-2</v>
      </c>
      <c r="AQ58" s="1" cm="1">
        <f t="array" ref="AQ58">OptionTheta("C",$E58,100,AQ$50,0.01,0.3,0)</f>
        <v>-3.4198995521248339E-2</v>
      </c>
      <c r="AR58" s="1" cm="1">
        <f t="array" ref="AR58">OptionTheta("C",$E58,100,AR$50,0.01,0.3,0)</f>
        <v>-2.8771216792948941E-2</v>
      </c>
      <c r="AS58" s="1" cm="1">
        <f t="array" ref="AS58">OptionTheta("C",$E58,100,AS$50,0.01,0.3,0)</f>
        <v>-2.5331741635614542E-2</v>
      </c>
      <c r="AT58" s="1" cm="1">
        <f t="array" ref="AT58">OptionTheta("C",$E58,100,AT$50,0.01,0.3,0)</f>
        <v>-2.2904894607282324E-2</v>
      </c>
      <c r="AU58" s="1" cm="1">
        <f t="array" ref="AU58">OptionTheta("C",$E58,100,AU$50,0.01,0.3,0)</f>
        <v>-2.1074262063025324E-2</v>
      </c>
      <c r="AV58" s="1" cm="1">
        <f t="array" ref="AV58">OptionTheta("C",$E58,100,AV$50,0.01,0.3,0)</f>
        <v>-1.9629166791495723E-2</v>
      </c>
      <c r="AW58" s="1" cm="1">
        <f t="array" ref="AW58">OptionTheta("C",$E58,100,AW$50,0.01,0.3,0)</f>
        <v>-1.845024458345422E-2</v>
      </c>
      <c r="AX58" s="1" cm="1">
        <f t="array" ref="AX58">OptionTheta("C",$E58,100,AX$50,0.01,0.3,0)</f>
        <v>-1.746418605453473E-2</v>
      </c>
      <c r="AY58" s="1" cm="1">
        <f t="array" ref="AY58">OptionTheta("C",$E58,100,AY$50,0.01,0.3,0)</f>
        <v>-1.662316236773562E-2</v>
      </c>
      <c r="AZ58" s="1" cm="1">
        <f t="array" ref="AZ58">OptionTheta("C",$E58,100,AZ$50,0.01,0.3,0)</f>
        <v>-1.194892693986377E-2</v>
      </c>
      <c r="BA58" s="1" cm="1">
        <f t="array" ref="BA58">OptionTheta("C",$E58,100,BA$50,0.01,0.3,0)</f>
        <v>-9.79465000843429E-3</v>
      </c>
      <c r="BB58" s="1" cm="1">
        <f t="array" ref="BB58">OptionTheta("C",$E58,100,BB$50,0.01,0.3,0)</f>
        <v>-8.4726606396136588E-3</v>
      </c>
      <c r="BC58" s="1" cm="1">
        <f t="array" ref="BC58">OptionTheta("C",$E58,100,BC$50,0.01,0.3,0)</f>
        <v>-7.5475420683820656E-3</v>
      </c>
    </row>
    <row r="59" spans="3:55" x14ac:dyDescent="0.3">
      <c r="E59" s="2">
        <f t="shared" si="15"/>
        <v>100</v>
      </c>
      <c r="F59" s="1" cm="1">
        <f t="array" ref="F59">OptionTheta("C",$E59,100,F$50,0.01,0.2,0)</f>
        <v>-3.587582727634072E-2</v>
      </c>
      <c r="G59" s="1" cm="1">
        <f t="array" ref="G59">OptionTheta("C",$E59,100,G$50,0.01,0.2,0)</f>
        <v>-2.5727864909208493E-2</v>
      </c>
      <c r="H59" s="1" cm="1">
        <f t="array" ref="H59">OptionTheta("C",$E59,100,H$50,0.01,0.2,0)</f>
        <v>-2.1223907267268485E-2</v>
      </c>
      <c r="I59" s="1" cm="1">
        <f t="array" ref="I59">OptionTheta("C",$E59,100,I$50,0.01,0.2,0)</f>
        <v>-1.8534111296167922E-2</v>
      </c>
      <c r="J59" s="1" cm="1">
        <f t="array" ref="J59">OptionTheta("C",$E59,100,J$50,0.01,0.2,0)</f>
        <v>-1.669513433372764E-2</v>
      </c>
      <c r="K59" s="1" cm="1">
        <f t="array" ref="K59">OptionTheta("C",$E59,100,K$50,0.01,0.2,0)</f>
        <v>-1.5335148941544155E-2</v>
      </c>
      <c r="L59" s="1" cm="1">
        <f t="array" ref="L59">OptionTheta("C",$E59,100,L$50,0.01,0.2,0)</f>
        <v>-1.42762030354927E-2</v>
      </c>
      <c r="M59" s="1" cm="1">
        <f t="array" ref="M59">OptionTheta("C",$E59,100,M$50,0.01,0.2,0)</f>
        <v>-1.342101472420478E-2</v>
      </c>
      <c r="N59" s="1" cm="1">
        <f t="array" ref="N59">OptionTheta("C",$E59,100,N$50,0.01,0.2,0)</f>
        <v>-1.2711318100461774E-2</v>
      </c>
      <c r="O59" s="1" cm="1">
        <f t="array" ref="O59">OptionTheta("C",$E59,100,O$50,0.01,0.2,0)</f>
        <v>-1.2109802231638456E-2</v>
      </c>
      <c r="P59" s="1" cm="1">
        <f t="array" ref="P59">OptionTheta("C",$E59,100,P$50,0.01,0.2,0)</f>
        <v>-8.8237172174144667E-3</v>
      </c>
      <c r="Q59" s="1" cm="1">
        <f t="array" ref="Q59">OptionTheta("C",$E59,100,Q$50,0.01,0.2,0)</f>
        <v>-7.3386071640610647E-3</v>
      </c>
      <c r="R59" s="1" cm="1">
        <f t="array" ref="R59">OptionTheta("C",$E59,100,R$50,0.01,0.2,0)</f>
        <v>-6.4358017299691378E-3</v>
      </c>
      <c r="S59" s="1" cm="1">
        <f t="array" ref="S59">OptionTheta("C",$E59,100,S$50,0.01,0.2,0)</f>
        <v>-5.8077058687701147E-3</v>
      </c>
      <c r="W59" s="2">
        <f t="shared" si="16"/>
        <v>100</v>
      </c>
      <c r="X59" s="1" cm="1">
        <f t="array" ref="X59">OptionTheta("C",$E59,100,X$50,0.01,0.1,0)</f>
        <v>-1.8648056161643271E-2</v>
      </c>
      <c r="Y59" s="1" cm="1">
        <f t="array" ref="Y59">OptionTheta("C",$E59,100,Y$50,0.01,0.1,0)</f>
        <v>-1.3584079256396245E-2</v>
      </c>
      <c r="Z59" s="1" cm="1">
        <f t="array" ref="Z59">OptionTheta("C",$E59,100,Z$50,0.01,0.1,0)</f>
        <v>-1.1339592584775316E-2</v>
      </c>
      <c r="AA59" s="1" cm="1">
        <f t="array" ref="AA59">OptionTheta("C",$E59,100,AA$50,0.01,0.1,0)</f>
        <v>-1.0000882518242171E-2</v>
      </c>
      <c r="AB59" s="1" cm="1">
        <f t="array" ref="AB59">OptionTheta("C",$E59,100,AB$50,0.01,0.1,0)</f>
        <v>-9.0867461332547108E-3</v>
      </c>
      <c r="AC59" s="1" cm="1">
        <f t="array" ref="AC59">OptionTheta("C",$E59,100,AC$50,0.01,0.1,0)</f>
        <v>-8.4115102039457497E-3</v>
      </c>
      <c r="AD59" s="1" cm="1">
        <f t="array" ref="AD59">OptionTheta("C",$E59,100,AD$50,0.01,0.1,0)</f>
        <v>-7.8863417080290536E-3</v>
      </c>
      <c r="AE59" s="1" cm="1">
        <f t="array" ref="AE59">OptionTheta("C",$E59,100,AE$50,0.01,0.1,0)</f>
        <v>-7.4626929861352376E-3</v>
      </c>
      <c r="AF59" s="1" cm="1">
        <f t="array" ref="AF59">OptionTheta("C",$E59,100,AF$50,0.01,0.1,0)</f>
        <v>-7.1114959516656931E-3</v>
      </c>
      <c r="AG59" s="1" cm="1">
        <f t="array" ref="AG59">OptionTheta("C",$E59,100,AG$50,0.01,0.1,0)</f>
        <v>-6.8141424186834703E-3</v>
      </c>
      <c r="AH59" s="1" cm="1">
        <f t="array" ref="AH59">OptionTheta("C",$E59,100,AH$50,0.01,0.1,0)</f>
        <v>-5.1967667503864771E-3</v>
      </c>
      <c r="AI59" s="1" cm="1">
        <f t="array" ref="AI59">OptionTheta("C",$E59,100,AI$50,0.01,0.1,0)</f>
        <v>-4.4716079014028923E-3</v>
      </c>
      <c r="AJ59" s="1" cm="1">
        <f t="array" ref="AJ59">OptionTheta("C",$E59,100,AJ$50,0.01,0.1,0)</f>
        <v>-4.0332340374452562E-3</v>
      </c>
      <c r="AK59" s="1" cm="1">
        <f t="array" ref="AK59">OptionTheta("C",$E59,100,AK$50,0.01,0.1,0)</f>
        <v>-3.729378121756278E-3</v>
      </c>
      <c r="AO59" s="2">
        <f t="shared" si="17"/>
        <v>100</v>
      </c>
      <c r="AP59" s="1" cm="1">
        <f t="array" ref="AP59">OptionTheta("C",$E59,100,AP$50,0.01,0.3,0)</f>
        <v>-5.3086352499986597E-2</v>
      </c>
      <c r="AQ59" s="1" cm="1">
        <f t="array" ref="AQ59">OptionTheta("C",$E59,100,AQ$50,0.01,0.3,0)</f>
        <v>-3.7847311782787982E-2</v>
      </c>
      <c r="AR59" s="1" cm="1">
        <f t="array" ref="AR59">OptionTheta("C",$E59,100,AR$50,0.01,0.3,0)</f>
        <v>-3.1078475009673045E-2</v>
      </c>
      <c r="AS59" s="1" cm="1">
        <f t="array" ref="AS59">OptionTheta("C",$E59,100,AS$50,0.01,0.3,0)</f>
        <v>-2.7033062564040269E-2</v>
      </c>
      <c r="AT59" s="1" cm="1">
        <f t="array" ref="AT59">OptionTheta("C",$E59,100,AT$50,0.01,0.3,0)</f>
        <v>-2.4265278685206906E-2</v>
      </c>
      <c r="AU59" s="1" cm="1">
        <f t="array" ref="AU59">OptionTheta("C",$E59,100,AU$50,0.01,0.3,0)</f>
        <v>-2.2216980654532561E-2</v>
      </c>
      <c r="AV59" s="1" cm="1">
        <f t="array" ref="AV59">OptionTheta("C",$E59,100,AV$50,0.01,0.3,0)</f>
        <v>-2.0621001433829628E-2</v>
      </c>
      <c r="AW59" s="1" cm="1">
        <f t="array" ref="AW59">OptionTheta("C",$E59,100,AW$50,0.01,0.3,0)</f>
        <v>-1.9331262283486684E-2</v>
      </c>
      <c r="AX59" s="1" cm="1">
        <f t="array" ref="AX59">OptionTheta("C",$E59,100,AX$50,0.01,0.3,0)</f>
        <v>-1.8260255886732128E-2</v>
      </c>
      <c r="AY59" s="1" cm="1">
        <f t="array" ref="AY59">OptionTheta("C",$E59,100,AY$50,0.01,0.3,0)</f>
        <v>-1.7351936757537507E-2</v>
      </c>
      <c r="AZ59" s="1" cm="1">
        <f t="array" ref="AZ59">OptionTheta("C",$E59,100,AZ$50,0.01,0.3,0)</f>
        <v>-1.2376533644701881E-2</v>
      </c>
      <c r="BA59" s="1" cm="1">
        <f t="array" ref="BA59">OptionTheta("C",$E59,100,BA$50,0.01,0.3,0)</f>
        <v>-1.0116690749816611E-2</v>
      </c>
      <c r="BB59" s="1" cm="1">
        <f t="array" ref="BB59">OptionTheta("C",$E59,100,BB$50,0.01,0.3,0)</f>
        <v>-8.737830637401028E-3</v>
      </c>
      <c r="BC59" s="1" cm="1">
        <f t="array" ref="BC59">OptionTheta("C",$E59,100,BC$50,0.01,0.3,0)</f>
        <v>-7.7759697055117712E-3</v>
      </c>
    </row>
    <row r="60" spans="3:55" x14ac:dyDescent="0.3">
      <c r="E60" s="2">
        <f t="shared" si="15"/>
        <v>105</v>
      </c>
      <c r="F60" s="1" cm="1">
        <f t="array" ref="F60">OptionTheta("C",$E60,100,F$50,0.01,0.2,0)</f>
        <v>-2.8074920944821148E-2</v>
      </c>
      <c r="G60" s="1" cm="1">
        <f t="array" ref="G60">OptionTheta("C",$E60,100,G$50,0.01,0.2,0)</f>
        <v>-2.3184753682297981E-2</v>
      </c>
      <c r="H60" s="1" cm="1">
        <f t="array" ref="H60">OptionTheta("C",$E60,100,H$50,0.01,0.2,0)</f>
        <v>-2.0039403437062866E-2</v>
      </c>
      <c r="I60" s="1" cm="1">
        <f t="array" ref="I60">OptionTheta("C",$E60,100,I$50,0.01,0.2,0)</f>
        <v>-1.7908730655282385E-2</v>
      </c>
      <c r="J60" s="1" cm="1">
        <f t="array" ref="J60">OptionTheta("C",$E60,100,J$50,0.01,0.2,0)</f>
        <v>-1.6354709222323478E-2</v>
      </c>
      <c r="K60" s="1" cm="1">
        <f t="array" ref="K60">OptionTheta("C",$E60,100,K$50,0.01,0.2,0)</f>
        <v>-1.5159089366178054E-2</v>
      </c>
      <c r="L60" s="1" cm="1">
        <f t="array" ref="L60">OptionTheta("C",$E60,100,L$50,0.01,0.2,0)</f>
        <v>-1.420289106003131E-2</v>
      </c>
      <c r="M60" s="1" cm="1">
        <f t="array" ref="M60">OptionTheta("C",$E60,100,M$50,0.01,0.2,0)</f>
        <v>-1.341562550892862E-2</v>
      </c>
      <c r="N60" s="1" cm="1">
        <f t="array" ref="N60">OptionTheta("C",$E60,100,N$50,0.01,0.2,0)</f>
        <v>-1.2752687748023357E-2</v>
      </c>
      <c r="O60" s="1" cm="1">
        <f t="array" ref="O60">OptionTheta("C",$E60,100,O$50,0.01,0.2,0)</f>
        <v>-1.2184345158928892E-2</v>
      </c>
      <c r="P60" s="1" cm="1">
        <f t="array" ref="P60">OptionTheta("C",$E60,100,P$50,0.01,0.2,0)</f>
        <v>-8.9880449596982763E-3</v>
      </c>
      <c r="Q60" s="1" cm="1">
        <f t="array" ref="Q60">OptionTheta("C",$E60,100,Q$50,0.01,0.2,0)</f>
        <v>-7.5017763946196806E-3</v>
      </c>
      <c r="R60" s="1" cm="1">
        <f t="array" ref="R60">OptionTheta("C",$E60,100,R$50,0.01,0.2,0)</f>
        <v>-6.5886360410569323E-3</v>
      </c>
      <c r="S60" s="1" cm="1">
        <f t="array" ref="S60">OptionTheta("C",$E60,100,S$50,0.01,0.2,0)</f>
        <v>-5.9498445110405746E-3</v>
      </c>
      <c r="W60" s="2">
        <f t="shared" si="16"/>
        <v>105</v>
      </c>
      <c r="X60" s="1" cm="1">
        <f t="array" ref="X60">OptionTheta("C",$E60,100,X$50,0.01,0.1,0)</f>
        <v>-7.6978079919565413E-3</v>
      </c>
      <c r="Y60" s="1" cm="1">
        <f t="array" ref="Y60">OptionTheta("C",$E60,100,Y$50,0.01,0.1,0)</f>
        <v>-8.9332989803460796E-3</v>
      </c>
      <c r="Z60" s="1" cm="1">
        <f t="array" ref="Z60">OptionTheta("C",$E60,100,Z$50,0.01,0.1,0)</f>
        <v>-8.7680662048319081E-3</v>
      </c>
      <c r="AA60" s="1" cm="1">
        <f t="array" ref="AA60">OptionTheta("C",$E60,100,AA$50,0.01,0.1,0)</f>
        <v>-8.387281922969652E-3</v>
      </c>
      <c r="AB60" s="1" cm="1">
        <f t="array" ref="AB60">OptionTheta("C",$E60,100,AB$50,0.01,0.1,0)</f>
        <v>-7.9991241585501693E-3</v>
      </c>
      <c r="AC60" s="1" cm="1">
        <f t="array" ref="AC60">OptionTheta("C",$E60,100,AC$50,0.01,0.1,0)</f>
        <v>-7.6457252709511538E-3</v>
      </c>
      <c r="AD60" s="1" cm="1">
        <f t="array" ref="AD60">OptionTheta("C",$E60,100,AD$50,0.01,0.1,0)</f>
        <v>-7.3325007234308391E-3</v>
      </c>
      <c r="AE60" s="1" cm="1">
        <f t="array" ref="AE60">OptionTheta("C",$E60,100,AE$50,0.01,0.1,0)</f>
        <v>-7.0560378776292655E-3</v>
      </c>
      <c r="AF60" s="1" cm="1">
        <f t="array" ref="AF60">OptionTheta("C",$E60,100,AF$50,0.01,0.1,0)</f>
        <v>-6.8112371711487648E-3</v>
      </c>
      <c r="AG60" s="1" cm="1">
        <f t="array" ref="AG60">OptionTheta("C",$E60,100,AG$50,0.01,0.1,0)</f>
        <v>-6.5932393812371632E-3</v>
      </c>
      <c r="AH60" s="1" cm="1">
        <f t="array" ref="AH60">OptionTheta("C",$E60,100,AH$50,0.01,0.1,0)</f>
        <v>-5.2498490762077988E-3</v>
      </c>
      <c r="AI60" s="1" cm="1">
        <f t="array" ref="AI60">OptionTheta("C",$E60,100,AI$50,0.01,0.1,0)</f>
        <v>-4.5725396202247869E-3</v>
      </c>
      <c r="AJ60" s="1" cm="1">
        <f t="array" ref="AJ60">OptionTheta("C",$E60,100,AJ$50,0.01,0.1,0)</f>
        <v>-4.1448990624083316E-3</v>
      </c>
      <c r="AK60" s="1" cm="1">
        <f t="array" ref="AK60">OptionTheta("C",$E60,100,AK$50,0.01,0.1,0)</f>
        <v>-3.8416324918737858E-3</v>
      </c>
      <c r="AO60" s="2">
        <f t="shared" si="17"/>
        <v>105</v>
      </c>
      <c r="AP60" s="1" cm="1">
        <f t="array" ref="AP60">OptionTheta("C",$E60,100,AP$50,0.01,0.3,0)</f>
        <v>-4.8085728141050374E-2</v>
      </c>
      <c r="AQ60" s="1" cm="1">
        <f t="array" ref="AQ60">OptionTheta("C",$E60,100,AQ$50,0.01,0.3,0)</f>
        <v>-3.6555796803420887E-2</v>
      </c>
      <c r="AR60" s="1" cm="1">
        <f t="array" ref="AR60">OptionTheta("C",$E60,100,AR$50,0.01,0.3,0)</f>
        <v>-3.0661221492058428E-2</v>
      </c>
      <c r="AS60" s="1" cm="1">
        <f t="array" ref="AS60">OptionTheta("C",$E60,100,AS$50,0.01,0.3,0)</f>
        <v>-2.6951599885263414E-2</v>
      </c>
      <c r="AT60" s="1" cm="1">
        <f t="array" ref="AT60">OptionTheta("C",$E60,100,AT$50,0.01,0.3,0)</f>
        <v>-2.434348836131367E-2</v>
      </c>
      <c r="AU60" s="1" cm="1">
        <f t="array" ref="AU60">OptionTheta("C",$E60,100,AU$50,0.01,0.3,0)</f>
        <v>-2.238047288208864E-2</v>
      </c>
      <c r="AV60" s="1" cm="1">
        <f t="array" ref="AV60">OptionTheta("C",$E60,100,AV$50,0.01,0.3,0)</f>
        <v>-2.0833222335717817E-2</v>
      </c>
      <c r="AW60" s="1" cm="1">
        <f t="array" ref="AW60">OptionTheta("C",$E60,100,AW$50,0.01,0.3,0)</f>
        <v>-1.9572362194803957E-2</v>
      </c>
      <c r="AX60" s="1" cm="1">
        <f t="array" ref="AX60">OptionTheta("C",$E60,100,AX$50,0.01,0.3,0)</f>
        <v>-1.8518670613121766E-2</v>
      </c>
      <c r="AY60" s="1" cm="1">
        <f t="array" ref="AY60">OptionTheta("C",$E60,100,AY$50,0.01,0.3,0)</f>
        <v>-1.7620573745771147E-2</v>
      </c>
      <c r="AZ60" s="1" cm="1">
        <f t="array" ref="AZ60">OptionTheta("C",$E60,100,AZ$50,0.01,0.3,0)</f>
        <v>-1.2638391494715467E-2</v>
      </c>
      <c r="BA60" s="1" cm="1">
        <f t="array" ref="BA60">OptionTheta("C",$E60,100,BA$50,0.01,0.3,0)</f>
        <v>-1.0347112839222855E-2</v>
      </c>
      <c r="BB60" s="1" cm="1">
        <f t="array" ref="BB60">OptionTheta("C",$E60,100,BB$50,0.01,0.3,0)</f>
        <v>-8.942662878222556E-3</v>
      </c>
      <c r="BC60" s="1" cm="1">
        <f t="array" ref="BC60">OptionTheta("C",$E60,100,BC$50,0.01,0.3,0)</f>
        <v>-7.960669766185785E-3</v>
      </c>
    </row>
    <row r="61" spans="3:55" x14ac:dyDescent="0.3">
      <c r="E61" s="2">
        <f t="shared" si="15"/>
        <v>110</v>
      </c>
      <c r="F61" s="1" cm="1">
        <f t="array" ref="F61">OptionTheta("C",$E61,100,F$50,0.01,0.2,0)</f>
        <v>-1.390982216942876E-2</v>
      </c>
      <c r="G61" s="1" cm="1">
        <f t="array" ref="G61">OptionTheta("C",$E61,100,G$50,0.01,0.2,0)</f>
        <v>-1.648317141010695E-2</v>
      </c>
      <c r="H61" s="1" cm="1">
        <f t="array" ref="H61">OptionTheta("C",$E61,100,H$50,0.01,0.2,0)</f>
        <v>-1.6135498223984416E-2</v>
      </c>
      <c r="I61" s="1" cm="1">
        <f t="array" ref="I61">OptionTheta("C",$E61,100,I$50,0.01,0.2,0)</f>
        <v>-1.5351647729673084E-2</v>
      </c>
      <c r="J61" s="1" cm="1">
        <f t="array" ref="J61">OptionTheta("C",$E61,100,J$50,0.01,0.2,0)</f>
        <v>-1.4556288444781544E-2</v>
      </c>
      <c r="K61" s="1" cm="1">
        <f t="array" ref="K61">OptionTheta("C",$E61,100,K$50,0.01,0.2,0)</f>
        <v>-1.3833641759089228E-2</v>
      </c>
      <c r="L61" s="1" cm="1">
        <f t="array" ref="L61">OptionTheta("C",$E61,100,L$50,0.01,0.2,0)</f>
        <v>-1.3193788050821954E-2</v>
      </c>
      <c r="M61" s="1" cm="1">
        <f t="array" ref="M61">OptionTheta("C",$E61,100,M$50,0.01,0.2,0)</f>
        <v>-1.2629283718799435E-2</v>
      </c>
      <c r="N61" s="1" cm="1">
        <f t="array" ref="N61">OptionTheta("C",$E61,100,N$50,0.01,0.2,0)</f>
        <v>-1.2129489096126657E-2</v>
      </c>
      <c r="O61" s="1" cm="1">
        <f t="array" ref="O61">OptionTheta("C",$E61,100,O$50,0.01,0.2,0)</f>
        <v>-1.168437661360913E-2</v>
      </c>
      <c r="P61" s="1" cm="1">
        <f t="array" ref="P61">OptionTheta("C",$E61,100,P$50,0.01,0.2,0)</f>
        <v>-8.9364167225769418E-3</v>
      </c>
      <c r="Q61" s="1" cm="1">
        <f t="array" ref="Q61">OptionTheta("C",$E61,100,Q$50,0.01,0.2,0)</f>
        <v>-7.5441944644311183E-3</v>
      </c>
      <c r="R61" s="1" cm="1">
        <f t="array" ref="R61">OptionTheta("C",$E61,100,R$50,0.01,0.2,0)</f>
        <v>-6.6616174157512103E-3</v>
      </c>
      <c r="S61" s="1" cm="1">
        <f t="array" ref="S61">OptionTheta("C",$E61,100,S$50,0.01,0.2,0)</f>
        <v>-6.034028601944851E-3</v>
      </c>
      <c r="W61" s="2">
        <f t="shared" si="16"/>
        <v>110</v>
      </c>
      <c r="X61" s="1" cm="1">
        <f t="array" ref="X61">OptionTheta("C",$E61,100,X$50,0.01,0.1,0)</f>
        <v>-2.9089580427955277E-3</v>
      </c>
      <c r="Y61" s="1" cm="1">
        <f t="array" ref="Y61">OptionTheta("C",$E61,100,Y$50,0.01,0.1,0)</f>
        <v>-3.8913061596230723E-3</v>
      </c>
      <c r="Z61" s="1" cm="1">
        <f t="array" ref="Z61">OptionTheta("C",$E61,100,Z$50,0.01,0.1,0)</f>
        <v>-4.7122847712180215E-3</v>
      </c>
      <c r="AA61" s="1" cm="1">
        <f t="array" ref="AA61">OptionTheta("C",$E61,100,AA$50,0.01,0.1,0)</f>
        <v>-5.1946370335550817E-3</v>
      </c>
      <c r="AB61" s="1" cm="1">
        <f t="array" ref="AB61">OptionTheta("C",$E61,100,AB$50,0.01,0.1,0)</f>
        <v>-5.4532532806975649E-3</v>
      </c>
      <c r="AC61" s="1" cm="1">
        <f t="array" ref="AC61">OptionTheta("C",$E61,100,AC$50,0.01,0.1,0)</f>
        <v>-5.5792069205201321E-3</v>
      </c>
      <c r="AD61" s="1" cm="1">
        <f t="array" ref="AD61">OptionTheta("C",$E61,100,AD$50,0.01,0.1,0)</f>
        <v>-5.6268353354807675E-3</v>
      </c>
      <c r="AE61" s="1" cm="1">
        <f t="array" ref="AE61">OptionTheta("C",$E61,100,AE$50,0.01,0.1,0)</f>
        <v>-5.6276410487643485E-3</v>
      </c>
      <c r="AF61" s="1" cm="1">
        <f t="array" ref="AF61">OptionTheta("C",$E61,100,AF$50,0.01,0.1,0)</f>
        <v>-5.6001813999779493E-3</v>
      </c>
      <c r="AG61" s="1" cm="1">
        <f t="array" ref="AG61">OptionTheta("C",$E61,100,AG$50,0.01,0.1,0)</f>
        <v>-5.5556579677754564E-3</v>
      </c>
      <c r="AH61" s="1" cm="1">
        <f t="array" ref="AH61">OptionTheta("C",$E61,100,AH$50,0.01,0.1,0)</f>
        <v>-4.9431622584815245E-3</v>
      </c>
      <c r="AI61" s="1" cm="1">
        <f t="array" ref="AI61">OptionTheta("C",$E61,100,AI$50,0.01,0.1,0)</f>
        <v>-4.4617749510637277E-3</v>
      </c>
      <c r="AJ61" s="1" cm="1">
        <f t="array" ref="AJ61">OptionTheta("C",$E61,100,AJ$50,0.01,0.1,0)</f>
        <v>-4.1129984667138755E-3</v>
      </c>
      <c r="AK61" s="1" cm="1">
        <f t="array" ref="AK61">OptionTheta("C",$E61,100,AK$50,0.01,0.1,0)</f>
        <v>-3.8481179638850107E-3</v>
      </c>
      <c r="AO61" s="2">
        <f t="shared" si="17"/>
        <v>110</v>
      </c>
      <c r="AP61" s="1" cm="1">
        <f t="array" ref="AP61">OptionTheta("C",$E61,100,AP$50,0.01,0.3,0)</f>
        <v>-3.4707632288424835E-2</v>
      </c>
      <c r="AQ61" s="1" cm="1">
        <f t="array" ref="AQ61">OptionTheta("C",$E61,100,AQ$50,0.01,0.3,0)</f>
        <v>-3.1497214078068235E-2</v>
      </c>
      <c r="AR61" s="1" cm="1">
        <f t="array" ref="AR61">OptionTheta("C",$E61,100,AR$50,0.01,0.3,0)</f>
        <v>-2.80256443620811E-2</v>
      </c>
      <c r="AS61" s="1" cm="1">
        <f t="array" ref="AS61">OptionTheta("C",$E61,100,AS$50,0.01,0.3,0)</f>
        <v>-2.5370907369909487E-2</v>
      </c>
      <c r="AT61" s="1" cm="1">
        <f t="array" ref="AT61">OptionTheta("C",$E61,100,AT$50,0.01,0.3,0)</f>
        <v>-2.3322491459122675E-2</v>
      </c>
      <c r="AU61" s="1" cm="1">
        <f t="array" ref="AU61">OptionTheta("C",$E61,100,AU$50,0.01,0.3,0)</f>
        <v>-2.1693675166703747E-2</v>
      </c>
      <c r="AV61" s="1" cm="1">
        <f t="array" ref="AV61">OptionTheta("C",$E61,100,AV$50,0.01,0.3,0)</f>
        <v>-2.0362290842882595E-2</v>
      </c>
      <c r="AW61" s="1" cm="1">
        <f t="array" ref="AW61">OptionTheta("C",$E61,100,AW$50,0.01,0.3,0)</f>
        <v>-1.9248887049009487E-2</v>
      </c>
      <c r="AX61" s="1" cm="1">
        <f t="array" ref="AX61">OptionTheta("C",$E61,100,AX$50,0.01,0.3,0)</f>
        <v>-1.830021611928747E-2</v>
      </c>
      <c r="AY61" s="1" cm="1">
        <f t="array" ref="AY61">OptionTheta("C",$E61,100,AY$50,0.01,0.3,0)</f>
        <v>-1.7479366282235294E-2</v>
      </c>
      <c r="AZ61" s="1" cm="1">
        <f t="array" ref="AZ61">OptionTheta("C",$E61,100,AZ$50,0.01,0.3,0)</f>
        <v>-1.2749791611446966E-2</v>
      </c>
      <c r="BA61" s="1" cm="1">
        <f t="array" ref="BA61">OptionTheta("C",$E61,100,BA$50,0.01,0.3,0)</f>
        <v>-1.049384430549196E-2</v>
      </c>
      <c r="BB61" s="1" cm="1">
        <f t="array" ref="BB61">OptionTheta("C",$E61,100,BB$50,0.01,0.3,0)</f>
        <v>-9.0922059143302408E-3</v>
      </c>
      <c r="BC61" s="1" cm="1">
        <f t="array" ref="BC61">OptionTheta("C",$E61,100,BC$50,0.01,0.3,0)</f>
        <v>-8.1052261007705812E-3</v>
      </c>
    </row>
    <row r="62" spans="3:55" x14ac:dyDescent="0.3">
      <c r="E62" s="2">
        <f t="shared" si="15"/>
        <v>115</v>
      </c>
      <c r="F62" s="1" cm="1">
        <f t="array" ref="F62">OptionTheta("C",$E62,100,F$50,0.01,0.2,0)</f>
        <v>-5.8093284971568572E-3</v>
      </c>
      <c r="G62" s="1" cm="1">
        <f t="array" ref="G62">OptionTheta("C",$E62,100,G$50,0.01,0.2,0)</f>
        <v>-1.0014379216774616E-2</v>
      </c>
      <c r="H62" s="1" cm="1">
        <f t="array" ref="H62">OptionTheta("C",$E62,100,H$50,0.01,0.2,0)</f>
        <v>-1.156850523739634E-2</v>
      </c>
      <c r="I62" s="1" cm="1">
        <f t="array" ref="I62">OptionTheta("C",$E62,100,I$50,0.01,0.2,0)</f>
        <v>-1.2018696753959566E-2</v>
      </c>
      <c r="J62" s="1" cm="1">
        <f t="array" ref="J62">OptionTheta("C",$E62,100,J$50,0.01,0.2,0)</f>
        <v>-1.2029245712727305E-2</v>
      </c>
      <c r="K62" s="1" cm="1">
        <f t="array" ref="K62">OptionTheta("C",$E62,100,K$50,0.01,0.2,0)</f>
        <v>-1.1856769750037936E-2</v>
      </c>
      <c r="L62" s="1" cm="1">
        <f t="array" ref="L62">OptionTheta("C",$E62,100,L$50,0.01,0.2,0)</f>
        <v>-1.1608721153305197E-2</v>
      </c>
      <c r="M62" s="1" cm="1">
        <f t="array" ref="M62">OptionTheta("C",$E62,100,M$50,0.01,0.2,0)</f>
        <v>-1.1333353730275371E-2</v>
      </c>
      <c r="N62" s="1" cm="1">
        <f t="array" ref="N62">OptionTheta("C",$E62,100,N$50,0.01,0.2,0)</f>
        <v>-1.1053299709237146E-2</v>
      </c>
      <c r="O62" s="1" cm="1">
        <f t="array" ref="O62">OptionTheta("C",$E62,100,O$50,0.01,0.2,0)</f>
        <v>-1.0779311000986972E-2</v>
      </c>
      <c r="P62" s="1" cm="1">
        <f t="array" ref="P62">OptionTheta("C",$E62,100,P$50,0.01,0.2,0)</f>
        <v>-8.7092091503845944E-3</v>
      </c>
      <c r="Q62" s="1" cm="1">
        <f t="array" ref="Q62">OptionTheta("C",$E62,100,Q$50,0.01,0.2,0)</f>
        <v>-7.4839946665865523E-3</v>
      </c>
      <c r="R62" s="1" cm="1">
        <f t="array" ref="R62">OptionTheta("C",$E62,100,R$50,0.01,0.2,0)</f>
        <v>-6.6652572065179546E-3</v>
      </c>
      <c r="S62" s="1" cm="1">
        <f t="array" ref="S62">OptionTheta("C",$E62,100,S$50,0.01,0.2,0)</f>
        <v>-6.0672405076638474E-3</v>
      </c>
      <c r="W62" s="2">
        <f t="shared" si="16"/>
        <v>115</v>
      </c>
      <c r="X62" s="1" cm="1">
        <f t="array" ref="X62">OptionTheta("C",$E62,100,X$50,0.01,0.1,0)</f>
        <v>-2.7378979367510933E-3</v>
      </c>
      <c r="Y62" s="1" cm="1">
        <f t="array" ref="Y62">OptionTheta("C",$E62,100,Y$50,0.01,0.1,0)</f>
        <v>-2.818087327364811E-3</v>
      </c>
      <c r="Z62" s="1" cm="1">
        <f t="array" ref="Z62">OptionTheta("C",$E62,100,Z$50,0.01,0.1,0)</f>
        <v>-3.0755397384419742E-3</v>
      </c>
      <c r="AA62" s="1" cm="1">
        <f t="array" ref="AA62">OptionTheta("C",$E62,100,AA$50,0.01,0.1,0)</f>
        <v>-3.3926715988255767E-3</v>
      </c>
      <c r="AB62" s="1" cm="1">
        <f t="array" ref="AB62">OptionTheta("C",$E62,100,AB$50,0.01,0.1,0)</f>
        <v>-3.6819872392782455E-3</v>
      </c>
      <c r="AC62" s="1" cm="1">
        <f t="array" ref="AC62">OptionTheta("C",$E62,100,AC$50,0.01,0.1,0)</f>
        <v>-3.9175885994299749E-3</v>
      </c>
      <c r="AD62" s="1" cm="1">
        <f t="array" ref="AD62">OptionTheta("C",$E62,100,AD$50,0.01,0.1,0)</f>
        <v>-4.0998343963390216E-3</v>
      </c>
      <c r="AE62" s="1" cm="1">
        <f t="array" ref="AE62">OptionTheta("C",$E62,100,AE$50,0.01,0.1,0)</f>
        <v>-4.2367889185774615E-3</v>
      </c>
      <c r="AF62" s="1" cm="1">
        <f t="array" ref="AF62">OptionTheta("C",$E62,100,AF$50,0.01,0.1,0)</f>
        <v>-4.3374413426835959E-3</v>
      </c>
      <c r="AG62" s="1" cm="1">
        <f t="array" ref="AG62">OptionTheta("C",$E62,100,AG$50,0.01,0.1,0)</f>
        <v>-4.4096540404070178E-3</v>
      </c>
      <c r="AH62" s="1" cm="1">
        <f t="array" ref="AH62">OptionTheta("C",$E62,100,AH$50,0.01,0.1,0)</f>
        <v>-4.4586785901714167E-3</v>
      </c>
      <c r="AI62" s="1" cm="1">
        <f t="array" ref="AI62">OptionTheta("C",$E62,100,AI$50,0.01,0.1,0)</f>
        <v>-4.218938209286577E-3</v>
      </c>
      <c r="AJ62" s="1" cm="1">
        <f t="array" ref="AJ62">OptionTheta("C",$E62,100,AJ$50,0.01,0.1,0)</f>
        <v>-3.9819272089589375E-3</v>
      </c>
      <c r="AK62" s="1" cm="1">
        <f t="array" ref="AK62">OptionTheta("C",$E62,100,AK$50,0.01,0.1,0)</f>
        <v>-3.777226487345011E-3</v>
      </c>
      <c r="AO62" s="2">
        <f t="shared" si="17"/>
        <v>115</v>
      </c>
      <c r="AP62" s="1" cm="1">
        <f t="array" ref="AP62">OptionTheta("C",$E62,100,AP$50,0.01,0.3,0)</f>
        <v>-2.0993022448244823E-2</v>
      </c>
      <c r="AQ62" s="1" cm="1">
        <f t="array" ref="AQ62">OptionTheta("C",$E62,100,AQ$50,0.01,0.3,0)</f>
        <v>-2.4716444860907769E-2</v>
      </c>
      <c r="AR62" s="1" cm="1">
        <f t="array" ref="AR62">OptionTheta("C",$E62,100,AR$50,0.01,0.3,0)</f>
        <v>-2.4043315710470518E-2</v>
      </c>
      <c r="AS62" s="1" cm="1">
        <f t="array" ref="AS62">OptionTheta("C",$E62,100,AS$50,0.01,0.3,0)</f>
        <v>-2.2763646779957413E-2</v>
      </c>
      <c r="AT62" s="1" cm="1">
        <f t="array" ref="AT62">OptionTheta("C",$E62,100,AT$50,0.01,0.3,0)</f>
        <v>-2.1496615638537202E-2</v>
      </c>
      <c r="AU62" s="1" cm="1">
        <f t="array" ref="AU62">OptionTheta("C",$E62,100,AU$50,0.01,0.3,0)</f>
        <v>-2.0356990609438245E-2</v>
      </c>
      <c r="AV62" s="1" cm="1">
        <f t="array" ref="AV62">OptionTheta("C",$E62,100,AV$50,0.01,0.3,0)</f>
        <v>-1.9353426783239924E-2</v>
      </c>
      <c r="AW62" s="1" cm="1">
        <f t="array" ref="AW62">OptionTheta("C",$E62,100,AW$50,0.01,0.3,0)</f>
        <v>-1.8470998973509557E-2</v>
      </c>
      <c r="AX62" s="1" cm="1">
        <f t="array" ref="AX62">OptionTheta("C",$E62,100,AX$50,0.01,0.3,0)</f>
        <v>-1.769143699034063E-2</v>
      </c>
      <c r="AY62" s="1" cm="1">
        <f t="array" ref="AY62">OptionTheta("C",$E62,100,AY$50,0.01,0.3,0)</f>
        <v>-1.6998205603962136E-2</v>
      </c>
      <c r="AZ62" s="1" cm="1">
        <f t="array" ref="AZ62">OptionTheta("C",$E62,100,AZ$50,0.01,0.3,0)</f>
        <v>-1.2728906636104678E-2</v>
      </c>
      <c r="BA62" s="1" cm="1">
        <f t="array" ref="BA62">OptionTheta("C",$E62,100,BA$50,0.01,0.3,0)</f>
        <v>-1.056559385875621E-2</v>
      </c>
      <c r="BB62" s="1" cm="1">
        <f t="array" ref="BB62">OptionTheta("C",$E62,100,BB$50,0.01,0.3,0)</f>
        <v>-9.1917503785103709E-3</v>
      </c>
      <c r="BC62" s="1" cm="1">
        <f t="array" ref="BC62">OptionTheta("C",$E62,100,BC$50,0.01,0.3,0)</f>
        <v>-8.2132789019653176E-3</v>
      </c>
    </row>
    <row r="63" spans="3:55" x14ac:dyDescent="0.3">
      <c r="E63" s="2">
        <f t="shared" si="15"/>
        <v>120</v>
      </c>
      <c r="F63" s="1" cm="1">
        <f t="array" ref="F63">OptionTheta("C",$E63,100,F$50,0.01,0.2,0)</f>
        <v>-3.2980350877409507E-3</v>
      </c>
      <c r="G63" s="1" cm="1">
        <f t="array" ref="G63">OptionTheta("C",$E63,100,G$50,0.01,0.2,0)</f>
        <v>-5.8706418488279595E-3</v>
      </c>
      <c r="H63" s="1" cm="1">
        <f t="array" ref="H63">OptionTheta("C",$E63,100,H$50,0.01,0.2,0)</f>
        <v>-7.8030659645640281E-3</v>
      </c>
      <c r="I63" s="1" cm="1">
        <f t="array" ref="I63">OptionTheta("C",$E63,100,I$50,0.01,0.2,0)</f>
        <v>-8.8845768479806544E-3</v>
      </c>
      <c r="J63" s="1" cm="1">
        <f t="array" ref="J63">OptionTheta("C",$E63,100,J$50,0.01,0.2,0)</f>
        <v>-9.447633656340923E-3</v>
      </c>
      <c r="K63" s="1" cm="1">
        <f t="array" ref="K63">OptionTheta("C",$E63,100,K$50,0.01,0.2,0)</f>
        <v>-9.7151881833421015E-3</v>
      </c>
      <c r="L63" s="1" cm="1">
        <f t="array" ref="L63">OptionTheta("C",$E63,100,L$50,0.01,0.2,0)</f>
        <v>-9.8125531154694967E-3</v>
      </c>
      <c r="M63" s="1" cm="1">
        <f t="array" ref="M63">OptionTheta("C",$E63,100,M$50,0.01,0.2,0)</f>
        <v>-9.8100075517420903E-3</v>
      </c>
      <c r="N63" s="1" cm="1">
        <f t="array" ref="N63">OptionTheta("C",$E63,100,N$50,0.01,0.2,0)</f>
        <v>-9.7480496592227111E-3</v>
      </c>
      <c r="O63" s="1" cm="1">
        <f t="array" ref="O63">OptionTheta("C",$E63,100,O$50,0.01,0.2,0)</f>
        <v>-9.6507315410033576E-3</v>
      </c>
      <c r="P63" s="1" cm="1">
        <f t="array" ref="P63">OptionTheta("C",$E63,100,P$50,0.01,0.2,0)</f>
        <v>-8.350801728961613E-3</v>
      </c>
      <c r="Q63" s="1" cm="1">
        <f t="array" ref="Q63">OptionTheta("C",$E63,100,Q$50,0.01,0.2,0)</f>
        <v>-7.3407620671237187E-3</v>
      </c>
      <c r="R63" s="1" cm="1">
        <f t="array" ref="R63">OptionTheta("C",$E63,100,R$50,0.01,0.2,0)</f>
        <v>-6.6106764762045777E-3</v>
      </c>
      <c r="S63" s="1" cm="1">
        <f t="array" ref="S63">OptionTheta("C",$E63,100,S$50,0.01,0.2,0)</f>
        <v>-6.0567311998251843E-3</v>
      </c>
      <c r="W63" s="2">
        <f t="shared" si="16"/>
        <v>120</v>
      </c>
      <c r="X63" s="1" cm="1">
        <f t="array" ref="X63">OptionTheta("C",$E63,100,X$50,0.01,0.1,0)</f>
        <v>-2.7369886140532376E-3</v>
      </c>
      <c r="Y63" s="1" cm="1">
        <f t="array" ref="Y63">OptionTheta("C",$E63,100,Y$50,0.01,0.1,0)</f>
        <v>-2.7369331127422283E-3</v>
      </c>
      <c r="Z63" s="1" cm="1">
        <f t="array" ref="Z63">OptionTheta("C",$E63,100,Z$50,0.01,0.1,0)</f>
        <v>-2.7660761012858214E-3</v>
      </c>
      <c r="AA63" s="1" cm="1">
        <f t="array" ref="AA63">OptionTheta("C",$E63,100,AA$50,0.01,0.1,0)</f>
        <v>-2.8470825557422789E-3</v>
      </c>
      <c r="AB63" s="1" cm="1">
        <f t="array" ref="AB63">OptionTheta("C",$E63,100,AB$50,0.01,0.1,0)</f>
        <v>-2.9664502842081759E-3</v>
      </c>
      <c r="AC63" s="1" cm="1">
        <f t="array" ref="AC63">OptionTheta("C",$E63,100,AC$50,0.01,0.1,0)</f>
        <v>-3.1013726684467648E-3</v>
      </c>
      <c r="AD63" s="1" cm="1">
        <f t="array" ref="AD63">OptionTheta("C",$E63,100,AD$50,0.01,0.1,0)</f>
        <v>-3.2353896287977677E-3</v>
      </c>
      <c r="AE63" s="1" cm="1">
        <f t="array" ref="AE63">OptionTheta("C",$E63,100,AE$50,0.01,0.1,0)</f>
        <v>-3.3595434629207685E-3</v>
      </c>
      <c r="AF63" s="1" cm="1">
        <f t="array" ref="AF63">OptionTheta("C",$E63,100,AF$50,0.01,0.1,0)</f>
        <v>-3.4699713884223408E-3</v>
      </c>
      <c r="AG63" s="1" cm="1">
        <f t="array" ref="AG63">OptionTheta("C",$E63,100,AG$50,0.01,0.1,0)</f>
        <v>-3.5657097047538805E-3</v>
      </c>
      <c r="AH63" s="1" cm="1">
        <f t="array" ref="AH63">OptionTheta("C",$E63,100,AH$50,0.01,0.1,0)</f>
        <v>-3.9544788770340747E-3</v>
      </c>
      <c r="AI63" s="1" cm="1">
        <f t="array" ref="AI63">OptionTheta("C",$E63,100,AI$50,0.01,0.1,0)</f>
        <v>-3.9204775417341292E-3</v>
      </c>
      <c r="AJ63" s="1" cm="1">
        <f t="array" ref="AJ63">OptionTheta("C",$E63,100,AJ$50,0.01,0.1,0)</f>
        <v>-3.7958881130957635E-3</v>
      </c>
      <c r="AK63" s="1" cm="1">
        <f t="array" ref="AK63">OptionTheta("C",$E63,100,AK$50,0.01,0.1,0)</f>
        <v>-3.6576166478524815E-3</v>
      </c>
      <c r="AO63" s="2">
        <f t="shared" si="17"/>
        <v>120</v>
      </c>
      <c r="AP63" s="1" cm="1">
        <f t="array" ref="AP63">OptionTheta("C",$E63,100,AP$50,0.01,0.3,0)</f>
        <v>-1.1420537071774158E-2</v>
      </c>
      <c r="AQ63" s="1" cm="1">
        <f t="array" ref="AQ63">OptionTheta("C",$E63,100,AQ$50,0.01,0.3,0)</f>
        <v>-1.8050816178209569E-2</v>
      </c>
      <c r="AR63" s="1" cm="1">
        <f t="array" ref="AR63">OptionTheta("C",$E63,100,AR$50,0.01,0.3,0)</f>
        <v>-1.9602300787189136E-2</v>
      </c>
      <c r="AS63" s="1" cm="1">
        <f t="array" ref="AS63">OptionTheta("C",$E63,100,AS$50,0.01,0.3,0)</f>
        <v>-1.9637025412135738E-2</v>
      </c>
      <c r="AT63" s="1" cm="1">
        <f t="array" ref="AT63">OptionTheta("C",$E63,100,AT$50,0.01,0.3,0)</f>
        <v>-1.918950913711176E-2</v>
      </c>
      <c r="AU63" s="1" cm="1">
        <f t="array" ref="AU63">OptionTheta("C",$E63,100,AU$50,0.01,0.3,0)</f>
        <v>-1.8593371902651753E-2</v>
      </c>
      <c r="AV63" s="1" cm="1">
        <f t="array" ref="AV63">OptionTheta("C",$E63,100,AV$50,0.01,0.3,0)</f>
        <v>-1.7968986904518695E-2</v>
      </c>
      <c r="AW63" s="1" cm="1">
        <f t="array" ref="AW63">OptionTheta("C",$E63,100,AW$50,0.01,0.3,0)</f>
        <v>-1.7361991874474968E-2</v>
      </c>
      <c r="AX63" s="1" cm="1">
        <f t="array" ref="AX63">OptionTheta("C",$E63,100,AX$50,0.01,0.3,0)</f>
        <v>-1.678907539949432E-2</v>
      </c>
      <c r="AY63" s="1" cm="1">
        <f t="array" ref="AY63">OptionTheta("C",$E63,100,AY$50,0.01,0.3,0)</f>
        <v>-1.6255012613347667E-2</v>
      </c>
      <c r="AZ63" s="1" cm="1">
        <f t="array" ref="AZ63">OptionTheta("C",$E63,100,AZ$50,0.01,0.3,0)</f>
        <v>-1.2595143753280946E-2</v>
      </c>
      <c r="BA63" s="1" cm="1">
        <f t="array" ref="BA63">OptionTheta("C",$E63,100,BA$50,0.01,0.3,0)</f>
        <v>-1.0571335466653783E-2</v>
      </c>
      <c r="BB63" s="1" cm="1">
        <f t="array" ref="BB63">OptionTheta("C",$E63,100,BB$50,0.01,0.3,0)</f>
        <v>-9.2466100796593544E-3</v>
      </c>
      <c r="BC63" s="1" cm="1">
        <f t="array" ref="BC63">OptionTheta("C",$E63,100,BC$50,0.01,0.3,0)</f>
        <v>-8.2884161040901686E-3</v>
      </c>
    </row>
    <row r="64" spans="3:55" x14ac:dyDescent="0.3">
      <c r="E64" s="2">
        <f t="shared" si="15"/>
        <v>125</v>
      </c>
      <c r="F64" s="1" cm="1">
        <f t="array" ref="F64">OptionTheta("C",$E64,100,F$50,0.01,0.2,0)</f>
        <v>-2.8086986391150509E-3</v>
      </c>
      <c r="G64" s="1" cm="1">
        <f t="array" ref="G64">OptionTheta("C",$E64,100,G$50,0.01,0.2,0)</f>
        <v>-3.8635314166789309E-3</v>
      </c>
      <c r="H64" s="1" cm="1">
        <f t="array" ref="H64">OptionTheta("C",$E64,100,H$50,0.01,0.2,0)</f>
        <v>-5.3118725073616844E-3</v>
      </c>
      <c r="I64" s="1" cm="1">
        <f t="array" ref="I64">OptionTheta("C",$E64,100,I$50,0.01,0.2,0)</f>
        <v>-6.4531026694396396E-3</v>
      </c>
      <c r="J64" s="1" cm="1">
        <f t="array" ref="J64">OptionTheta("C",$E64,100,J$50,0.01,0.2,0)</f>
        <v>-7.2390136516966219E-3</v>
      </c>
      <c r="K64" s="1" cm="1">
        <f t="array" ref="K64">OptionTheta("C",$E64,100,K$50,0.01,0.2,0)</f>
        <v>-7.7560265365973153E-3</v>
      </c>
      <c r="L64" s="1" cm="1">
        <f t="array" ref="L64">OptionTheta("C",$E64,100,L$50,0.01,0.2,0)</f>
        <v>-8.0860834412880053E-3</v>
      </c>
      <c r="M64" s="1" cm="1">
        <f t="array" ref="M64">OptionTheta("C",$E64,100,M$50,0.01,0.2,0)</f>
        <v>-8.2882651691811981E-3</v>
      </c>
      <c r="N64" s="1" cm="1">
        <f t="array" ref="N64">OptionTheta("C",$E64,100,N$50,0.01,0.2,0)</f>
        <v>-8.4027176497207014E-3</v>
      </c>
      <c r="O64" s="1" cm="1">
        <f t="array" ref="O64">OptionTheta("C",$E64,100,O$50,0.01,0.2,0)</f>
        <v>-8.4564873480231836E-3</v>
      </c>
      <c r="P64" s="1" cm="1">
        <f t="array" ref="P64">OptionTheta("C",$E64,100,P$50,0.01,0.2,0)</f>
        <v>-7.9041967874178519E-3</v>
      </c>
      <c r="Q64" s="1" cm="1">
        <f t="array" ref="Q64">OptionTheta("C",$E64,100,Q$50,0.01,0.2,0)</f>
        <v>-7.1338242309086537E-3</v>
      </c>
      <c r="R64" s="1" cm="1">
        <f t="array" ref="R64">OptionTheta("C",$E64,100,R$50,0.01,0.2,0)</f>
        <v>-6.5088579908130937E-3</v>
      </c>
      <c r="S64" s="1" cm="1">
        <f t="array" ref="S64">OptionTheta("C",$E64,100,S$50,0.01,0.2,0)</f>
        <v>-6.0096306381540324E-3</v>
      </c>
      <c r="W64" s="2">
        <f t="shared" si="16"/>
        <v>125</v>
      </c>
      <c r="X64" s="1" cm="1">
        <f t="array" ref="X64">OptionTheta("C",$E64,100,X$50,0.01,0.1,0)</f>
        <v>-2.736987671012089E-3</v>
      </c>
      <c r="Y64" s="1" cm="1">
        <f t="array" ref="Y64">OptionTheta("C",$E64,100,Y$50,0.01,0.1,0)</f>
        <v>-2.7342941132561414E-3</v>
      </c>
      <c r="Z64" s="1" cm="1">
        <f t="array" ref="Z64">OptionTheta("C",$E64,100,Z$50,0.01,0.1,0)</f>
        <v>-2.7336759993008739E-3</v>
      </c>
      <c r="AA64" s="1" cm="1">
        <f t="array" ref="AA64">OptionTheta("C",$E64,100,AA$50,0.01,0.1,0)</f>
        <v>-2.743524708830351E-3</v>
      </c>
      <c r="AB64" s="1" cm="1">
        <f t="array" ref="AB64">OptionTheta("C",$E64,100,AB$50,0.01,0.1,0)</f>
        <v>-2.7714142243693103E-3</v>
      </c>
      <c r="AC64" s="1" cm="1">
        <f t="array" ref="AC64">OptionTheta("C",$E64,100,AC$50,0.01,0.1,0)</f>
        <v>-2.8174307433527055E-3</v>
      </c>
      <c r="AD64" s="1" cm="1">
        <f t="array" ref="AD64">OptionTheta("C",$E64,100,AD$50,0.01,0.1,0)</f>
        <v>-2.876830587230414E-3</v>
      </c>
      <c r="AE64" s="1" cm="1">
        <f t="array" ref="AE64">OptionTheta("C",$E64,100,AE$50,0.01,0.1,0)</f>
        <v>-2.9438719975859004E-3</v>
      </c>
      <c r="AF64" s="1" cm="1">
        <f t="array" ref="AF64">OptionTheta("C",$E64,100,AF$50,0.01,0.1,0)</f>
        <v>-3.0136947476325578E-3</v>
      </c>
      <c r="AG64" s="1" cm="1">
        <f t="array" ref="AG64">OptionTheta("C",$E64,100,AG$50,0.01,0.1,0)</f>
        <v>-3.082789852781783E-3</v>
      </c>
      <c r="AH64" s="1" cm="1">
        <f t="array" ref="AH64">OptionTheta("C",$E64,100,AH$50,0.01,0.1,0)</f>
        <v>-3.5254793804016605E-3</v>
      </c>
      <c r="AI64" s="1" cm="1">
        <f t="array" ref="AI64">OptionTheta("C",$E64,100,AI$50,0.01,0.1,0)</f>
        <v>-3.6237548794847097E-3</v>
      </c>
      <c r="AJ64" s="1" cm="1">
        <f t="array" ref="AJ64">OptionTheta("C",$E64,100,AJ$50,0.01,0.1,0)</f>
        <v>-3.5912186818333729E-3</v>
      </c>
      <c r="AK64" s="1" cm="1">
        <f t="array" ref="AK64">OptionTheta("C",$E64,100,AK$50,0.01,0.1,0)</f>
        <v>-3.5139854855894379E-3</v>
      </c>
      <c r="AO64" s="2">
        <f t="shared" si="17"/>
        <v>125</v>
      </c>
      <c r="AP64" s="1" cm="1">
        <f t="array" ref="AP64">OptionTheta("C",$E64,100,AP$50,0.01,0.3,0)</f>
        <v>-6.2592652884108022E-3</v>
      </c>
      <c r="AQ64" s="1" cm="1">
        <f t="array" ref="AQ64">OptionTheta("C",$E64,100,AQ$50,0.01,0.3,0)</f>
        <v>-1.2581540060979456E-2</v>
      </c>
      <c r="AR64" s="1" cm="1">
        <f t="array" ref="AR64">OptionTheta("C",$E64,100,AR$50,0.01,0.3,0)</f>
        <v>-1.5382044332691506E-2</v>
      </c>
      <c r="AS64" s="1" cm="1">
        <f t="array" ref="AS64">OptionTheta("C",$E64,100,AS$50,0.01,0.3,0)</f>
        <v>-1.6423692824762755E-2</v>
      </c>
      <c r="AT64" s="1" cm="1">
        <f t="array" ref="AT64">OptionTheta("C",$E64,100,AT$50,0.01,0.3,0)</f>
        <v>-1.6693740318528959E-2</v>
      </c>
      <c r="AU64" s="1" cm="1">
        <f t="array" ref="AU64">OptionTheta("C",$E64,100,AU$50,0.01,0.3,0)</f>
        <v>-1.6611519700124928E-2</v>
      </c>
      <c r="AV64" s="1" cm="1">
        <f t="array" ref="AV64">OptionTheta("C",$E64,100,AV$50,0.01,0.3,0)</f>
        <v>-1.6364402414983971E-2</v>
      </c>
      <c r="AW64" s="1" cm="1">
        <f t="array" ref="AW64">OptionTheta("C",$E64,100,AW$50,0.01,0.3,0)</f>
        <v>-1.6041692087433352E-2</v>
      </c>
      <c r="AX64" s="1" cm="1">
        <f t="array" ref="AX64">OptionTheta("C",$E64,100,AX$50,0.01,0.3,0)</f>
        <v>-1.568813039382631E-2</v>
      </c>
      <c r="AY64" s="1" cm="1">
        <f t="array" ref="AY64">OptionTheta("C",$E64,100,AY$50,0.01,0.3,0)</f>
        <v>-1.5326855586158964E-2</v>
      </c>
      <c r="AZ64" s="1" cm="1">
        <f t="array" ref="AZ64">OptionTheta("C",$E64,100,AZ$50,0.01,0.3,0)</f>
        <v>-1.236790787697707E-2</v>
      </c>
      <c r="BA64" s="1" cm="1">
        <f t="array" ref="BA64">OptionTheta("C",$E64,100,BA$50,0.01,0.3,0)</f>
        <v>-1.0519931433064563E-2</v>
      </c>
      <c r="BB64" s="1" cm="1">
        <f t="array" ref="BB64">OptionTheta("C",$E64,100,BB$50,0.01,0.3,0)</f>
        <v>-9.2619660764550766E-3</v>
      </c>
      <c r="BC64" s="1" cm="1">
        <f t="array" ref="BC64">OptionTheta("C",$E64,100,BC$50,0.01,0.3,0)</f>
        <v>-8.33409825556858E-3</v>
      </c>
    </row>
    <row r="65" spans="5:55" x14ac:dyDescent="0.3">
      <c r="E65" s="2">
        <f t="shared" si="15"/>
        <v>130</v>
      </c>
      <c r="F65" s="1" cm="1">
        <f t="array" ref="F65">OptionTheta("C",$E65,100,F$50,0.01,0.2,0)</f>
        <v>-2.7436959995603759E-3</v>
      </c>
      <c r="G65" s="1" cm="1">
        <f t="array" ref="G65">OptionTheta("C",$E65,100,G$50,0.01,0.2,0)</f>
        <v>-3.0818546636658525E-3</v>
      </c>
      <c r="H65" s="1" cm="1">
        <f t="array" ref="H65">OptionTheta("C",$E65,100,H$50,0.01,0.2,0)</f>
        <v>-3.9133995405080772E-3</v>
      </c>
      <c r="I65" s="1" cm="1">
        <f t="array" ref="I65">OptionTheta("C",$E65,100,I$50,0.01,0.2,0)</f>
        <v>-4.8102377432509861E-3</v>
      </c>
      <c r="J65" s="1" cm="1">
        <f t="array" ref="J65">OptionTheta("C",$E65,100,J$50,0.01,0.2,0)</f>
        <v>-5.568662598532218E-3</v>
      </c>
      <c r="K65" s="1" cm="1">
        <f t="array" ref="K65">OptionTheta("C",$E65,100,K$50,0.01,0.2,0)</f>
        <v>-6.1568434917161751E-3</v>
      </c>
      <c r="L65" s="1" cm="1">
        <f t="array" ref="L65">OptionTheta("C",$E65,100,L$50,0.01,0.2,0)</f>
        <v>-6.5964348968812203E-3</v>
      </c>
      <c r="M65" s="1" cm="1">
        <f t="array" ref="M65">OptionTheta("C",$E65,100,M$50,0.01,0.2,0)</f>
        <v>-6.9182826327776259E-3</v>
      </c>
      <c r="N65" s="1" cm="1">
        <f t="array" ref="N65">OptionTheta("C",$E65,100,N$50,0.01,0.2,0)</f>
        <v>-7.1498751882786279E-3</v>
      </c>
      <c r="O65" s="1" cm="1">
        <f t="array" ref="O65">OptionTheta("C",$E65,100,O$50,0.01,0.2,0)</f>
        <v>-7.3129897318547996E-3</v>
      </c>
      <c r="P65" s="1" cm="1">
        <f t="array" ref="P65">OptionTheta("C",$E65,100,P$50,0.01,0.2,0)</f>
        <v>-7.4075538194628169E-3</v>
      </c>
      <c r="Q65" s="1" cm="1">
        <f t="array" ref="Q65">OptionTheta("C",$E65,100,Q$50,0.01,0.2,0)</f>
        <v>-6.8810951640177172E-3</v>
      </c>
      <c r="R65" s="1" cm="1">
        <f t="array" ref="R65">OptionTheta("C",$E65,100,R$50,0.01,0.2,0)</f>
        <v>-6.370134502225463E-3</v>
      </c>
      <c r="S65" s="1" cm="1">
        <f t="array" ref="S65">OptionTheta("C",$E65,100,S$50,0.01,0.2,0)</f>
        <v>-5.93268151671765E-3</v>
      </c>
      <c r="W65" s="2">
        <f t="shared" si="16"/>
        <v>130</v>
      </c>
      <c r="X65" s="1" cm="1">
        <f t="array" ref="X65">OptionTheta("C",$E65,100,X$50,0.01,0.1,0)</f>
        <v>-2.7369876707763869E-3</v>
      </c>
      <c r="Y65" s="1" cm="1">
        <f t="array" ref="Y65">OptionTheta("C",$E65,100,Y$50,0.01,0.1,0)</f>
        <v>-2.7342524051318456E-3</v>
      </c>
      <c r="Z65" s="1" cm="1">
        <f t="array" ref="Z65">OptionTheta("C",$E65,100,Z$50,0.01,0.1,0)</f>
        <v>-2.7316079925956542E-3</v>
      </c>
      <c r="AA65" s="1" cm="1">
        <f t="array" ref="AA65">OptionTheta("C",$E65,100,AA$50,0.01,0.1,0)</f>
        <v>-2.7301321563579272E-3</v>
      </c>
      <c r="AB65" s="1" cm="1">
        <f t="array" ref="AB65">OptionTheta("C",$E65,100,AB$50,0.01,0.1,0)</f>
        <v>-2.732722349661286E-3</v>
      </c>
      <c r="AC65" s="1" cm="1">
        <f t="array" ref="AC65">OptionTheta("C",$E65,100,AC$50,0.01,0.1,0)</f>
        <v>-2.7423352226375757E-3</v>
      </c>
      <c r="AD65" s="1" cm="1">
        <f t="array" ref="AD65">OptionTheta("C",$E65,100,AD$50,0.01,0.1,0)</f>
        <v>-2.7602165367608218E-3</v>
      </c>
      <c r="AE65" s="1" cm="1">
        <f t="array" ref="AE65">OptionTheta("C",$E65,100,AE$50,0.01,0.1,0)</f>
        <v>-2.7858561465016387E-3</v>
      </c>
      <c r="AF65" s="1" cm="1">
        <f t="array" ref="AF65">OptionTheta("C",$E65,100,AF$50,0.01,0.1,0)</f>
        <v>-2.8177307946140435E-3</v>
      </c>
      <c r="AG65" s="1" cm="1">
        <f t="array" ref="AG65">OptionTheta("C",$E65,100,AG$50,0.01,0.1,0)</f>
        <v>-2.8539929876243157E-3</v>
      </c>
      <c r="AH65" s="1" cm="1">
        <f t="array" ref="AH65">OptionTheta("C",$E65,100,AH$50,0.01,0.1,0)</f>
        <v>-3.2056859635034209E-3</v>
      </c>
      <c r="AI65" s="1" cm="1">
        <f t="array" ref="AI65">OptionTheta("C",$E65,100,AI$50,0.01,0.1,0)</f>
        <v>-3.3629384444224812E-3</v>
      </c>
      <c r="AJ65" s="1" cm="1">
        <f t="array" ref="AJ65">OptionTheta("C",$E65,100,AJ$50,0.01,0.1,0)</f>
        <v>-3.3934233108399718E-3</v>
      </c>
      <c r="AK65" s="1" cm="1">
        <f t="array" ref="AK65">OptionTheta("C",$E65,100,AK$50,0.01,0.1,0)</f>
        <v>-3.3651475756269395E-3</v>
      </c>
      <c r="AO65" s="2">
        <f t="shared" si="17"/>
        <v>130</v>
      </c>
      <c r="AP65" s="1" cm="1">
        <f t="array" ref="AP65">OptionTheta("C",$E65,100,AP$50,0.01,0.3,0)</f>
        <v>-3.9799132950344585E-3</v>
      </c>
      <c r="AQ65" s="1" cm="1">
        <f t="array" ref="AQ65">OptionTheta("C",$E65,100,AQ$50,0.01,0.3,0)</f>
        <v>-8.6354632068481995E-3</v>
      </c>
      <c r="AR65" s="1" cm="1">
        <f t="array" ref="AR65">OptionTheta("C",$E65,100,AR$50,0.01,0.3,0)</f>
        <v>-1.1778948066319059E-2</v>
      </c>
      <c r="AS65" s="1" cm="1">
        <f t="array" ref="AS65">OptionTheta("C",$E65,100,AS$50,0.01,0.3,0)</f>
        <v>-1.3430239007566954E-2</v>
      </c>
      <c r="AT65" s="1" cm="1">
        <f t="array" ref="AT65">OptionTheta("C",$E65,100,AT$50,0.01,0.3,0)</f>
        <v>-1.423763110362297E-2</v>
      </c>
      <c r="AU65" s="1" cm="1">
        <f t="array" ref="AU65">OptionTheta("C",$E65,100,AU$50,0.01,0.3,0)</f>
        <v>-1.4583936041926969E-2</v>
      </c>
      <c r="AV65" s="1" cm="1">
        <f t="array" ref="AV65">OptionTheta("C",$E65,100,AV$50,0.01,0.3,0)</f>
        <v>-1.467308185158127E-2</v>
      </c>
      <c r="AW65" s="1" cm="1">
        <f t="array" ref="AW65">OptionTheta("C",$E65,100,AW$50,0.01,0.3,0)</f>
        <v>-1.4615688299595741E-2</v>
      </c>
      <c r="AX65" s="1" cm="1">
        <f t="array" ref="AX65">OptionTheta("C",$E65,100,AX$50,0.01,0.3,0)</f>
        <v>-1.4473928393117159E-2</v>
      </c>
      <c r="AY65" s="1" cm="1">
        <f t="array" ref="AY65">OptionTheta("C",$E65,100,AY$50,0.01,0.3,0)</f>
        <v>-1.4283952976631936E-2</v>
      </c>
      <c r="AZ65" s="1" cm="1">
        <f t="array" ref="AZ65">OptionTheta("C",$E65,100,AZ$50,0.01,0.3,0)</f>
        <v>-1.2065729467039186E-2</v>
      </c>
      <c r="BA65" s="1" cm="1">
        <f t="array" ref="BA65">OptionTheta("C",$E65,100,BA$50,0.01,0.3,0)</f>
        <v>-1.0419869202588826E-2</v>
      </c>
      <c r="BB65" s="1" cm="1">
        <f t="array" ref="BB65">OptionTheta("C",$E65,100,BB$50,0.01,0.3,0)</f>
        <v>-9.2427602438595949E-3</v>
      </c>
      <c r="BC65" s="1" cm="1">
        <f t="array" ref="BC65">OptionTheta("C",$E65,100,BC$50,0.01,0.3,0)</f>
        <v>-8.3536089273122689E-3</v>
      </c>
    </row>
    <row r="66" spans="5:55" x14ac:dyDescent="0.3">
      <c r="E66" s="2">
        <f t="shared" si="15"/>
        <v>135</v>
      </c>
      <c r="F66" s="1" cm="1">
        <f t="array" ref="F66">OptionTheta("C",$E66,100,F$50,0.01,0.2,0)</f>
        <v>-2.7374648639591839E-3</v>
      </c>
      <c r="G66" s="1" cm="1">
        <f t="array" ref="G66">OptionTheta("C",$E66,100,G$50,0.01,0.2,0)</f>
        <v>-2.8275045728677456E-3</v>
      </c>
      <c r="H66" s="1" cm="1">
        <f t="array" ref="H66">OptionTheta("C",$E66,100,H$50,0.01,0.2,0)</f>
        <v>-3.2252351948221258E-3</v>
      </c>
      <c r="I66" s="1" cm="1">
        <f t="array" ref="I66">OptionTheta("C",$E66,100,I$50,0.01,0.2,0)</f>
        <v>-3.81404713846089E-3</v>
      </c>
      <c r="J66" s="1" cm="1">
        <f t="array" ref="J66">OptionTheta("C",$E66,100,J$50,0.01,0.2,0)</f>
        <v>-4.4192724971741145E-3</v>
      </c>
      <c r="K66" s="1" cm="1">
        <f t="array" ref="K66">OptionTheta("C",$E66,100,K$50,0.01,0.2,0)</f>
        <v>-4.9586398490184145E-3</v>
      </c>
      <c r="L66" s="1" cm="1">
        <f t="array" ref="L66">OptionTheta("C",$E66,100,L$50,0.01,0.2,0)</f>
        <v>-5.4095217113988795E-3</v>
      </c>
      <c r="M66" s="1" cm="1">
        <f t="array" ref="M66">OptionTheta("C",$E66,100,M$50,0.01,0.2,0)</f>
        <v>-5.7745305581735906E-3</v>
      </c>
      <c r="N66" s="1" cm="1">
        <f t="array" ref="N66">OptionTheta("C",$E66,100,N$50,0.01,0.2,0)</f>
        <v>-6.0646568044938082E-3</v>
      </c>
      <c r="O66" s="1" cm="1">
        <f t="array" ref="O66">OptionTheta("C",$E66,100,O$50,0.01,0.2,0)</f>
        <v>-6.2923558653274116E-3</v>
      </c>
      <c r="P66" s="1" cm="1">
        <f t="array" ref="P66">OptionTheta("C",$E66,100,P$50,0.01,0.2,0)</f>
        <v>-6.8923957750537911E-3</v>
      </c>
      <c r="Q66" s="1" cm="1">
        <f t="array" ref="Q66">OptionTheta("C",$E66,100,Q$50,0.01,0.2,0)</f>
        <v>-6.5983892910574807E-3</v>
      </c>
      <c r="R66" s="1" cm="1">
        <f t="array" ref="R66">OptionTheta("C",$E66,100,R$50,0.01,0.2,0)</f>
        <v>-6.2038717217347446E-3</v>
      </c>
      <c r="S66" s="1" cm="1">
        <f t="array" ref="S66">OptionTheta("C",$E66,100,S$50,0.01,0.2,0)</f>
        <v>-5.8320720963131508E-3</v>
      </c>
      <c r="W66" s="2">
        <f t="shared" si="16"/>
        <v>135</v>
      </c>
      <c r="X66" s="1" cm="1">
        <f t="array" ref="X66">OptionTheta("C",$E66,100,X$50,0.01,0.1,0)</f>
        <v>-2.73698767077637E-3</v>
      </c>
      <c r="Y66" s="1" cm="1">
        <f t="array" ref="Y66">OptionTheta("C",$E66,100,Y$50,0.01,0.1,0)</f>
        <v>-2.7342520528684244E-3</v>
      </c>
      <c r="Z66" s="1" cm="1">
        <f t="array" ref="Z66">OptionTheta("C",$E66,100,Z$50,0.01,0.1,0)</f>
        <v>-2.7315217065746297E-3</v>
      </c>
      <c r="AA66" s="1" cm="1">
        <f t="array" ref="AA66">OptionTheta("C",$E66,100,AA$50,0.01,0.1,0)</f>
        <v>-2.7288821272296883E-3</v>
      </c>
      <c r="AB66" s="1" cm="1">
        <f t="array" ref="AB66">OptionTheta("C",$E66,100,AB$50,0.01,0.1,0)</f>
        <v>-2.7268472305600894E-3</v>
      </c>
      <c r="AC66" s="1" cm="1">
        <f t="array" ref="AC66">OptionTheta("C",$E66,100,AC$50,0.01,0.1,0)</f>
        <v>-2.7265312280787012E-3</v>
      </c>
      <c r="AD66" s="1" cm="1">
        <f t="array" ref="AD66">OptionTheta("C",$E66,100,AD$50,0.01,0.1,0)</f>
        <v>-2.7291937836389614E-3</v>
      </c>
      <c r="AE66" s="1" cm="1">
        <f t="array" ref="AE66">OptionTheta("C",$E66,100,AE$50,0.01,0.1,0)</f>
        <v>-2.735702078658283E-3</v>
      </c>
      <c r="AF66" s="1" cm="1">
        <f t="array" ref="AF66">OptionTheta("C",$E66,100,AF$50,0.01,0.1,0)</f>
        <v>-2.7463367452608455E-3</v>
      </c>
      <c r="AG66" s="1" cm="1">
        <f t="array" ref="AG66">OptionTheta("C",$E66,100,AG$50,0.01,0.1,0)</f>
        <v>-2.7608771112304633E-3</v>
      </c>
      <c r="AH66" s="1" cm="1">
        <f t="array" ref="AH66">OptionTheta("C",$E66,100,AH$50,0.01,0.1,0)</f>
        <v>-2.9896518167240559E-3</v>
      </c>
      <c r="AI66" s="1" cm="1">
        <f t="array" ref="AI66">OptionTheta("C",$E66,100,AI$50,0.01,0.1,0)</f>
        <v>-3.1524002957230659E-3</v>
      </c>
      <c r="AJ66" s="1" cm="1">
        <f t="array" ref="AJ66">OptionTheta("C",$E66,100,AJ$50,0.01,0.1,0)</f>
        <v>-3.2175359166484005E-3</v>
      </c>
      <c r="AK66" s="1" cm="1">
        <f t="array" ref="AK66">OptionTheta("C",$E66,100,AK$50,0.01,0.1,0)</f>
        <v>-3.2238207807185355E-3</v>
      </c>
      <c r="AO66" s="2">
        <f t="shared" si="17"/>
        <v>135</v>
      </c>
      <c r="AP66" s="1" cm="1">
        <f t="array" ref="AP66">OptionTheta("C",$E66,100,AP$50,0.01,0.3,0)</f>
        <v>-3.1251171514154962E-3</v>
      </c>
      <c r="AQ66" s="1" cm="1">
        <f t="array" ref="AQ66">OptionTheta("C",$E66,100,AQ$50,0.01,0.3,0)</f>
        <v>-6.05926458561364E-3</v>
      </c>
      <c r="AR66" s="1" cm="1">
        <f t="array" ref="AR66">OptionTheta("C",$E66,100,AR$50,0.01,0.3,0)</f>
        <v>-8.9391523402815917E-3</v>
      </c>
      <c r="AS66" s="1" cm="1">
        <f t="array" ref="AS66">OptionTheta("C",$E66,100,AS$50,0.01,0.3,0)</f>
        <v>-1.0832454422994962E-2</v>
      </c>
      <c r="AT66" s="1" cm="1">
        <f t="array" ref="AT66">OptionTheta("C",$E66,100,AT$50,0.01,0.3,0)</f>
        <v>-1.1975568197908664E-2</v>
      </c>
      <c r="AU66" s="1" cm="1">
        <f t="array" ref="AU66">OptionTheta("C",$E66,100,AU$50,0.01,0.3,0)</f>
        <v>-1.2638151562723944E-2</v>
      </c>
      <c r="AV66" s="1" cm="1">
        <f t="array" ref="AV66">OptionTheta("C",$E66,100,AV$50,0.01,0.3,0)</f>
        <v>-1.299936099003276E-2</v>
      </c>
      <c r="AW66" s="1" cm="1">
        <f t="array" ref="AW66">OptionTheta("C",$E66,100,AW$50,0.01,0.3,0)</f>
        <v>-1.3169810095521121E-2</v>
      </c>
      <c r="AX66" s="1" cm="1">
        <f t="array" ref="AX66">OptionTheta("C",$E66,100,AX$50,0.01,0.3,0)</f>
        <v>-1.3217798413972104E-2</v>
      </c>
      <c r="AY66" s="1" cm="1">
        <f t="array" ref="AY66">OptionTheta("C",$E66,100,AY$50,0.01,0.3,0)</f>
        <v>-1.3186256532811455E-2</v>
      </c>
      <c r="AZ66" s="1" cm="1">
        <f t="array" ref="AZ66">OptionTheta("C",$E66,100,AZ$50,0.01,0.3,0)</f>
        <v>-1.170569634539052E-2</v>
      </c>
      <c r="BA66" s="1" cm="1">
        <f t="array" ref="BA66">OptionTheta("C",$E66,100,BA$50,0.01,0.3,0)</f>
        <v>-1.0279088582546081E-2</v>
      </c>
      <c r="BB66" s="1" cm="1">
        <f t="array" ref="BB66">OptionTheta("C",$E66,100,BB$50,0.01,0.3,0)</f>
        <v>-9.1936269711699169E-3</v>
      </c>
      <c r="BC66" s="1" cm="1">
        <f t="array" ref="BC66">OptionTheta("C",$E66,100,BC$50,0.01,0.3,0)</f>
        <v>-8.3500243280010995E-3</v>
      </c>
    </row>
    <row r="67" spans="5:55" x14ac:dyDescent="0.3">
      <c r="E67" s="2">
        <f t="shared" si="15"/>
        <v>140</v>
      </c>
      <c r="F67" s="1" cm="1">
        <f t="array" ref="F67">OptionTheta("C",$E67,100,F$50,0.01,0.2,0)</f>
        <v>-2.7370143482358727E-3</v>
      </c>
      <c r="G67" s="1" cm="1">
        <f t="array" ref="G67">OptionTheta("C",$E67,100,G$50,0.01,0.2,0)</f>
        <v>-2.7564210044982709E-3</v>
      </c>
      <c r="H67" s="1" cm="1">
        <f t="array" ref="H67">OptionTheta("C",$E67,100,H$50,0.01,0.2,0)</f>
        <v>-2.9217319094192152E-3</v>
      </c>
      <c r="I67" s="1" cm="1">
        <f t="array" ref="I67">OptionTheta("C",$E67,100,I$50,0.01,0.2,0)</f>
        <v>-3.2611666304648871E-3</v>
      </c>
      <c r="J67" s="1" cm="1">
        <f t="array" ref="J67">OptionTheta("C",$E67,100,J$50,0.01,0.2,0)</f>
        <v>-3.686374204713105E-3</v>
      </c>
      <c r="K67" s="1" cm="1">
        <f t="array" ref="K67">OptionTheta("C",$E67,100,K$50,0.01,0.2,0)</f>
        <v>-4.1200040547638827E-3</v>
      </c>
      <c r="L67" s="1" cm="1">
        <f t="array" ref="L67">OptionTheta("C",$E67,100,L$50,0.01,0.2,0)</f>
        <v>-4.5211713226629997E-3</v>
      </c>
      <c r="M67" s="1" cm="1">
        <f t="array" ref="M67">OptionTheta("C",$E67,100,M$50,0.01,0.2,0)</f>
        <v>-4.8739454367226036E-3</v>
      </c>
      <c r="N67" s="1" cm="1">
        <f t="array" ref="N67">OptionTheta("C",$E67,100,N$50,0.01,0.2,0)</f>
        <v>-5.1754408148985426E-3</v>
      </c>
      <c r="O67" s="1" cm="1">
        <f t="array" ref="O67">OptionTheta("C",$E67,100,O$50,0.01,0.2,0)</f>
        <v>-5.4286855774456962E-3</v>
      </c>
      <c r="P67" s="1" cm="1">
        <f t="array" ref="P67">OptionTheta("C",$E67,100,P$50,0.01,0.2,0)</f>
        <v>-6.383090959449147E-3</v>
      </c>
      <c r="Q67" s="1" cm="1">
        <f t="array" ref="Q67">OptionTheta("C",$E67,100,Q$50,0.01,0.2,0)</f>
        <v>-6.2991025416910826E-3</v>
      </c>
      <c r="R67" s="1" cm="1">
        <f t="array" ref="R67">OptionTheta("C",$E67,100,R$50,0.01,0.2,0)</f>
        <v>-6.0183026684676438E-3</v>
      </c>
      <c r="S67" s="1" cm="1">
        <f t="array" ref="S67">OptionTheta("C",$E67,100,S$50,0.01,0.2,0)</f>
        <v>-5.7133452857681512E-3</v>
      </c>
      <c r="W67" s="2">
        <f t="shared" si="16"/>
        <v>140</v>
      </c>
      <c r="X67" s="1" cm="1">
        <f t="array" ref="X67">OptionTheta("C",$E67,100,X$50,0.01,0.1,0)</f>
        <v>-2.73698767077637E-3</v>
      </c>
      <c r="Y67" s="1" cm="1">
        <f t="array" ref="Y67">OptionTheta("C",$E67,100,Y$50,0.01,0.1,0)</f>
        <v>-2.7342520511485771E-3</v>
      </c>
      <c r="Z67" s="1" cm="1">
        <f t="array" ref="Z67">OptionTheta("C",$E67,100,Z$50,0.01,0.1,0)</f>
        <v>-2.7315192185145614E-3</v>
      </c>
      <c r="AA67" s="1" cm="1">
        <f t="array" ref="AA67">OptionTheta("C",$E67,100,AA$50,0.01,0.1,0)</f>
        <v>-2.7287940874309588E-3</v>
      </c>
      <c r="AB67" s="1" cm="1">
        <f t="array" ref="AB67">OptionTheta("C",$E67,100,AB$50,0.01,0.1,0)</f>
        <v>-2.7261380231119355E-3</v>
      </c>
      <c r="AC67" s="1" cm="1">
        <f t="array" ref="AC67">OptionTheta("C",$E67,100,AC$50,0.01,0.1,0)</f>
        <v>-2.7237942649291774E-3</v>
      </c>
      <c r="AD67" s="1" cm="1">
        <f t="array" ref="AD67">OptionTheta("C",$E67,100,AD$50,0.01,0.1,0)</f>
        <v>-2.7222339511491331E-3</v>
      </c>
      <c r="AE67" s="1" cm="1">
        <f t="array" ref="AE67">OptionTheta("C",$E67,100,AE$50,0.01,0.1,0)</f>
        <v>-2.7220300049986446E-3</v>
      </c>
      <c r="AF67" s="1" cm="1">
        <f t="array" ref="AF67">OptionTheta("C",$E67,100,AF$50,0.01,0.1,0)</f>
        <v>-2.7236795785183059E-3</v>
      </c>
      <c r="AG67" s="1" cm="1">
        <f t="array" ref="AG67">OptionTheta("C",$E67,100,AG$50,0.01,0.1,0)</f>
        <v>-2.7274934864203472E-3</v>
      </c>
      <c r="AH67" s="1" cm="1">
        <f t="array" ref="AH67">OptionTheta("C",$E67,100,AH$50,0.01,0.1,0)</f>
        <v>-2.8546706477409903E-3</v>
      </c>
      <c r="AI67" s="1" cm="1">
        <f t="array" ref="AI67">OptionTheta("C",$E67,100,AI$50,0.01,0.1,0)</f>
        <v>-2.9930375106576039E-3</v>
      </c>
      <c r="AJ67" s="1" cm="1">
        <f t="array" ref="AJ67">OptionTheta("C",$E67,100,AJ$50,0.01,0.1,0)</f>
        <v>-3.0702242762499269E-3</v>
      </c>
      <c r="AK67" s="1" cm="1">
        <f t="array" ref="AK67">OptionTheta("C",$E67,100,AK$50,0.01,0.1,0)</f>
        <v>-3.0974201768739838E-3</v>
      </c>
      <c r="AO67" s="2">
        <f t="shared" si="17"/>
        <v>140</v>
      </c>
      <c r="AP67" s="1" cm="1">
        <f t="array" ref="AP67">OptionTheta("C",$E67,100,AP$50,0.01,0.3,0)</f>
        <v>-2.8458324659119817E-3</v>
      </c>
      <c r="AQ67" s="1" cm="1">
        <f t="array" ref="AQ67">OptionTheta("C",$E67,100,AQ$50,0.01,0.3,0)</f>
        <v>-4.5088672563004771E-3</v>
      </c>
      <c r="AR67" s="1" cm="1">
        <f t="array" ref="AR67">OptionTheta("C",$E67,100,AR$50,0.01,0.3,0)</f>
        <v>-6.8382049078783789E-3</v>
      </c>
      <c r="AS67" s="1" cm="1">
        <f t="array" ref="AS67">OptionTheta("C",$E67,100,AS$50,0.01,0.3,0)</f>
        <v>-8.6981935800516056E-3</v>
      </c>
      <c r="AT67" s="1" cm="1">
        <f t="array" ref="AT67">OptionTheta("C",$E67,100,AT$50,0.01,0.3,0)</f>
        <v>-9.9940950730608505E-3</v>
      </c>
      <c r="AU67" s="1" cm="1">
        <f t="array" ref="AU67">OptionTheta("C",$E67,100,AU$50,0.01,0.3,0)</f>
        <v>-1.0857448283959788E-2</v>
      </c>
      <c r="AV67" s="1" cm="1">
        <f t="array" ref="AV67">OptionTheta("C",$E67,100,AV$50,0.01,0.3,0)</f>
        <v>-1.1417497527996139E-2</v>
      </c>
      <c r="AW67" s="1" cm="1">
        <f t="array" ref="AW67">OptionTheta("C",$E67,100,AW$50,0.01,0.3,0)</f>
        <v>-1.1768651175255076E-2</v>
      </c>
      <c r="AX67" s="1" cm="1">
        <f t="array" ref="AX67">OptionTheta("C",$E67,100,AX$50,0.01,0.3,0)</f>
        <v>-1.1975570207334521E-2</v>
      </c>
      <c r="AY67" s="1" cm="1">
        <f t="array" ref="AY67">OptionTheta("C",$E67,100,AY$50,0.01,0.3,0)</f>
        <v>-1.2082075574953957E-2</v>
      </c>
      <c r="AZ67" s="1" cm="1">
        <f t="array" ref="AZ67">OptionTheta("C",$E67,100,AZ$50,0.01,0.3,0)</f>
        <v>-1.1303126320450829E-2</v>
      </c>
      <c r="BA67" s="1" cm="1">
        <f t="array" ref="BA67">OptionTheta("C",$E67,100,BA$50,0.01,0.3,0)</f>
        <v>-1.0104878825265185E-2</v>
      </c>
      <c r="BB67" s="1" cm="1">
        <f t="array" ref="BB67">OptionTheta("C",$E67,100,BB$50,0.01,0.3,0)</f>
        <v>-9.1188536792843888E-3</v>
      </c>
      <c r="BC67" s="1" cm="1">
        <f t="array" ref="BC67">OptionTheta("C",$E67,100,BC$50,0.01,0.3,0)</f>
        <v>-8.3261971497866176E-3</v>
      </c>
    </row>
    <row r="89" spans="3:55" x14ac:dyDescent="0.3">
      <c r="C89" t="s">
        <v>10</v>
      </c>
      <c r="E89" s="1"/>
      <c r="F89" s="2">
        <v>0.1</v>
      </c>
      <c r="G89" s="2">
        <f>F89+0.1</f>
        <v>0.2</v>
      </c>
      <c r="H89" s="2">
        <f t="shared" ref="H89:N89" si="18">G89+0.1</f>
        <v>0.30000000000000004</v>
      </c>
      <c r="I89" s="2">
        <f t="shared" si="18"/>
        <v>0.4</v>
      </c>
      <c r="J89" s="2">
        <f t="shared" si="18"/>
        <v>0.5</v>
      </c>
      <c r="K89" s="2">
        <f t="shared" si="18"/>
        <v>0.6</v>
      </c>
      <c r="L89" s="2">
        <f t="shared" si="18"/>
        <v>0.7</v>
      </c>
      <c r="M89" s="2">
        <f t="shared" si="18"/>
        <v>0.79999999999999993</v>
      </c>
      <c r="N89" s="2">
        <f t="shared" si="18"/>
        <v>0.89999999999999991</v>
      </c>
      <c r="O89" s="2">
        <f>N89+0.1</f>
        <v>0.99999999999999989</v>
      </c>
      <c r="P89" s="2">
        <f>O89+1</f>
        <v>2</v>
      </c>
      <c r="Q89" s="2">
        <f t="shared" ref="Q89:S89" si="19">P89+1</f>
        <v>3</v>
      </c>
      <c r="R89" s="2">
        <f t="shared" si="19"/>
        <v>4</v>
      </c>
      <c r="S89" s="2">
        <f t="shared" si="19"/>
        <v>5</v>
      </c>
      <c r="U89" t="s">
        <v>10</v>
      </c>
      <c r="W89" s="1"/>
      <c r="X89" s="2">
        <v>0.1</v>
      </c>
      <c r="Y89" s="2">
        <f>X89+0.1</f>
        <v>0.2</v>
      </c>
      <c r="Z89" s="2">
        <f t="shared" ref="Z89:AF89" si="20">Y89+0.1</f>
        <v>0.30000000000000004</v>
      </c>
      <c r="AA89" s="2">
        <f t="shared" si="20"/>
        <v>0.4</v>
      </c>
      <c r="AB89" s="2">
        <f t="shared" si="20"/>
        <v>0.5</v>
      </c>
      <c r="AC89" s="2">
        <f t="shared" si="20"/>
        <v>0.6</v>
      </c>
      <c r="AD89" s="2">
        <f t="shared" si="20"/>
        <v>0.7</v>
      </c>
      <c r="AE89" s="2">
        <f t="shared" si="20"/>
        <v>0.79999999999999993</v>
      </c>
      <c r="AF89" s="2">
        <f t="shared" si="20"/>
        <v>0.89999999999999991</v>
      </c>
      <c r="AG89" s="2">
        <f>AF89+0.1</f>
        <v>0.99999999999999989</v>
      </c>
      <c r="AH89" s="2">
        <f>AG89+1</f>
        <v>2</v>
      </c>
      <c r="AI89" s="2">
        <f t="shared" ref="AI89:AK89" si="21">AH89+1</f>
        <v>3</v>
      </c>
      <c r="AJ89" s="2">
        <f t="shared" si="21"/>
        <v>4</v>
      </c>
      <c r="AK89" s="2">
        <f t="shared" si="21"/>
        <v>5</v>
      </c>
      <c r="AM89" t="s">
        <v>10</v>
      </c>
      <c r="AO89" s="1"/>
      <c r="AP89" s="2">
        <v>0.1</v>
      </c>
      <c r="AQ89" s="2">
        <f>AP89+0.1</f>
        <v>0.2</v>
      </c>
      <c r="AR89" s="2">
        <f t="shared" ref="AR89:AX89" si="22">AQ89+0.1</f>
        <v>0.30000000000000004</v>
      </c>
      <c r="AS89" s="2">
        <f t="shared" si="22"/>
        <v>0.4</v>
      </c>
      <c r="AT89" s="2">
        <f t="shared" si="22"/>
        <v>0.5</v>
      </c>
      <c r="AU89" s="2">
        <f t="shared" si="22"/>
        <v>0.6</v>
      </c>
      <c r="AV89" s="2">
        <f t="shared" si="22"/>
        <v>0.7</v>
      </c>
      <c r="AW89" s="2">
        <f t="shared" si="22"/>
        <v>0.79999999999999993</v>
      </c>
      <c r="AX89" s="2">
        <f t="shared" si="22"/>
        <v>0.89999999999999991</v>
      </c>
      <c r="AY89" s="2">
        <f>AX89+0.1</f>
        <v>0.99999999999999989</v>
      </c>
      <c r="AZ89" s="2">
        <f>AY89+1</f>
        <v>2</v>
      </c>
      <c r="BA89" s="2">
        <f t="shared" ref="BA89:BC89" si="23">AZ89+1</f>
        <v>3</v>
      </c>
      <c r="BB89" s="2">
        <f t="shared" si="23"/>
        <v>4</v>
      </c>
      <c r="BC89" s="2">
        <f t="shared" si="23"/>
        <v>5</v>
      </c>
    </row>
    <row r="90" spans="3:55" x14ac:dyDescent="0.3">
      <c r="C90" t="s">
        <v>6</v>
      </c>
      <c r="E90" s="2">
        <v>60</v>
      </c>
      <c r="F90" s="1" cm="1">
        <f t="array" ref="F90">OptionRho("C",$E90,100,F$89,0.01,0.2,0)</f>
        <v>2.9155373317769776E-17</v>
      </c>
      <c r="G90" s="1" cm="1">
        <f t="array" ref="G90">OptionRho("C",$E90,100,G$89,0.01,0.2,0)</f>
        <v>9.8144996773923621E-10</v>
      </c>
      <c r="H90" s="1" cm="1">
        <f t="array" ref="H90">OptionRho("C",$E90,100,H$89,0.01,0.2,0)</f>
        <v>4.0745379654174127E-7</v>
      </c>
      <c r="I90" s="1" cm="1">
        <f t="array" ref="I90">OptionRho("C",$E90,100,I$89,0.01,0.2,0)</f>
        <v>9.3629247971002436E-6</v>
      </c>
      <c r="J90" s="1" cm="1">
        <f t="array" ref="J90">OptionRho("C",$E90,100,J$89,0.01,0.2,0)</f>
        <v>6.588679923516248E-5</v>
      </c>
      <c r="K90" s="1" cm="1">
        <f t="array" ref="K90">OptionRho("C",$E90,100,K$89,0.01,0.2,0)</f>
        <v>2.5336754690401985E-4</v>
      </c>
      <c r="L90" s="1" cm="1">
        <f t="array" ref="L90">OptionRho("C",$E90,100,L$89,0.01,0.2,0)</f>
        <v>6.8496313647904098E-4</v>
      </c>
      <c r="M90" s="1" cm="1">
        <f t="array" ref="M90">OptionRho("C",$E90,100,M$89,0.01,0.2,0)</f>
        <v>1.479229983212314E-3</v>
      </c>
      <c r="N90" s="1" cm="1">
        <f t="array" ref="N90">OptionRho("C",$E90,100,N$89,0.01,0.2,0)</f>
        <v>2.7423139001812426E-3</v>
      </c>
      <c r="O90" s="1" cm="1">
        <f t="array" ref="O90">OptionRho("C",$E90,100,O$89,0.01,0.2,0)</f>
        <v>4.5595912570109308E-3</v>
      </c>
      <c r="P90" s="1" cm="1">
        <f t="array" ref="P90">OptionRho("C",$E90,100,P$89,0.01,0.2,0)</f>
        <v>5.9353081456012938E-2</v>
      </c>
      <c r="Q90" s="1" cm="1">
        <f t="array" ref="Q90">OptionRho("C",$E90,100,Q$89,0.01,0.2,0)</f>
        <v>0.17245259544138369</v>
      </c>
      <c r="R90" s="1" cm="1">
        <f t="array" ref="R90">OptionRho("C",$E90,100,R$89,0.01,0.2,0)</f>
        <v>0.32377152020462435</v>
      </c>
      <c r="S90" s="1" cm="1">
        <f t="array" ref="S90">OptionRho("C",$E90,100,S$89,0.01,0.2,0)</f>
        <v>0.4989815054427264</v>
      </c>
      <c r="U90" t="s">
        <v>8</v>
      </c>
      <c r="W90" s="2">
        <v>60</v>
      </c>
      <c r="X90" s="1" cm="1">
        <f t="array" ref="X90">OptionRho("C",$E90,100,X$89,0.01,0.1,0)</f>
        <v>6.8997547428960883E-60</v>
      </c>
      <c r="Y90" s="1" cm="1">
        <f t="array" ref="Y90">OptionRho("C",$E90,100,Y$89,0.01,0.1,0)</f>
        <v>4.1705600383653559E-31</v>
      </c>
      <c r="Z90" s="1" cm="1">
        <f t="array" ref="Z90">OptionRho("C",$E90,100,Z$89,0.01,0.1,0)</f>
        <v>2.1207973599216593E-21</v>
      </c>
      <c r="AA90" s="1" cm="1">
        <f t="array" ref="AA90">OptionRho("C",$E90,100,AA$89,0.01,0.1,0)</f>
        <v>1.7146657173941722E-16</v>
      </c>
      <c r="AB90" s="1" cm="1">
        <f t="array" ref="AB90">OptionRho("C",$E90,100,AB$89,0.01,0.1,0)</f>
        <v>1.6258128709111354E-13</v>
      </c>
      <c r="AC90" s="1" cm="1">
        <f t="array" ref="AC90">OptionRho("C",$E90,100,AC$89,0.01,0.1,0)</f>
        <v>1.6481813086334279E-11</v>
      </c>
      <c r="AD90" s="1" cm="1">
        <f t="array" ref="AD90">OptionRho("C",$E90,100,AD$89,0.01,0.1,0)</f>
        <v>4.6233752509654254E-10</v>
      </c>
      <c r="AE90" s="1" cm="1">
        <f t="array" ref="AE90">OptionRho("C",$E90,100,AE$89,0.01,0.1,0)</f>
        <v>5.7838836856354669E-9</v>
      </c>
      <c r="AF90" s="1" cm="1">
        <f t="array" ref="AF90">OptionRho("C",$E90,100,AF$89,0.01,0.1,0)</f>
        <v>4.2109995631038725E-8</v>
      </c>
      <c r="AG90" s="1" cm="1">
        <f t="array" ref="AG90">OptionRho("C",$E90,100,AG$89,0.01,0.1,0)</f>
        <v>2.094488315490244E-7</v>
      </c>
      <c r="AH90" s="1" cm="1">
        <f t="array" ref="AH90">OptionRho("C",$E90,100,AH$89,0.01,0.1,0)</f>
        <v>3.9017006065321993E-4</v>
      </c>
      <c r="AI90" s="1" cm="1">
        <f t="array" ref="AI90">OptionRho("C",$E90,100,AI$89,0.01,0.1,0)</f>
        <v>6.1154603756096351E-3</v>
      </c>
      <c r="AJ90" s="1" cm="1">
        <f t="array" ref="AJ90">OptionRho("C",$E90,100,AJ$89,0.01,0.1,0)</f>
        <v>2.7137815674117115E-2</v>
      </c>
      <c r="AK90" s="1" cm="1">
        <f t="array" ref="AK90">OptionRho("C",$E90,100,AK$89,0.01,0.1,0)</f>
        <v>7.0877394865647217E-2</v>
      </c>
      <c r="AM90" t="s">
        <v>7</v>
      </c>
      <c r="AO90" s="2">
        <v>60</v>
      </c>
      <c r="AP90" s="1" cm="1">
        <f t="array" ref="AP90">OptionRho("C",$E90,100,AP$89,0.01,0.3,0)</f>
        <v>2.9526232275500711E-9</v>
      </c>
      <c r="AQ90" s="1" cm="1">
        <f t="array" ref="AQ90">OptionRho("C",$E90,100,AQ$89,0.01,0.3,0)</f>
        <v>1.1332530343148013E-5</v>
      </c>
      <c r="AR90" s="1" cm="1">
        <f t="array" ref="AR90">OptionRho("C",$E90,100,AR$89,0.01,0.3,0)</f>
        <v>2.2587447202926866E-4</v>
      </c>
      <c r="AS90" s="1" cm="1">
        <f t="array" ref="AS90">OptionRho("C",$E90,100,AS$89,0.01,0.3,0)</f>
        <v>1.1301837002767319E-3</v>
      </c>
      <c r="AT90" s="1" cm="1">
        <f t="array" ref="AT90">OptionRho("C",$E90,100,AT$89,0.01,0.3,0)</f>
        <v>3.1727274899903948E-3</v>
      </c>
      <c r="AU90" s="1" cm="1">
        <f t="array" ref="AU90">OptionRho("C",$E90,100,AU$89,0.01,0.3,0)</f>
        <v>6.5908885371946321E-3</v>
      </c>
      <c r="AV90" s="1" cm="1">
        <f t="array" ref="AV90">OptionRho("C",$E90,100,AV$89,0.01,0.3,0)</f>
        <v>1.1449306418409964E-2</v>
      </c>
      <c r="AW90" s="1" cm="1">
        <f t="array" ref="AW90">OptionRho("C",$E90,100,AW$89,0.01,0.3,0)</f>
        <v>1.7711463627698015E-2</v>
      </c>
      <c r="AX90" s="1" cm="1">
        <f t="array" ref="AX90">OptionRho("C",$E90,100,AX$89,0.01,0.3,0)</f>
        <v>2.5290931687880009E-2</v>
      </c>
      <c r="AY90" s="1" cm="1">
        <f t="array" ref="AY90">OptionRho("C",$E90,100,AY$89,0.01,0.3,0)</f>
        <v>3.4081262074599133E-2</v>
      </c>
      <c r="AZ90" s="1" cm="1">
        <f t="array" ref="AZ90">OptionRho("C",$E90,100,AZ$89,0.01,0.3,0)</f>
        <v>0.16760740288014708</v>
      </c>
      <c r="BA90" s="1" cm="1">
        <f t="array" ref="BA90">OptionRho("C",$E90,100,BA$89,0.01,0.3,0)</f>
        <v>0.34347278354932753</v>
      </c>
      <c r="BB90" s="1" cm="1">
        <f t="array" ref="BB90">OptionRho("C",$E90,100,BB$89,0.01,0.3,0)</f>
        <v>0.53429576659871825</v>
      </c>
      <c r="BC90" s="1" cm="1">
        <f t="array" ref="BC90">OptionRho("C",$E90,100,BC$89,0.01,0.3,0)</f>
        <v>0.72913289318308616</v>
      </c>
    </row>
    <row r="91" spans="3:55" x14ac:dyDescent="0.3">
      <c r="E91" s="2">
        <f>E90+5</f>
        <v>65</v>
      </c>
      <c r="F91" s="1" cm="1">
        <f t="array" ref="F91">OptionRho("C",$E91,100,F$89,0.01,0.2,0)</f>
        <v>4.3284662987202281E-13</v>
      </c>
      <c r="G91" s="1" cm="1">
        <f t="array" ref="G91">OptionRho("C",$E91,100,G$89,0.01,0.2,0)</f>
        <v>1.3045620291245923E-7</v>
      </c>
      <c r="H91" s="1" cm="1">
        <f t="array" ref="H91">OptionRho("C",$E91,100,H$89,0.01,0.2,0)</f>
        <v>1.1214508890306987E-5</v>
      </c>
      <c r="I91" s="1" cm="1">
        <f t="array" ref="I91">OptionRho("C",$E91,100,I$89,0.01,0.2,0)</f>
        <v>1.1705675325644336E-4</v>
      </c>
      <c r="J91" s="1" cm="1">
        <f t="array" ref="J91">OptionRho("C",$E91,100,J$89,0.01,0.2,0)</f>
        <v>5.124182147004363E-4</v>
      </c>
      <c r="K91" s="1" cm="1">
        <f t="array" ref="K91">OptionRho("C",$E91,100,K$89,0.01,0.2,0)</f>
        <v>1.4346745368583711E-3</v>
      </c>
      <c r="L91" s="1" cm="1">
        <f t="array" ref="L91">OptionRho("C",$E91,100,L$89,0.01,0.2,0)</f>
        <v>3.0898154554743775E-3</v>
      </c>
      <c r="M91" s="1" cm="1">
        <f t="array" ref="M91">OptionRho("C",$E91,100,M$89,0.01,0.2,0)</f>
        <v>5.6236751489784883E-3</v>
      </c>
      <c r="N91" s="1" cm="1">
        <f t="array" ref="N91">OptionRho("C",$E91,100,N$89,0.01,0.2,0)</f>
        <v>9.1231525678742344E-3</v>
      </c>
      <c r="O91" s="1" cm="1">
        <f t="array" ref="O91">OptionRho("C",$E91,100,O$89,0.01,0.2,0)</f>
        <v>1.362821018707179E-2</v>
      </c>
      <c r="P91" s="1" cm="1">
        <f t="array" ref="P91">OptionRho("C",$E91,100,P$89,0.01,0.2,0)</f>
        <v>0.10879243138680189</v>
      </c>
      <c r="Q91" s="1" cm="1">
        <f t="array" ref="Q91">OptionRho("C",$E91,100,Q$89,0.01,0.2,0)</f>
        <v>0.26706226544028677</v>
      </c>
      <c r="R91" s="1" cm="1">
        <f t="array" ref="R91">OptionRho("C",$E91,100,R$89,0.01,0.2,0)</f>
        <v>0.45966579050016665</v>
      </c>
      <c r="S91" s="1" cm="1">
        <f t="array" ref="S91">OptionRho("C",$E91,100,S$89,0.01,0.2,0)</f>
        <v>0.67144050131601485</v>
      </c>
      <c r="W91" s="2">
        <f>W90+5</f>
        <v>65</v>
      </c>
      <c r="X91" s="1" cm="1">
        <f t="array" ref="X91">OptionRho("C",$E91,100,X$89,0.01,0.1,0)</f>
        <v>1.824025691521059E-43</v>
      </c>
      <c r="Y91" s="1" cm="1">
        <f t="array" ref="Y91">OptionRho("C",$E91,100,Y$89,0.01,0.1,0)</f>
        <v>7.2236755311601088E-23</v>
      </c>
      <c r="Z91" s="1" cm="1">
        <f t="array" ref="Z91">OptionRho("C",$E91,100,Z$89,0.01,0.1,0)</f>
        <v>6.8680684372739577E-16</v>
      </c>
      <c r="AA91" s="1" cm="1">
        <f t="array" ref="AA91">OptionRho("C",$E91,100,AA$89,0.01,0.1,0)</f>
        <v>2.3996762916801391E-12</v>
      </c>
      <c r="AB91" s="1" cm="1">
        <f t="array" ref="AB91">OptionRho("C",$E91,100,AB$89,0.01,0.1,0)</f>
        <v>3.4533346751725232E-10</v>
      </c>
      <c r="AC91" s="1" cm="1">
        <f t="array" ref="AC91">OptionRho("C",$E91,100,AC$89,0.01,0.1,0)</f>
        <v>9.9575989539410699E-9</v>
      </c>
      <c r="AD91" s="1" cm="1">
        <f t="array" ref="AD91">OptionRho("C",$E91,100,AD$89,0.01,0.1,0)</f>
        <v>1.1375608625566583E-7</v>
      </c>
      <c r="AE91" s="1" cm="1">
        <f t="array" ref="AE91">OptionRho("C",$E91,100,AE$89,0.01,0.1,0)</f>
        <v>7.2532656593866103E-7</v>
      </c>
      <c r="AF91" s="1" cm="1">
        <f t="array" ref="AF91">OptionRho("C",$E91,100,AF$89,0.01,0.1,0)</f>
        <v>3.1257694746679374E-6</v>
      </c>
      <c r="AG91" s="1" cm="1">
        <f t="array" ref="AG91">OptionRho("C",$E91,100,AG$89,0.01,0.1,0)</f>
        <v>1.0218383303882967E-5</v>
      </c>
      <c r="AH91" s="1" cm="1">
        <f t="array" ref="AH91">OptionRho("C",$E91,100,AH$89,0.01,0.1,0)</f>
        <v>2.8682719393543542E-3</v>
      </c>
      <c r="AI91" s="1" cm="1">
        <f t="array" ref="AI91">OptionRho("C",$E91,100,AI$89,0.01,0.1,0)</f>
        <v>2.3831658067032861E-2</v>
      </c>
      <c r="AJ91" s="1" cm="1">
        <f t="array" ref="AJ91">OptionRho("C",$E91,100,AJ$89,0.01,0.1,0)</f>
        <v>7.6832332776932757E-2</v>
      </c>
      <c r="AK91" s="1" cm="1">
        <f t="array" ref="AK91">OptionRho("C",$E91,100,AK$89,0.01,0.1,0)</f>
        <v>0.16543665197834301</v>
      </c>
      <c r="AO91" s="2">
        <f>AO90+5</f>
        <v>65</v>
      </c>
      <c r="AP91" s="1" cm="1">
        <f t="array" ref="AP91">OptionRho("C",$E91,100,AP$89,0.01,0.3,0)</f>
        <v>2.3477394326331548E-7</v>
      </c>
      <c r="AQ91" s="1" cm="1">
        <f t="array" ref="AQ91">OptionRho("C",$E91,100,AQ$89,0.01,0.3,0)</f>
        <v>1.1000326823056661E-4</v>
      </c>
      <c r="AR91" s="1" cm="1">
        <f t="array" ref="AR91">OptionRho("C",$E91,100,AR$89,0.01,0.3,0)</f>
        <v>1.0828646304118224E-3</v>
      </c>
      <c r="AS91" s="1" cm="1">
        <f t="array" ref="AS91">OptionRho("C",$E91,100,AS$89,0.01,0.3,0)</f>
        <v>3.7982446397381545E-3</v>
      </c>
      <c r="AT91" s="1" cm="1">
        <f t="array" ref="AT91">OptionRho("C",$E91,100,AT$89,0.01,0.3,0)</f>
        <v>8.6022397763405953E-3</v>
      </c>
      <c r="AU91" s="1" cm="1">
        <f t="array" ref="AU91">OptionRho("C",$E91,100,AU$89,0.01,0.3,0)</f>
        <v>1.5469602201022619E-2</v>
      </c>
      <c r="AV91" s="1" cm="1">
        <f t="array" ref="AV91">OptionRho("C",$E91,100,AV$89,0.01,0.3,0)</f>
        <v>2.4222946495275673E-2</v>
      </c>
      <c r="AW91" s="1" cm="1">
        <f t="array" ref="AW91">OptionRho("C",$E91,100,AW$89,0.01,0.3,0)</f>
        <v>3.4644139974960207E-2</v>
      </c>
      <c r="AX91" s="1" cm="1">
        <f t="array" ref="AX91">OptionRho("C",$E91,100,AX$89,0.01,0.3,0)</f>
        <v>4.6520065019908304E-2</v>
      </c>
      <c r="AY91" s="1" cm="1">
        <f t="array" ref="AY91">OptionRho("C",$E91,100,AY$89,0.01,0.3,0)</f>
        <v>5.9658621895937701E-2</v>
      </c>
      <c r="AZ91" s="1" cm="1">
        <f t="array" ref="AZ91">OptionRho("C",$E91,100,AZ$89,0.01,0.3,0)</f>
        <v>0.23314848276281694</v>
      </c>
      <c r="BA91" s="1" cm="1">
        <f t="array" ref="BA91">OptionRho("C",$E91,100,BA$89,0.01,0.3,0)</f>
        <v>0.44032078635685484</v>
      </c>
      <c r="BB91" s="1" cm="1">
        <f t="array" ref="BB91">OptionRho("C",$E91,100,BB$89,0.01,0.3,0)</f>
        <v>0.65612241719610553</v>
      </c>
      <c r="BC91" s="1" cm="1">
        <f t="array" ref="BC91">OptionRho("C",$E91,100,BC$89,0.01,0.3,0)</f>
        <v>0.87156514480259184</v>
      </c>
    </row>
    <row r="92" spans="3:55" x14ac:dyDescent="0.3">
      <c r="E92" s="2">
        <f t="shared" ref="E92:E106" si="24">E91+5</f>
        <v>70</v>
      </c>
      <c r="F92" s="1" cm="1">
        <f t="array" ref="F92">OptionRho("C",$E92,100,F$89,0.01,0.2,0)</f>
        <v>7.7692467200589764E-10</v>
      </c>
      <c r="G92" s="1" cm="1">
        <f t="array" ref="G92">OptionRho("C",$E92,100,G$89,0.01,0.2,0)</f>
        <v>6.0569776566511092E-6</v>
      </c>
      <c r="H92" s="1" cm="1">
        <f t="array" ref="H92">OptionRho("C",$E92,100,H$89,0.01,0.2,0)</f>
        <v>1.5340110803905882E-4</v>
      </c>
      <c r="I92" s="1" cm="1">
        <f t="array" ref="I92">OptionRho("C",$E92,100,I$89,0.01,0.2,0)</f>
        <v>8.671070253851767E-4</v>
      </c>
      <c r="J92" s="1" cm="1">
        <f t="array" ref="J92">OptionRho("C",$E92,100,J$89,0.01,0.2,0)</f>
        <v>2.6230859396038069E-3</v>
      </c>
      <c r="K92" s="1" cm="1">
        <f t="array" ref="K92">OptionRho("C",$E92,100,K$89,0.01,0.2,0)</f>
        <v>5.7342650040421743E-3</v>
      </c>
      <c r="L92" s="1" cm="1">
        <f t="array" ref="L92">OptionRho("C",$E92,100,L$89,0.01,0.2,0)</f>
        <v>1.0340638105047843E-2</v>
      </c>
      <c r="M92" s="1" cm="1">
        <f t="array" ref="M92">OptionRho("C",$E92,100,M$89,0.01,0.2,0)</f>
        <v>1.6463949579291828E-2</v>
      </c>
      <c r="N92" s="1" cm="1">
        <f t="array" ref="N92">OptionRho("C",$E92,100,N$89,0.01,0.2,0)</f>
        <v>2.4057851465664686E-2</v>
      </c>
      <c r="O92" s="1" cm="1">
        <f t="array" ref="O92">OptionRho("C",$E92,100,O$89,0.01,0.2,0)</f>
        <v>3.3041361033821E-2</v>
      </c>
      <c r="P92" s="1" cm="1">
        <f t="array" ref="P92">OptionRho("C",$E92,100,P$89,0.01,0.2,0)</f>
        <v>0.17932080685197074</v>
      </c>
      <c r="Q92" s="1" cm="1">
        <f t="array" ref="Q92">OptionRho("C",$E92,100,Q$89,0.01,0.2,0)</f>
        <v>0.38476487533043752</v>
      </c>
      <c r="R92" s="1" cm="1">
        <f t="array" ref="R92">OptionRho("C",$E92,100,R$89,0.01,0.2,0)</f>
        <v>0.6174994858488011</v>
      </c>
      <c r="S92" s="1" cm="1">
        <f t="array" ref="S92">OptionRho("C",$E92,100,S$89,0.01,0.2,0)</f>
        <v>0.8636305114580537</v>
      </c>
      <c r="W92" s="2">
        <f t="shared" ref="W92:W106" si="25">W91+5</f>
        <v>70</v>
      </c>
      <c r="X92" s="1" cm="1">
        <f t="array" ref="X92">OptionRho("C",$E92,100,X$89,0.01,0.1,0)</f>
        <v>9.954666886739304E-31</v>
      </c>
      <c r="Y92" s="1" cm="1">
        <f t="array" ref="Y92">OptionRho("C",$E92,100,Y$89,0.01,0.1,0)</f>
        <v>1.8148881916339142E-16</v>
      </c>
      <c r="Z92" s="1" cm="1">
        <f t="array" ref="Z92">OptionRho("C",$E92,100,Z$89,0.01,0.1,0)</f>
        <v>1.3307124507183932E-11</v>
      </c>
      <c r="AA92" s="1" cm="1">
        <f t="array" ref="AA92">OptionRho("C",$E92,100,AA$89,0.01,0.1,0)</f>
        <v>4.0794980511215184E-9</v>
      </c>
      <c r="AB92" s="1" cm="1">
        <f t="array" ref="AB92">OptionRho("C",$E92,100,AB$89,0.01,0.1,0)</f>
        <v>1.3625021969122364E-7</v>
      </c>
      <c r="AC92" s="1" cm="1">
        <f t="array" ref="AC92">OptionRho("C",$E92,100,AC$89,0.01,0.1,0)</f>
        <v>1.4829729609667339E-6</v>
      </c>
      <c r="AD92" s="1" cm="1">
        <f t="array" ref="AD92">OptionRho("C",$E92,100,AD$89,0.01,0.1,0)</f>
        <v>8.4440564273303502E-6</v>
      </c>
      <c r="AE92" s="1" cm="1">
        <f t="array" ref="AE92">OptionRho("C",$E92,100,AE$89,0.01,0.1,0)</f>
        <v>3.1927561083099139E-5</v>
      </c>
      <c r="AF92" s="1" cm="1">
        <f t="array" ref="AF92">OptionRho("C",$E92,100,AF$89,0.01,0.1,0)</f>
        <v>9.1613031212593089E-5</v>
      </c>
      <c r="AG92" s="1" cm="1">
        <f t="array" ref="AG92">OptionRho("C",$E92,100,AG$89,0.01,0.1,0)</f>
        <v>2.1625953663559374E-4</v>
      </c>
      <c r="AH92" s="1" cm="1">
        <f t="array" ref="AH92">OptionRho("C",$E92,100,AH$89,0.01,0.1,0)</f>
        <v>1.3949867109230144E-2</v>
      </c>
      <c r="AI92" s="1" cm="1">
        <f t="array" ref="AI92">OptionRho("C",$E92,100,AI$89,0.01,0.1,0)</f>
        <v>7.0649659059548314E-2</v>
      </c>
      <c r="AJ92" s="1" cm="1">
        <f t="array" ref="AJ92">OptionRho("C",$E92,100,AJ$89,0.01,0.1,0)</f>
        <v>0.17736667658110342</v>
      </c>
      <c r="AK92" s="1" cm="1">
        <f t="array" ref="AK92">OptionRho("C",$E92,100,AK$89,0.01,0.1,0)</f>
        <v>0.3281644793147272</v>
      </c>
      <c r="AO92" s="2">
        <f t="shared" ref="AO92:AO106" si="26">AO91+5</f>
        <v>70</v>
      </c>
      <c r="AP92" s="1" cm="1">
        <f t="array" ref="AP92">OptionRho("C",$E92,100,AP$89,0.01,0.3,0)</f>
        <v>7.3280508906908516E-6</v>
      </c>
      <c r="AQ92" s="1" cm="1">
        <f t="array" ref="AQ92">OptionRho("C",$E92,100,AQ$89,0.01,0.3,0)</f>
        <v>6.7012653150436694E-4</v>
      </c>
      <c r="AR92" s="1" cm="1">
        <f t="array" ref="AR92">OptionRho("C",$E92,100,AR$89,0.01,0.3,0)</f>
        <v>3.8055475002660966E-3</v>
      </c>
      <c r="AS92" s="1" cm="1">
        <f t="array" ref="AS92">OptionRho("C",$E92,100,AS$89,0.01,0.3,0)</f>
        <v>1.0108518694220895E-2</v>
      </c>
      <c r="AT92" s="1" cm="1">
        <f t="array" ref="AT92">OptionRho("C",$E92,100,AT$89,0.01,0.3,0)</f>
        <v>1.9341199007050006E-2</v>
      </c>
      <c r="AU92" s="1" cm="1">
        <f t="array" ref="AU92">OptionRho("C",$E92,100,AU$89,0.01,0.3,0)</f>
        <v>3.104568855619053E-2</v>
      </c>
      <c r="AV92" s="1" cm="1">
        <f t="array" ref="AV92">OptionRho("C",$E92,100,AV$89,0.01,0.3,0)</f>
        <v>4.4784244022574062E-2</v>
      </c>
      <c r="AW92" s="1" cm="1">
        <f t="array" ref="AW92">OptionRho("C",$E92,100,AW$89,0.01,0.3,0)</f>
        <v>6.0191244882771687E-2</v>
      </c>
      <c r="AX92" s="1" cm="1">
        <f t="array" ref="AX92">OptionRho("C",$E92,100,AX$89,0.01,0.3,0)</f>
        <v>7.6972593895436286E-2</v>
      </c>
      <c r="AY92" s="1" cm="1">
        <f t="array" ref="AY92">OptionRho("C",$E92,100,AY$89,0.01,0.3,0)</f>
        <v>9.4893482029156054E-2</v>
      </c>
      <c r="AZ92" s="1" cm="1">
        <f t="array" ref="AZ92">OptionRho("C",$E92,100,AZ$89,0.01,0.3,0)</f>
        <v>0.30833945975697685</v>
      </c>
      <c r="BA92" s="1" cm="1">
        <f t="array" ref="BA92">OptionRho("C",$E92,100,BA$89,0.01,0.3,0)</f>
        <v>0.54482049449278391</v>
      </c>
      <c r="BB92" s="1" cm="1">
        <f t="array" ref="BB92">OptionRho("C",$E92,100,BB$89,0.01,0.3,0)</f>
        <v>0.78359786030381173</v>
      </c>
      <c r="BC92" s="1" cm="1">
        <f t="array" ref="BC92">OptionRho("C",$E92,100,BC$89,0.01,0.3,0)</f>
        <v>1.0178771687584245</v>
      </c>
    </row>
    <row r="93" spans="3:55" x14ac:dyDescent="0.3">
      <c r="E93" s="2">
        <f t="shared" si="24"/>
        <v>75</v>
      </c>
      <c r="F93" s="1" cm="1">
        <f t="array" ref="F93">OptionRho("C",$E93,100,F$89,0.01,0.2,0)</f>
        <v>2.5013539023405383E-7</v>
      </c>
      <c r="G93" s="1" cm="1">
        <f t="array" ref="G93">OptionRho("C",$E93,100,G$89,0.01,0.2,0)</f>
        <v>1.1981739309242231E-4</v>
      </c>
      <c r="H93" s="1" cm="1">
        <f t="array" ref="H93">OptionRho("C",$E93,100,H$89,0.01,0.2,0)</f>
        <v>1.1911631216126933E-3</v>
      </c>
      <c r="I93" s="1" cm="1">
        <f t="array" ref="I93">OptionRho("C",$E93,100,I$89,0.01,0.2,0)</f>
        <v>4.2058365657656558E-3</v>
      </c>
      <c r="J93" s="1" cm="1">
        <f t="array" ref="J93">OptionRho("C",$E93,100,J$89,0.01,0.2,0)</f>
        <v>9.5750502791312735E-3</v>
      </c>
      <c r="K93" s="1" cm="1">
        <f t="array" ref="K93">OptionRho("C",$E93,100,K$89,0.01,0.2,0)</f>
        <v>1.7295450873604512E-2</v>
      </c>
      <c r="L93" s="1" cm="1">
        <f t="array" ref="L93">OptionRho("C",$E93,100,L$89,0.01,0.2,0)</f>
        <v>2.7188766452768527E-2</v>
      </c>
      <c r="M93" s="1" cm="1">
        <f t="array" ref="M93">OptionRho("C",$E93,100,M$89,0.01,0.2,0)</f>
        <v>3.9025965710024667E-2</v>
      </c>
      <c r="N93" s="1" cm="1">
        <f t="array" ref="N93">OptionRho("C",$E93,100,N$89,0.01,0.2,0)</f>
        <v>5.2579361449743289E-2</v>
      </c>
      <c r="O93" s="1" cm="1">
        <f t="array" ref="O93">OptionRho("C",$E93,100,O$89,0.01,0.2,0)</f>
        <v>6.7641543932963399E-2</v>
      </c>
      <c r="P93" s="1" cm="1">
        <f t="array" ref="P93">OptionRho("C",$E93,100,P$89,0.01,0.2,0)</f>
        <v>0.27119588189475019</v>
      </c>
      <c r="Q93" s="1" cm="1">
        <f t="array" ref="Q93">OptionRho("C",$E93,100,Q$89,0.01,0.2,0)</f>
        <v>0.52273981099216771</v>
      </c>
      <c r="R93" s="1" cm="1">
        <f t="array" ref="R93">OptionRho("C",$E93,100,R$89,0.01,0.2,0)</f>
        <v>0.79297672467890534</v>
      </c>
      <c r="S93" s="1" cm="1">
        <f t="array" ref="S93">OptionRho("C",$E93,100,S$89,0.01,0.2,0)</f>
        <v>1.070610955886903</v>
      </c>
      <c r="W93" s="2">
        <f t="shared" si="25"/>
        <v>75</v>
      </c>
      <c r="X93" s="1" cm="1">
        <f t="array" ref="X93">OptionRho("C",$E93,100,X$89,0.01,0.1,0)</f>
        <v>5.3493516241294045E-21</v>
      </c>
      <c r="Y93" s="1" cm="1">
        <f t="array" ref="Y93">OptionRho("C",$E93,100,Y$89,0.01,0.1,0)</f>
        <v>1.4484262281308254E-11</v>
      </c>
      <c r="Z93" s="1" cm="1">
        <f t="array" ref="Z93">OptionRho("C",$E93,100,Z$89,0.01,0.1,0)</f>
        <v>2.6052631871411224E-8</v>
      </c>
      <c r="AA93" s="1" cm="1">
        <f t="array" ref="AA93">OptionRho("C",$E93,100,AA$89,0.01,0.1,0)</f>
        <v>1.2492523960331803E-6</v>
      </c>
      <c r="AB93" s="1" cm="1">
        <f t="array" ref="AB93">OptionRho("C",$E93,100,AB$89,0.01,0.1,0)</f>
        <v>1.3693783854780401E-5</v>
      </c>
      <c r="AC93" s="1" cm="1">
        <f t="array" ref="AC93">OptionRho("C",$E93,100,AC$89,0.01,0.1,0)</f>
        <v>7.0864177060534547E-5</v>
      </c>
      <c r="AD93" s="1" cm="1">
        <f t="array" ref="AD93">OptionRho("C",$E93,100,AD$89,0.01,0.1,0)</f>
        <v>2.3711237792182926E-4</v>
      </c>
      <c r="AE93" s="1" cm="1">
        <f t="array" ref="AE93">OptionRho("C",$E93,100,AE$89,0.01,0.1,0)</f>
        <v>6.0144636736595401E-4</v>
      </c>
      <c r="AF93" s="1" cm="1">
        <f t="array" ref="AF93">OptionRho("C",$E93,100,AF$89,0.01,0.1,0)</f>
        <v>1.2646643565367435E-3</v>
      </c>
      <c r="AG93" s="1" cm="1">
        <f t="array" ref="AG93">OptionRho("C",$E93,100,AG$89,0.01,0.1,0)</f>
        <v>2.327242790908905E-3</v>
      </c>
      <c r="AH93" s="1" cm="1">
        <f t="array" ref="AH93">OptionRho("C",$E93,100,AH$89,0.01,0.1,0)</f>
        <v>4.8605196983075763E-2</v>
      </c>
      <c r="AI93" s="1" cm="1">
        <f t="array" ref="AI93">OptionRho("C",$E93,100,AI$89,0.01,0.1,0)</f>
        <v>0.16800016425945097</v>
      </c>
      <c r="AJ93" s="1" cm="1">
        <f t="array" ref="AJ93">OptionRho("C",$E93,100,AJ$89,0.01,0.1,0)</f>
        <v>0.34734979174896125</v>
      </c>
      <c r="AK93" s="1" cm="1">
        <f t="array" ref="AK93">OptionRho("C",$E93,100,AK$89,0.01,0.1,0)</f>
        <v>0.57096303141784466</v>
      </c>
      <c r="AO93" s="2">
        <f t="shared" si="26"/>
        <v>75</v>
      </c>
      <c r="AP93" s="1" cm="1">
        <f t="array" ref="AP93">OptionRho("C",$E93,100,AP$89,0.01,0.3,0)</f>
        <v>1.0716304021740663E-4</v>
      </c>
      <c r="AQ93" s="1" cm="1">
        <f t="array" ref="AQ93">OptionRho("C",$E93,100,AQ$89,0.01,0.3,0)</f>
        <v>2.8005079404176507E-3</v>
      </c>
      <c r="AR93" s="1" cm="1">
        <f t="array" ref="AR93">OptionRho("C",$E93,100,AR$89,0.01,0.3,0)</f>
        <v>1.0404743079329299E-2</v>
      </c>
      <c r="AS93" s="1" cm="1">
        <f t="array" ref="AS93">OptionRho("C",$E93,100,AS$89,0.01,0.3,0)</f>
        <v>2.2277486403587093E-2</v>
      </c>
      <c r="AT93" s="1" cm="1">
        <f t="array" ref="AT93">OptionRho("C",$E93,100,AT$89,0.01,0.3,0)</f>
        <v>3.7375642733991826E-2</v>
      </c>
      <c r="AU93" s="1" cm="1">
        <f t="array" ref="AU93">OptionRho("C",$E93,100,AU$89,0.01,0.3,0)</f>
        <v>5.4887827575266564E-2</v>
      </c>
      <c r="AV93" s="1" cm="1">
        <f t="array" ref="AV93">OptionRho("C",$E93,100,AV$89,0.01,0.3,0)</f>
        <v>7.4233901250503012E-2</v>
      </c>
      <c r="AW93" s="1" cm="1">
        <f t="array" ref="AW93">OptionRho("C",$E93,100,AW$89,0.01,0.3,0)</f>
        <v>9.4998591027931817E-2</v>
      </c>
      <c r="AX93" s="1" cm="1">
        <f t="array" ref="AX93">OptionRho("C",$E93,100,AX$89,0.01,0.3,0)</f>
        <v>0.11687876444341772</v>
      </c>
      <c r="AY93" s="1" cm="1">
        <f t="array" ref="AY93">OptionRho("C",$E93,100,AY$89,0.01,0.3,0)</f>
        <v>0.13964806192115628</v>
      </c>
      <c r="AZ93" s="1" cm="1">
        <f t="array" ref="AZ93">OptionRho("C",$E93,100,AZ$89,0.01,0.3,0)</f>
        <v>0.3912877070729931</v>
      </c>
      <c r="BA93" s="1" cm="1">
        <f t="array" ref="BA93">OptionRho("C",$E93,100,BA$89,0.01,0.3,0)</f>
        <v>0.65478709737318352</v>
      </c>
      <c r="BB93" s="1" cm="1">
        <f t="array" ref="BB93">OptionRho("C",$E93,100,BB$89,0.01,0.3,0)</f>
        <v>0.91460887943075675</v>
      </c>
      <c r="BC93" s="1" cm="1">
        <f t="array" ref="BC93">OptionRho("C",$E93,100,BC$89,0.01,0.3,0)</f>
        <v>1.1661280707499488</v>
      </c>
    </row>
    <row r="94" spans="3:55" x14ac:dyDescent="0.3">
      <c r="E94" s="2">
        <f t="shared" si="24"/>
        <v>80</v>
      </c>
      <c r="F94" s="1" cm="1">
        <f t="array" ref="F94">OptionRho("C",$E94,100,F$89,0.01,0.2,0)</f>
        <v>1.9684019476440405E-5</v>
      </c>
      <c r="G94" s="1" cm="1">
        <f t="array" ref="G94">OptionRho("C",$E94,100,G$89,0.01,0.2,0)</f>
        <v>1.180615367981647E-3</v>
      </c>
      <c r="H94" s="1" cm="1">
        <f t="array" ref="H94">OptionRho("C",$E94,100,H$89,0.01,0.2,0)</f>
        <v>5.8294742224801023E-3</v>
      </c>
      <c r="I94" s="1" cm="1">
        <f t="array" ref="I94">OptionRho("C",$E94,100,I$89,0.01,0.2,0)</f>
        <v>1.4449660567580994E-2</v>
      </c>
      <c r="J94" s="1" cm="1">
        <f t="array" ref="J94">OptionRho("C",$E94,100,J$89,0.01,0.2,0)</f>
        <v>2.6541221761137001E-2</v>
      </c>
      <c r="K94" s="1" cm="1">
        <f t="array" ref="K94">OptionRho("C",$E94,100,K$89,0.01,0.2,0)</f>
        <v>4.1483206002554972E-2</v>
      </c>
      <c r="L94" s="1" cm="1">
        <f t="array" ref="L94">OptionRho("C",$E94,100,L$89,0.01,0.2,0)</f>
        <v>5.8743138124230571E-2</v>
      </c>
      <c r="M94" s="1" cm="1">
        <f t="array" ref="M94">OptionRho("C",$E94,100,M$89,0.01,0.2,0)</f>
        <v>7.7898920427139709E-2</v>
      </c>
      <c r="N94" s="1" cm="1">
        <f t="array" ref="N94">OptionRho("C",$E94,100,N$89,0.01,0.2,0)</f>
        <v>9.862114055816798E-2</v>
      </c>
      <c r="O94" s="1" cm="1">
        <f t="array" ref="O94">OptionRho("C",$E94,100,O$89,0.01,0.2,0)</f>
        <v>0.12065171933845738</v>
      </c>
      <c r="P94" s="1" cm="1">
        <f t="array" ref="P94">OptionRho("C",$E94,100,P$89,0.01,0.2,0)</f>
        <v>0.38226402136740828</v>
      </c>
      <c r="Q94" s="1" cm="1">
        <f t="array" ref="Q94">OptionRho("C",$E94,100,Q$89,0.01,0.2,0)</f>
        <v>0.67677547849775832</v>
      </c>
      <c r="R94" s="1" cm="1">
        <f t="array" ref="R94">OptionRho("C",$E94,100,R$89,0.01,0.2,0)</f>
        <v>0.98121354844747444</v>
      </c>
      <c r="S94" s="1" cm="1">
        <f t="array" ref="S94">OptionRho("C",$E94,100,S$89,0.01,0.2,0)</f>
        <v>1.2873783982233833</v>
      </c>
      <c r="W94" s="2">
        <f t="shared" si="25"/>
        <v>80</v>
      </c>
      <c r="X94" s="1" cm="1">
        <f t="array" ref="X94">OptionRho("C",$E94,100,X$89,0.01,0.1,0)</f>
        <v>9.5606229748062584E-14</v>
      </c>
      <c r="Y94" s="1" cm="1">
        <f t="array" ref="Y94">OptionRho("C",$E94,100,Y$89,0.01,0.1,0)</f>
        <v>6.7762571900260923E-8</v>
      </c>
      <c r="Z94" s="1" cm="1">
        <f t="array" ref="Z94">OptionRho("C",$E94,100,Z$89,0.01,0.1,0)</f>
        <v>7.7703922274790217E-6</v>
      </c>
      <c r="AA94" s="1" cm="1">
        <f t="array" ref="AA94">OptionRho("C",$E94,100,AA$89,0.01,0.1,0)</f>
        <v>9.387406712177922E-5</v>
      </c>
      <c r="AB94" s="1" cm="1">
        <f t="array" ref="AB94">OptionRho("C",$E94,100,AB$89,0.01,0.1,0)</f>
        <v>4.4930628022144242E-4</v>
      </c>
      <c r="AC94" s="1" cm="1">
        <f t="array" ref="AC94">OptionRho("C",$E94,100,AC$89,0.01,0.1,0)</f>
        <v>1.3367272087027218E-3</v>
      </c>
      <c r="AD94" s="1" cm="1">
        <f t="array" ref="AD94">OptionRho("C",$E94,100,AD$89,0.01,0.1,0)</f>
        <v>3.0094142404680354E-3</v>
      </c>
      <c r="AE94" s="1" cm="1">
        <f t="array" ref="AE94">OptionRho("C",$E94,100,AE$89,0.01,0.1,0)</f>
        <v>5.6671524536186409E-3</v>
      </c>
      <c r="AF94" s="1" cm="1">
        <f t="array" ref="AF94">OptionRho("C",$E94,100,AF$89,0.01,0.1,0)</f>
        <v>9.4469788357844902E-3</v>
      </c>
      <c r="AG94" s="1" cm="1">
        <f t="array" ref="AG94">OptionRho("C",$E94,100,AG$89,0.01,0.1,0)</f>
        <v>1.4430579922614028E-2</v>
      </c>
      <c r="AH94" s="1" cm="1">
        <f t="array" ref="AH94">OptionRho("C",$E94,100,AH$89,0.01,0.1,0)</f>
        <v>0.12916231918414769</v>
      </c>
      <c r="AI94" s="1" cm="1">
        <f t="array" ref="AI94">OptionRho("C",$E94,100,AI$89,0.01,0.1,0)</f>
        <v>0.33403665227840929</v>
      </c>
      <c r="AJ94" s="1" cm="1">
        <f t="array" ref="AJ94">OptionRho("C",$E94,100,AJ$89,0.01,0.1,0)</f>
        <v>0.5952355943117198</v>
      </c>
      <c r="AK94" s="1" cm="1">
        <f t="array" ref="AK94">OptionRho("C",$E94,100,AK$89,0.01,0.1,0)</f>
        <v>0.89308606477141772</v>
      </c>
      <c r="AO94" s="2">
        <f t="shared" si="26"/>
        <v>80</v>
      </c>
      <c r="AP94" s="1" cm="1">
        <f t="array" ref="AP94">OptionRho("C",$E94,100,AP$89,0.01,0.3,0)</f>
        <v>8.4379549560306417E-4</v>
      </c>
      <c r="AQ94" s="1" cm="1">
        <f t="array" ref="AQ94">OptionRho("C",$E94,100,AQ$89,0.01,0.3,0)</f>
        <v>8.6101600896775782E-3</v>
      </c>
      <c r="AR94" s="1" cm="1">
        <f t="array" ref="AR94">OptionRho("C",$E94,100,AR$89,0.01,0.3,0)</f>
        <v>2.3188215227327159E-2</v>
      </c>
      <c r="AS94" s="1" cm="1">
        <f t="array" ref="AS94">OptionRho("C",$E94,100,AS$89,0.01,0.3,0)</f>
        <v>4.2101668239852952E-2</v>
      </c>
      <c r="AT94" s="1" cm="1">
        <f t="array" ref="AT94">OptionRho("C",$E94,100,AT$89,0.01,0.3,0)</f>
        <v>6.3836239230238859E-2</v>
      </c>
      <c r="AU94" s="1" cm="1">
        <f t="array" ref="AU94">OptionRho("C",$E94,100,AU$89,0.01,0.3,0)</f>
        <v>8.7502447732684355E-2</v>
      </c>
      <c r="AV94" s="1" cm="1">
        <f t="array" ref="AV94">OptionRho("C",$E94,100,AV$89,0.01,0.3,0)</f>
        <v>0.11254687988484213</v>
      </c>
      <c r="AW94" s="1" cm="1">
        <f t="array" ref="AW94">OptionRho("C",$E94,100,AW$89,0.01,0.3,0)</f>
        <v>0.13860489518231892</v>
      </c>
      <c r="AX94" s="1" cm="1">
        <f t="array" ref="AX94">OptionRho("C",$E94,100,AX$89,0.01,0.3,0)</f>
        <v>0.16542451185364437</v>
      </c>
      <c r="AY94" s="1" cm="1">
        <f t="array" ref="AY94">OptionRho("C",$E94,100,AY$89,0.01,0.3,0)</f>
        <v>0.19282474296583743</v>
      </c>
      <c r="AZ94" s="1" cm="1">
        <f t="array" ref="AZ94">OptionRho("C",$E94,100,AZ$89,0.01,0.3,0)</f>
        <v>0.47990477205190002</v>
      </c>
      <c r="BA94" s="1" cm="1">
        <f t="array" ref="BA94">OptionRho("C",$E94,100,BA$89,0.01,0.3,0)</f>
        <v>0.76816408112647405</v>
      </c>
      <c r="BB94" s="1" cm="1">
        <f t="array" ref="BB94">OptionRho("C",$E94,100,BB$89,0.01,0.3,0)</f>
        <v>1.0472989940256039</v>
      </c>
      <c r="BC94" s="1" cm="1">
        <f t="array" ref="BC94">OptionRho("C",$E94,100,BC$89,0.01,0.3,0)</f>
        <v>1.3146822164902674</v>
      </c>
    </row>
    <row r="95" spans="3:55" x14ac:dyDescent="0.3">
      <c r="E95" s="2">
        <f t="shared" si="24"/>
        <v>85</v>
      </c>
      <c r="F95" s="1" cm="1">
        <f t="array" ref="F95">OptionRho("C",$E95,100,F$89,0.01,0.2,0)</f>
        <v>4.8575796157643818E-4</v>
      </c>
      <c r="G95" s="1" cm="1">
        <f t="array" ref="G95">OptionRho("C",$E95,100,G$89,0.01,0.2,0)</f>
        <v>6.5728086131009653E-3</v>
      </c>
      <c r="H95" s="1" cm="1">
        <f t="array" ref="H95">OptionRho("C",$E95,100,H$89,0.01,0.2,0)</f>
        <v>1.9560484482833908E-2</v>
      </c>
      <c r="I95" s="1" cm="1">
        <f t="array" ref="I95">OptionRho("C",$E95,100,I$89,0.01,0.2,0)</f>
        <v>3.7454643863001104E-2</v>
      </c>
      <c r="J95" s="1" cm="1">
        <f t="array" ref="J95">OptionRho("C",$E95,100,J$89,0.01,0.2,0)</f>
        <v>5.8755556011287499E-2</v>
      </c>
      <c r="K95" s="1" cm="1">
        <f t="array" ref="K95">OptionRho("C",$E95,100,K$89,0.01,0.2,0)</f>
        <v>8.2510457333700937E-2</v>
      </c>
      <c r="L95" s="1" cm="1">
        <f t="array" ref="L95">OptionRho("C",$E95,100,L$89,0.01,0.2,0)</f>
        <v>0.10810010394461254</v>
      </c>
      <c r="M95" s="1" cm="1">
        <f t="array" ref="M95">OptionRho("C",$E95,100,M$89,0.01,0.2,0)</f>
        <v>0.13510429218050068</v>
      </c>
      <c r="N95" s="1" cm="1">
        <f t="array" ref="N95">OptionRho("C",$E95,100,N$89,0.01,0.2,0)</f>
        <v>0.16322605204399807</v>
      </c>
      <c r="O95" s="1" cm="1">
        <f t="array" ref="O95">OptionRho("C",$E95,100,O$89,0.01,0.2,0)</f>
        <v>0.19224806199408714</v>
      </c>
      <c r="P95" s="1" cm="1">
        <f t="array" ref="P95">OptionRho("C",$E95,100,P$89,0.01,0.2,0)</f>
        <v>0.50846001160439569</v>
      </c>
      <c r="Q95" s="1" cm="1">
        <f t="array" ref="Q95">OptionRho("C",$E95,100,Q$89,0.01,0.2,0)</f>
        <v>0.84192775036698542</v>
      </c>
      <c r="R95" s="1" cm="1">
        <f t="array" ref="R95">OptionRho("C",$E95,100,R$89,0.01,0.2,0)</f>
        <v>1.1772513441976242</v>
      </c>
      <c r="S95" s="1" cm="1">
        <f t="array" ref="S95">OptionRho("C",$E95,100,S$89,0.01,0.2,0)</f>
        <v>1.509219653951388</v>
      </c>
      <c r="W95" s="2">
        <f t="shared" si="25"/>
        <v>85</v>
      </c>
      <c r="X95" s="1" cm="1">
        <f t="array" ref="X95">OptionRho("C",$E95,100,X$89,0.01,0.1,0)</f>
        <v>1.498171510428129E-8</v>
      </c>
      <c r="Y95" s="1" cm="1">
        <f t="array" ref="Y95">OptionRho("C",$E95,100,Y$89,0.01,0.1,0)</f>
        <v>3.0362011070892119E-5</v>
      </c>
      <c r="Z95" s="1" cm="1">
        <f t="array" ref="Z95">OptionRho("C",$E95,100,Z$89,0.01,0.1,0)</f>
        <v>4.9117640802576364E-4</v>
      </c>
      <c r="AA95" s="1" cm="1">
        <f t="array" ref="AA95">OptionRho("C",$E95,100,AA$89,0.01,0.1,0)</f>
        <v>2.2206863454671427E-3</v>
      </c>
      <c r="AB95" s="1" cm="1">
        <f t="array" ref="AB95">OptionRho("C",$E95,100,AB$89,0.01,0.1,0)</f>
        <v>5.8793072579454864E-3</v>
      </c>
      <c r="AC95" s="1" cm="1">
        <f t="array" ref="AC95">OptionRho("C",$E95,100,AC$89,0.01,0.1,0)</f>
        <v>1.1766528591399655E-2</v>
      </c>
      <c r="AD95" s="1" cm="1">
        <f t="array" ref="AD95">OptionRho("C",$E95,100,AD$89,0.01,0.1,0)</f>
        <v>1.9932210842367931E-2</v>
      </c>
      <c r="AE95" s="1" cm="1">
        <f t="array" ref="AE95">OptionRho("C",$E95,100,AE$89,0.01,0.1,0)</f>
        <v>3.0294875417979785E-2</v>
      </c>
      <c r="AF95" s="1" cm="1">
        <f t="array" ref="AF95">OptionRho("C",$E95,100,AF$89,0.01,0.1,0)</f>
        <v>4.2714832976975065E-2</v>
      </c>
      <c r="AG95" s="1" cm="1">
        <f t="array" ref="AG95">OptionRho("C",$E95,100,AG$89,0.01,0.1,0)</f>
        <v>5.7033185664748569E-2</v>
      </c>
      <c r="AH95" s="1" cm="1">
        <f t="array" ref="AH95">OptionRho("C",$E95,100,AH$89,0.01,0.1,0)</f>
        <v>0.27526263359416991</v>
      </c>
      <c r="AI95" s="1" cm="1">
        <f t="array" ref="AI95">OptionRho("C",$E95,100,AI$89,0.01,0.1,0)</f>
        <v>0.57408661084024171</v>
      </c>
      <c r="AJ95" s="1" cm="1">
        <f t="array" ref="AJ95">OptionRho("C",$E95,100,AJ$89,0.01,0.1,0)</f>
        <v>0.91485721832214872</v>
      </c>
      <c r="AK95" s="1" cm="1">
        <f t="array" ref="AK95">OptionRho("C",$E95,100,AK$89,0.01,0.1,0)</f>
        <v>1.2807174822131724</v>
      </c>
      <c r="AO95" s="2">
        <f t="shared" si="26"/>
        <v>85</v>
      </c>
      <c r="AP95" s="1" cm="1">
        <f t="array" ref="AP95">OptionRho("C",$E95,100,AP$89,0.01,0.3,0)</f>
        <v>4.0019706155343393E-3</v>
      </c>
      <c r="AQ95" s="1" cm="1">
        <f t="array" ref="AQ95">OptionRho("C",$E95,100,AQ$89,0.01,0.3,0)</f>
        <v>2.0599015086440079E-2</v>
      </c>
      <c r="AR95" s="1" cm="1">
        <f t="array" ref="AR95">OptionRho("C",$E95,100,AR$89,0.01,0.3,0)</f>
        <v>4.3722556636840139E-2</v>
      </c>
      <c r="AS95" s="1" cm="1">
        <f t="array" ref="AS95">OptionRho("C",$E95,100,AS$89,0.01,0.3,0)</f>
        <v>7.0158187896353461E-2</v>
      </c>
      <c r="AT95" s="1" cm="1">
        <f t="array" ref="AT95">OptionRho("C",$E95,100,AT$89,0.01,0.3,0)</f>
        <v>9.8529677259979437E-2</v>
      </c>
      <c r="AU95" s="1" cm="1">
        <f t="array" ref="AU95">OptionRho("C",$E95,100,AU$89,0.01,0.3,0)</f>
        <v>0.12813282697945419</v>
      </c>
      <c r="AV95" s="1" cm="1">
        <f t="array" ref="AV95">OptionRho("C",$E95,100,AV$89,0.01,0.3,0)</f>
        <v>0.15855986685171214</v>
      </c>
      <c r="AW95" s="1" cm="1">
        <f t="array" ref="AW95">OptionRho("C",$E95,100,AW$89,0.01,0.3,0)</f>
        <v>0.18955365431433957</v>
      </c>
      <c r="AX95" s="1" cm="1">
        <f t="array" ref="AX95">OptionRho("C",$E95,100,AX$89,0.01,0.3,0)</f>
        <v>0.2209417414575974</v>
      </c>
      <c r="AY95" s="1" cm="1">
        <f t="array" ref="AY95">OptionRho("C",$E95,100,AY$89,0.01,0.3,0)</f>
        <v>0.25260301138987579</v>
      </c>
      <c r="AZ95" s="1" cm="1">
        <f t="array" ref="AZ95">OptionRho("C",$E95,100,AZ$89,0.01,0.3,0)</f>
        <v>0.57209878012749971</v>
      </c>
      <c r="BA95" s="1" cm="1">
        <f t="array" ref="BA95">OptionRho("C",$E95,100,BA$89,0.01,0.3,0)</f>
        <v>0.88310233648812408</v>
      </c>
      <c r="BB95" s="1" cm="1">
        <f t="array" ref="BB95">OptionRho("C",$E95,100,BB$89,0.01,0.3,0)</f>
        <v>1.1800840446744412</v>
      </c>
      <c r="BC95" s="1" cm="1">
        <f t="array" ref="BC95">OptionRho("C",$E95,100,BC$89,0.01,0.3,0)</f>
        <v>1.4621903371980651</v>
      </c>
    </row>
    <row r="96" spans="3:55" x14ac:dyDescent="0.3">
      <c r="E96" s="2">
        <f t="shared" si="24"/>
        <v>90</v>
      </c>
      <c r="F96" s="1" cm="1">
        <f t="array" ref="F96">OptionRho("C",$E96,100,F$89,0.01,0.2,0)</f>
        <v>4.6266505291057552E-3</v>
      </c>
      <c r="G96" s="1" cm="1">
        <f t="array" ref="G96">OptionRho("C",$E96,100,G$89,0.01,0.2,0)</f>
        <v>2.2955278113909659E-2</v>
      </c>
      <c r="H96" s="1" cm="1">
        <f t="array" ref="H96">OptionRho("C",$E96,100,H$89,0.01,0.2,0)</f>
        <v>4.8240469025865866E-2</v>
      </c>
      <c r="I96" s="1" cm="1">
        <f t="array" ref="I96">OptionRho("C",$E96,100,I$89,0.01,0.2,0)</f>
        <v>7.714568152454411E-2</v>
      </c>
      <c r="J96" s="1" cm="1">
        <f t="array" ref="J96">OptionRho("C",$E96,100,J$89,0.01,0.2,0)</f>
        <v>0.10825115598149131</v>
      </c>
      <c r="K96" s="1" cm="1">
        <f t="array" ref="K96">OptionRho("C",$E96,100,K$89,0.01,0.2,0)</f>
        <v>0.14082638092999991</v>
      </c>
      <c r="L96" s="1" cm="1">
        <f t="array" ref="L96">OptionRho("C",$E96,100,L$89,0.01,0.2,0)</f>
        <v>0.17444422479079946</v>
      </c>
      <c r="M96" s="1" cm="1">
        <f t="array" ref="M96">OptionRho("C",$E96,100,M$89,0.01,0.2,0)</f>
        <v>0.20883210534016247</v>
      </c>
      <c r="N96" s="1" cm="1">
        <f t="array" ref="N96">OptionRho("C",$E96,100,N$89,0.01,0.2,0)</f>
        <v>0.24380474754909534</v>
      </c>
      <c r="O96" s="1" cm="1">
        <f t="array" ref="O96">OptionRho("C",$E96,100,O$89,0.01,0.2,0)</f>
        <v>0.2792301046204449</v>
      </c>
      <c r="P96" s="1" cm="1">
        <f t="array" ref="P96">OptionRho("C",$E96,100,P$89,0.01,0.2,0)</f>
        <v>0.64458771564347106</v>
      </c>
      <c r="Q96" s="1" cm="1">
        <f t="array" ref="Q96">OptionRho("C",$E96,100,Q$89,0.01,0.2,0)</f>
        <v>1.0131166738002781</v>
      </c>
      <c r="R96" s="1" cm="1">
        <f t="array" ref="R96">OptionRho("C",$E96,100,R$89,0.01,0.2,0)</f>
        <v>1.3764368253482542</v>
      </c>
      <c r="S96" s="1" cm="1">
        <f t="array" ref="S96">OptionRho("C",$E96,100,S$89,0.01,0.2,0)</f>
        <v>1.7319351169097623</v>
      </c>
      <c r="W96" s="2">
        <f t="shared" si="25"/>
        <v>90</v>
      </c>
      <c r="X96" s="1" cm="1">
        <f t="array" ref="X96">OptionRho("C",$E96,100,X$89,0.01,0.1,0)</f>
        <v>4.5615435801455798E-5</v>
      </c>
      <c r="Y96" s="1" cm="1">
        <f t="array" ref="Y96">OptionRho("C",$E96,100,Y$89,0.01,0.1,0)</f>
        <v>1.957894332731875E-3</v>
      </c>
      <c r="Z96" s="1" cm="1">
        <f t="array" ref="Z96">OptionRho("C",$E96,100,Z$89,0.01,0.1,0)</f>
        <v>8.6635170446754152E-3</v>
      </c>
      <c r="AA96" s="1" cm="1">
        <f t="array" ref="AA96">OptionRho("C",$E96,100,AA$89,0.01,0.1,0)</f>
        <v>2.0358699772475959E-2</v>
      </c>
      <c r="AB96" s="1" cm="1">
        <f t="array" ref="AB96">OptionRho("C",$E96,100,AB$89,0.01,0.1,0)</f>
        <v>3.6258596069978881E-2</v>
      </c>
      <c r="AC96" s="1" cm="1">
        <f t="array" ref="AC96">OptionRho("C",$E96,100,AC$89,0.01,0.1,0)</f>
        <v>5.5569135148285986E-2</v>
      </c>
      <c r="AD96" s="1" cm="1">
        <f t="array" ref="AD96">OptionRho("C",$E96,100,AD$89,0.01,0.1,0)</f>
        <v>7.7653949825830557E-2</v>
      </c>
      <c r="AE96" s="1" cm="1">
        <f t="array" ref="AE96">OptionRho("C",$E96,100,AE$89,0.01,0.1,0)</f>
        <v>0.10202507574836324</v>
      </c>
      <c r="AF96" s="1" cm="1">
        <f t="array" ref="AF96">OptionRho("C",$E96,100,AF$89,0.01,0.1,0)</f>
        <v>0.12830859013377557</v>
      </c>
      <c r="AG96" s="1" cm="1">
        <f t="array" ref="AG96">OptionRho("C",$E96,100,AG$89,0.01,0.1,0)</f>
        <v>0.15621450219614411</v>
      </c>
      <c r="AH96" s="1" cm="1">
        <f t="array" ref="AH96">OptionRho("C",$E96,100,AH$89,0.01,0.1,0)</f>
        <v>0.49021713340295131</v>
      </c>
      <c r="AI96" s="1" cm="1">
        <f t="array" ref="AI96">OptionRho("C",$E96,100,AI$89,0.01,0.1,0)</f>
        <v>0.87613987301824248</v>
      </c>
      <c r="AJ96" s="1" cm="1">
        <f t="array" ref="AJ96">OptionRho("C",$E96,100,AJ$89,0.01,0.1,0)</f>
        <v>1.2865415020805311</v>
      </c>
      <c r="AK96" s="1" cm="1">
        <f t="array" ref="AK96">OptionRho("C",$E96,100,AK$89,0.01,0.1,0)</f>
        <v>1.7105684720072716</v>
      </c>
      <c r="AO96" s="2">
        <f t="shared" si="26"/>
        <v>90</v>
      </c>
      <c r="AP96" s="1" cm="1">
        <f t="array" ref="AP96">OptionRho("C",$E96,100,AP$89,0.01,0.3,0)</f>
        <v>1.2546393350198692E-2</v>
      </c>
      <c r="AQ96" s="1" cm="1">
        <f t="array" ref="AQ96">OptionRho("C",$E96,100,AQ$89,0.01,0.3,0)</f>
        <v>4.015156999077784E-2</v>
      </c>
      <c r="AR96" s="1" cm="1">
        <f t="array" ref="AR96">OptionRho("C",$E96,100,AR$89,0.01,0.3,0)</f>
        <v>7.1895756392573715E-2</v>
      </c>
      <c r="AS96" s="1" cm="1">
        <f t="array" ref="AS96">OptionRho("C",$E96,100,AS$89,0.01,0.3,0)</f>
        <v>0.10543607299579148</v>
      </c>
      <c r="AT96" s="1" cm="1">
        <f t="array" ref="AT96">OptionRho("C",$E96,100,AT$89,0.01,0.3,0)</f>
        <v>0.13991727530535455</v>
      </c>
      <c r="AU96" s="1" cm="1">
        <f t="array" ref="AU96">OptionRho("C",$E96,100,AU$89,0.01,0.3,0)</f>
        <v>0.1749273970506767</v>
      </c>
      <c r="AV96" s="1" cm="1">
        <f t="array" ref="AV96">OptionRho("C",$E96,100,AV$89,0.01,0.3,0)</f>
        <v>0.21023581921994061</v>
      </c>
      <c r="AW96" s="1" cm="1">
        <f t="array" ref="AW96">OptionRho("C",$E96,100,AW$89,0.01,0.3,0)</f>
        <v>0.24570063770440537</v>
      </c>
      <c r="AX96" s="1" cm="1">
        <f t="array" ref="AX96">OptionRho("C",$E96,100,AX$89,0.01,0.3,0)</f>
        <v>0.28122869505264236</v>
      </c>
      <c r="AY96" s="1" cm="1">
        <f t="array" ref="AY96">OptionRho("C",$E96,100,AY$89,0.01,0.3,0)</f>
        <v>0.31675590666078807</v>
      </c>
      <c r="AZ96" s="1" cm="1">
        <f t="array" ref="AZ96">OptionRho("C",$E96,100,AZ$89,0.01,0.3,0)</f>
        <v>0.66591346159028808</v>
      </c>
      <c r="BA96" s="1" cm="1">
        <f t="array" ref="BA96">OptionRho("C",$E96,100,BA$89,0.01,0.3,0)</f>
        <v>0.99800015811264575</v>
      </c>
      <c r="BB96" s="1" cm="1">
        <f t="array" ref="BB96">OptionRho("C",$E96,100,BB$89,0.01,0.3,0)</f>
        <v>1.3116465975777294</v>
      </c>
      <c r="BC96" s="1" cm="1">
        <f t="array" ref="BC96">OptionRho("C",$E96,100,BC$89,0.01,0.3,0)</f>
        <v>1.6075618888968966</v>
      </c>
    </row>
    <row r="97" spans="5:55" x14ac:dyDescent="0.3">
      <c r="E97" s="2">
        <f t="shared" si="24"/>
        <v>95</v>
      </c>
      <c r="F97" s="1" cm="1">
        <f t="array" ref="F97">OptionRho("C",$E97,100,F$89,0.01,0.2,0)</f>
        <v>2.0396276517295933E-2</v>
      </c>
      <c r="G97" s="1" cm="1">
        <f t="array" ref="G97">OptionRho("C",$E97,100,G$89,0.01,0.2,0)</f>
        <v>5.5018256030450026E-2</v>
      </c>
      <c r="H97" s="1" cm="1">
        <f t="array" ref="H97">OptionRho("C",$E97,100,H$89,0.01,0.2,0)</f>
        <v>9.2744913252504044E-2</v>
      </c>
      <c r="I97" s="1" cm="1">
        <f t="array" ref="I97">OptionRho("C",$E97,100,I$89,0.01,0.2,0)</f>
        <v>0.13187458778736869</v>
      </c>
      <c r="J97" s="1" cm="1">
        <f t="array" ref="J97">OptionRho("C",$E97,100,J$89,0.01,0.2,0)</f>
        <v>0.1717865664850281</v>
      </c>
      <c r="K97" s="1" cm="1">
        <f t="array" ref="K97">OptionRho("C",$E97,100,K$89,0.01,0.2,0)</f>
        <v>0.21217661617090136</v>
      </c>
      <c r="L97" s="1" cm="1">
        <f t="array" ref="L97">OptionRho("C",$E97,100,L$89,0.01,0.2,0)</f>
        <v>0.25287075576346896</v>
      </c>
      <c r="M97" s="1" cm="1">
        <f t="array" ref="M97">OptionRho("C",$E97,100,M$89,0.01,0.2,0)</f>
        <v>0.29375944234947265</v>
      </c>
      <c r="N97" s="1" cm="1">
        <f t="array" ref="N97">OptionRho("C",$E97,100,N$89,0.01,0.2,0)</f>
        <v>0.33476899762460482</v>
      </c>
      <c r="O97" s="1" cm="1">
        <f t="array" ref="O97">OptionRho("C",$E97,100,O$89,0.01,0.2,0)</f>
        <v>0.37584742260070181</v>
      </c>
      <c r="P97" s="1" cm="1">
        <f t="array" ref="P97">OptionRho("C",$E97,100,P$89,0.01,0.2,0)</f>
        <v>0.78513403617493838</v>
      </c>
      <c r="Q97" s="1" cm="1">
        <f t="array" ref="Q97">OptionRho("C",$E97,100,Q$89,0.01,0.2,0)</f>
        <v>1.1855867137549208</v>
      </c>
      <c r="R97" s="1" cm="1">
        <f t="array" ref="R97">OptionRho("C",$E97,100,R$89,0.01,0.2,0)</f>
        <v>1.5746664906933414</v>
      </c>
      <c r="S97" s="1" cm="1">
        <f t="array" ref="S97">OptionRho("C",$E97,100,S$89,0.01,0.2,0)</f>
        <v>1.9519550649892421</v>
      </c>
      <c r="W97" s="2">
        <f t="shared" si="25"/>
        <v>95</v>
      </c>
      <c r="X97" s="1" cm="1">
        <f t="array" ref="X97">OptionRho("C",$E97,100,X$89,0.01,0.1,0)</f>
        <v>5.4058155808872667E-3</v>
      </c>
      <c r="Y97" s="1" cm="1">
        <f t="array" ref="Y97">OptionRho("C",$E97,100,Y$89,0.01,0.1,0)</f>
        <v>2.6024085650062811E-2</v>
      </c>
      <c r="Z97" s="1" cm="1">
        <f t="array" ref="Z97">OptionRho("C",$E97,100,Z$89,0.01,0.1,0)</f>
        <v>5.4331597927515317E-2</v>
      </c>
      <c r="AA97" s="1" cm="1">
        <f t="array" ref="AA97">OptionRho("C",$E97,100,AA$89,0.01,0.1,0)</f>
        <v>8.6801463209930207E-2</v>
      </c>
      <c r="AB97" s="1" cm="1">
        <f t="array" ref="AB97">OptionRho("C",$E97,100,AB$89,0.01,0.1,0)</f>
        <v>0.12193085930105975</v>
      </c>
      <c r="AC97" s="1" cm="1">
        <f t="array" ref="AC97">OptionRho("C",$E97,100,AC$89,0.01,0.1,0)</f>
        <v>0.15893745368596146</v>
      </c>
      <c r="AD97" s="1" cm="1">
        <f t="array" ref="AD97">OptionRho("C",$E97,100,AD$89,0.01,0.1,0)</f>
        <v>0.19735680124144059</v>
      </c>
      <c r="AE97" s="1" cm="1">
        <f t="array" ref="AE97">OptionRho("C",$E97,100,AE$89,0.01,0.1,0)</f>
        <v>0.23688743774384433</v>
      </c>
      <c r="AF97" s="1" cm="1">
        <f t="array" ref="AF97">OptionRho("C",$E97,100,AF$89,0.01,0.1,0)</f>
        <v>0.27732073358297105</v>
      </c>
      <c r="AG97" s="1" cm="1">
        <f t="array" ref="AG97">OptionRho("C",$E97,100,AG$89,0.01,0.1,0)</f>
        <v>0.31850518608360617</v>
      </c>
      <c r="AH97" s="1" cm="1">
        <f t="array" ref="AH97">OptionRho("C",$E97,100,AH$89,0.01,0.1,0)</f>
        <v>0.7550431564617397</v>
      </c>
      <c r="AI97" s="1" cm="1">
        <f t="array" ref="AI97">OptionRho("C",$E97,100,AI$89,0.01,0.1,0)</f>
        <v>1.2140668920003028</v>
      </c>
      <c r="AJ97" s="1" cm="1">
        <f t="array" ref="AJ97">OptionRho("C",$E97,100,AJ$89,0.01,0.1,0)</f>
        <v>1.6826600318585683</v>
      </c>
      <c r="AK97" s="1" cm="1">
        <f t="array" ref="AK97">OptionRho("C",$E97,100,AK$89,0.01,0.1,0)</f>
        <v>2.1554734091941636</v>
      </c>
      <c r="AO97" s="2">
        <f t="shared" si="26"/>
        <v>95</v>
      </c>
      <c r="AP97" s="1" cm="1">
        <f t="array" ref="AP97">OptionRho("C",$E97,100,AP$89,0.01,0.3,0)</f>
        <v>2.8149490988691562E-2</v>
      </c>
      <c r="AQ97" s="1" cm="1">
        <f t="array" ref="AQ97">OptionRho("C",$E97,100,AQ$89,0.01,0.3,0)</f>
        <v>6.6260425961542996E-2</v>
      </c>
      <c r="AR97" s="1" cm="1">
        <f t="array" ref="AR97">OptionRho("C",$E97,100,AR$89,0.01,0.3,0)</f>
        <v>0.10571300384455708</v>
      </c>
      <c r="AS97" s="1" cm="1">
        <f t="array" ref="AS97">OptionRho("C",$E97,100,AS$89,0.01,0.3,0)</f>
        <v>0.14556689094577391</v>
      </c>
      <c r="AT97" s="1" cm="1">
        <f t="array" ref="AT97">OptionRho("C",$E97,100,AT$89,0.01,0.3,0)</f>
        <v>0.18549891582551309</v>
      </c>
      <c r="AU97" s="1" cm="1">
        <f t="array" ref="AU97">OptionRho("C",$E97,100,AU$89,0.01,0.3,0)</f>
        <v>0.22536096616038254</v>
      </c>
      <c r="AV97" s="1" cm="1">
        <f t="array" ref="AV97">OptionRho("C",$E97,100,AV$89,0.01,0.3,0)</f>
        <v>0.26507480350440915</v>
      </c>
      <c r="AW97" s="1" cm="1">
        <f t="array" ref="AW97">OptionRho("C",$E97,100,AW$89,0.01,0.3,0)</f>
        <v>0.30459559705270872</v>
      </c>
      <c r="AX97" s="1" cm="1">
        <f t="array" ref="AX97">OptionRho("C",$E97,100,AX$89,0.01,0.3,0)</f>
        <v>0.3438964137866154</v>
      </c>
      <c r="AY97" s="1" cm="1">
        <f t="array" ref="AY97">OptionRho("C",$E97,100,AY$89,0.01,0.3,0)</f>
        <v>0.38296069087442108</v>
      </c>
      <c r="AZ97" s="1" cm="1">
        <f t="array" ref="AZ97">OptionRho("C",$E97,100,AZ$89,0.01,0.3,0)</f>
        <v>0.75961631172955657</v>
      </c>
      <c r="BA97" s="1" cm="1">
        <f t="array" ref="BA97">OptionRho("C",$E97,100,BA$89,0.01,0.3,0)</f>
        <v>1.1115151807553352</v>
      </c>
      <c r="BB97" s="1" cm="1">
        <f t="array" ref="BB97">OptionRho("C",$E97,100,BB$89,0.01,0.3,0)</f>
        <v>1.4409177804367721</v>
      </c>
      <c r="BC97" s="1" cm="1">
        <f t="array" ref="BC97">OptionRho("C",$E97,100,BC$89,0.01,0.3,0)</f>
        <v>1.7499340189075157</v>
      </c>
    </row>
    <row r="98" spans="5:55" x14ac:dyDescent="0.3">
      <c r="E98" s="2">
        <f t="shared" si="24"/>
        <v>100</v>
      </c>
      <c r="F98" s="1" cm="1">
        <f t="array" ref="F98">OptionRho("C",$E98,100,F$89,0.01,0.2,0)</f>
        <v>4.9319898584384125E-2</v>
      </c>
      <c r="G98" s="1" cm="1">
        <f t="array" ref="G98">OptionRho("C",$E98,100,G$89,0.01,0.2,0)</f>
        <v>9.8019788801767246E-2</v>
      </c>
      <c r="H98" s="1" cm="1">
        <f t="array" ref="H98">OptionRho("C",$E98,100,H$89,0.01,0.2,0)</f>
        <v>0.14628325566737621</v>
      </c>
      <c r="I98" s="1" cm="1">
        <f t="array" ref="I98">OptionRho("C",$E98,100,I$89,0.01,0.2,0)</f>
        <v>0.19417631512966549</v>
      </c>
      <c r="J98" s="1" cm="1">
        <f t="array" ref="J98">OptionRho("C",$E98,100,J$89,0.01,0.2,0)</f>
        <v>0.24173738548666898</v>
      </c>
      <c r="K98" s="1" cm="1">
        <f t="array" ref="K98">OptionRho("C",$E98,100,K$89,0.01,0.2,0)</f>
        <v>0.28899256857821798</v>
      </c>
      <c r="L98" s="1" cm="1">
        <f t="array" ref="L98">OptionRho("C",$E98,100,L$89,0.01,0.2,0)</f>
        <v>0.33596116095735584</v>
      </c>
      <c r="M98" s="1" cm="1">
        <f t="array" ref="M98">OptionRho("C",$E98,100,M$89,0.01,0.2,0)</f>
        <v>0.3826582197680381</v>
      </c>
      <c r="N98" s="1" cm="1">
        <f t="array" ref="N98">OptionRho("C",$E98,100,N$89,0.01,0.2,0)</f>
        <v>0.42909594584950778</v>
      </c>
      <c r="O98" s="1" cm="1">
        <f t="array" ref="O98">OptionRho("C",$E98,100,O$89,0.01,0.2,0)</f>
        <v>0.47528450546914641</v>
      </c>
      <c r="P98" s="1" cm="1">
        <f t="array" ref="P98">OptionRho("C",$E98,100,P$89,0.01,0.2,0)</f>
        <v>0.92494293545844164</v>
      </c>
      <c r="Q98" s="1" cm="1">
        <f t="array" ref="Q98">OptionRho("C",$E98,100,Q$89,0.01,0.2,0)</f>
        <v>1.3552089139551935</v>
      </c>
      <c r="R98" s="1" cm="1">
        <f t="array" ref="R98">OptionRho("C",$E98,100,R$89,0.01,0.2,0)</f>
        <v>1.7685142165444596</v>
      </c>
      <c r="S98" s="1" cm="1">
        <f t="array" ref="S98">OptionRho("C",$E98,100,S$89,0.01,0.2,0)</f>
        <v>2.1663757703673947</v>
      </c>
      <c r="W98" s="2">
        <f t="shared" si="25"/>
        <v>100</v>
      </c>
      <c r="X98" s="1" cm="1">
        <f t="array" ref="X98">OptionRho("C",$E98,100,X$89,0.01,0.1,0)</f>
        <v>5.0580151398953388E-2</v>
      </c>
      <c r="Y98" s="1" cm="1">
        <f t="array" ref="Y98">OptionRho("C",$E98,100,Y$89,0.01,0.1,0)</f>
        <v>0.10158061093169939</v>
      </c>
      <c r="Z98" s="1" cm="1">
        <f t="array" ref="Z98">OptionRho("C",$E98,100,Z$89,0.01,0.1,0)</f>
        <v>0.15281809298363574</v>
      </c>
      <c r="AA98" s="1" cm="1">
        <f t="array" ref="AA98">OptionRho("C",$E98,100,AA$89,0.01,0.1,0)</f>
        <v>0.20422688060793115</v>
      </c>
      <c r="AB98" s="1" cm="1">
        <f t="array" ref="AB98">OptionRho("C",$E98,100,AB$89,0.01,0.1,0)</f>
        <v>0.25576885410967215</v>
      </c>
      <c r="AC98" s="1" cm="1">
        <f t="array" ref="AC98">OptionRho("C",$E98,100,AC$89,0.01,0.1,0)</f>
        <v>0.30741820985414314</v>
      </c>
      <c r="AD98" s="1" cm="1">
        <f t="array" ref="AD98">OptionRho("C",$E98,100,AD$89,0.01,0.1,0)</f>
        <v>0.35915594909590859</v>
      </c>
      <c r="AE98" s="1" cm="1">
        <f t="array" ref="AE98">OptionRho("C",$E98,100,AE$89,0.01,0.1,0)</f>
        <v>0.41096731210161042</v>
      </c>
      <c r="AF98" s="1" cm="1">
        <f t="array" ref="AF98">OptionRho("C",$E98,100,AF$89,0.01,0.1,0)</f>
        <v>0.46284039504608732</v>
      </c>
      <c r="AG98" s="1" cm="1">
        <f t="array" ref="AG98">OptionRho("C",$E98,100,AG$89,0.01,0.1,0)</f>
        <v>0.51476532828002164</v>
      </c>
      <c r="AH98" s="1" cm="1">
        <f t="array" ref="AH98">OptionRho("C",$E98,100,AH$89,0.01,0.1,0)</f>
        <v>1.0354544111550688</v>
      </c>
      <c r="AI98" s="1" cm="1">
        <f t="array" ref="AI98">OptionRho("C",$E98,100,AI$89,0.01,0.1,0)</f>
        <v>1.5561276866903309</v>
      </c>
      <c r="AJ98" s="1" cm="1">
        <f t="array" ref="AJ98">OptionRho("C",$E98,100,AJ$89,0.01,0.1,0)</f>
        <v>2.0746435400648329</v>
      </c>
      <c r="AK98" s="1" cm="1">
        <f t="array" ref="AK98">OptionRho("C",$E98,100,AK$89,0.01,0.1,0)</f>
        <v>2.5897713521361756</v>
      </c>
      <c r="AO98" s="2">
        <f t="shared" si="26"/>
        <v>100</v>
      </c>
      <c r="AP98" s="1" cm="1">
        <f t="array" ref="AP98">OptionRho("C",$E98,100,AP$89,0.01,0.3,0)</f>
        <v>4.8480002263733495E-2</v>
      </c>
      <c r="AQ98" s="1" cm="1">
        <f t="array" ref="AQ98">OptionRho("C",$E98,100,AQ$89,0.01,0.3,0)</f>
        <v>9.5647445393394939E-2</v>
      </c>
      <c r="AR98" s="1" cm="1">
        <f t="array" ref="AR98">OptionRho("C",$E98,100,AR$89,0.01,0.3,0)</f>
        <v>0.14193093045907351</v>
      </c>
      <c r="AS98" s="1" cm="1">
        <f t="array" ref="AS98">OptionRho("C",$E98,100,AS$89,0.01,0.3,0)</f>
        <v>0.18748461687370585</v>
      </c>
      <c r="AT98" s="1" cm="1">
        <f t="array" ref="AT98">OptionRho("C",$E98,100,AT$89,0.01,0.3,0)</f>
        <v>0.23239821537606056</v>
      </c>
      <c r="AU98" s="1" cm="1">
        <f t="array" ref="AU98">OptionRho("C",$E98,100,AU$89,0.01,0.3,0)</f>
        <v>0.2767326641821381</v>
      </c>
      <c r="AV98" s="1" cm="1">
        <f t="array" ref="AV98">OptionRho("C",$E98,100,AV$89,0.01,0.3,0)</f>
        <v>0.32053299834482402</v>
      </c>
      <c r="AW98" s="1" cm="1">
        <f t="array" ref="AW98">OptionRho("C",$E98,100,AW$89,0.01,0.3,0)</f>
        <v>0.36383434264921355</v>
      </c>
      <c r="AX98" s="1" cm="1">
        <f t="array" ref="AX98">OptionRho("C",$E98,100,AX$89,0.01,0.3,0)</f>
        <v>0.40666514264759973</v>
      </c>
      <c r="AY98" s="1" cm="1">
        <f t="array" ref="AY98">OptionRho("C",$E98,100,AY$89,0.01,0.3,0)</f>
        <v>0.44904908466519977</v>
      </c>
      <c r="AZ98" s="1" cm="1">
        <f t="array" ref="AZ98">OptionRho("C",$E98,100,AZ$89,0.01,0.3,0)</f>
        <v>0.85174423276303957</v>
      </c>
      <c r="BA98" s="1" cm="1">
        <f t="array" ref="BA98">OptionRho("C",$E98,100,BA$89,0.01,0.3,0)</f>
        <v>1.2225575387364285</v>
      </c>
      <c r="BB98" s="1" cm="1">
        <f t="array" ref="BB98">OptionRho("C",$E98,100,BB$89,0.01,0.3,0)</f>
        <v>1.5670525263856452</v>
      </c>
      <c r="BC98" s="1" cm="1">
        <f t="array" ref="BC98">OptionRho("C",$E98,100,BC$89,0.01,0.3,0)</f>
        <v>1.8886403749573633</v>
      </c>
    </row>
    <row r="99" spans="5:55" x14ac:dyDescent="0.3">
      <c r="E99" s="2">
        <f t="shared" si="24"/>
        <v>105</v>
      </c>
      <c r="F99" s="1" cm="1">
        <f t="array" ref="F99">OptionRho("C",$E99,100,F$89,0.01,0.2,0)</f>
        <v>7.7428944428213187E-2</v>
      </c>
      <c r="G99" s="1" cm="1">
        <f t="array" ref="G99">OptionRho("C",$E99,100,G$89,0.01,0.2,0)</f>
        <v>0.13963207315360487</v>
      </c>
      <c r="H99" s="1" cm="1">
        <f t="array" ref="H99">OptionRho("C",$E99,100,H$89,0.01,0.2,0)</f>
        <v>0.19801355879149485</v>
      </c>
      <c r="I99" s="1" cm="1">
        <f t="array" ref="I99">OptionRho("C",$E99,100,I$89,0.01,0.2,0)</f>
        <v>0.25432746553601698</v>
      </c>
      <c r="J99" s="1" cm="1">
        <f t="array" ref="J99">OptionRho("C",$E99,100,J$89,0.01,0.2,0)</f>
        <v>0.30924184743469108</v>
      </c>
      <c r="K99" s="1" cm="1">
        <f t="array" ref="K99">OptionRho("C",$E99,100,K$89,0.01,0.2,0)</f>
        <v>0.36309866980005234</v>
      </c>
      <c r="L99" s="1" cm="1">
        <f t="array" ref="L99">OptionRho("C",$E99,100,L$89,0.01,0.2,0)</f>
        <v>0.41610220083116067</v>
      </c>
      <c r="M99" s="1" cm="1">
        <f t="array" ref="M99">OptionRho("C",$E99,100,M$89,0.01,0.2,0)</f>
        <v>0.46838682825452471</v>
      </c>
      <c r="N99" s="1" cm="1">
        <f t="array" ref="N99">OptionRho("C",$E99,100,N$89,0.01,0.2,0)</f>
        <v>0.52004704799454149</v>
      </c>
      <c r="O99" s="1" cm="1">
        <f t="array" ref="O99">OptionRho("C",$E99,100,O$89,0.01,0.2,0)</f>
        <v>0.57115262574421599</v>
      </c>
      <c r="P99" s="1" cm="1">
        <f t="array" ref="P99">OptionRho("C",$E99,100,P$89,0.01,0.2,0)</f>
        <v>1.0596687970369523</v>
      </c>
      <c r="Q99" s="1" cm="1">
        <f t="array" ref="Q99">OptionRho("C",$E99,100,Q$89,0.01,0.2,0)</f>
        <v>1.5186376940705391</v>
      </c>
      <c r="R99" s="1" cm="1">
        <f t="array" ref="R99">OptionRho("C",$E99,100,R$89,0.01,0.2,0)</f>
        <v>1.9552688246325389</v>
      </c>
      <c r="S99" s="1" cm="1">
        <f t="array" ref="S99">OptionRho("C",$E99,100,S$89,0.01,0.2,0)</f>
        <v>2.3729405021947212</v>
      </c>
      <c r="W99" s="2">
        <f t="shared" si="25"/>
        <v>105</v>
      </c>
      <c r="X99" s="1" cm="1">
        <f t="array" ref="X99">OptionRho("C",$E99,100,X$89,0.01,0.1,0)</f>
        <v>9.3952533892679782E-2</v>
      </c>
      <c r="Y99" s="1" cm="1">
        <f t="array" ref="Y99">OptionRho("C",$E99,100,Y$89,0.01,0.1,0)</f>
        <v>0.17309729794666578</v>
      </c>
      <c r="Z99" s="1" cm="1">
        <f t="array" ref="Z99">OptionRho("C",$E99,100,Z$89,0.01,0.1,0)</f>
        <v>0.24548285319545807</v>
      </c>
      <c r="AA99" s="1" cm="1">
        <f t="array" ref="AA99">OptionRho("C",$E99,100,AA$89,0.01,0.1,0)</f>
        <v>0.31435240865969416</v>
      </c>
      <c r="AB99" s="1" cm="1">
        <f t="array" ref="AB99">OptionRho("C",$E99,100,AB$89,0.01,0.1,0)</f>
        <v>0.38103111573428783</v>
      </c>
      <c r="AC99" s="1" cm="1">
        <f t="array" ref="AC99">OptionRho("C",$E99,100,AC$89,0.01,0.1,0)</f>
        <v>0.4461911627338217</v>
      </c>
      <c r="AD99" s="1" cm="1">
        <f t="array" ref="AD99">OptionRho("C",$E99,100,AD$89,0.01,0.1,0)</f>
        <v>0.51022305279995162</v>
      </c>
      <c r="AE99" s="1" cm="1">
        <f t="array" ref="AE99">OptionRho("C",$E99,100,AE$89,0.01,0.1,0)</f>
        <v>0.57337518442883206</v>
      </c>
      <c r="AF99" s="1" cm="1">
        <f t="array" ref="AF99">OptionRho("C",$E99,100,AF$89,0.01,0.1,0)</f>
        <v>0.63581611101087543</v>
      </c>
      <c r="AG99" s="1" cm="1">
        <f t="array" ref="AG99">OptionRho("C",$E99,100,AG$89,0.01,0.1,0)</f>
        <v>0.69766586400827924</v>
      </c>
      <c r="AH99" s="1" cm="1">
        <f t="array" ref="AH99">OptionRho("C",$E99,100,AH$89,0.01,0.1,0)</f>
        <v>1.296192395779916</v>
      </c>
      <c r="AI99" s="1" cm="1">
        <f t="array" ref="AI99">OptionRho("C",$E99,100,AI$89,0.01,0.1,0)</f>
        <v>1.8739472983683121</v>
      </c>
      <c r="AJ99" s="1" cm="1">
        <f t="array" ref="AJ99">OptionRho("C",$E99,100,AJ$89,0.01,0.1,0)</f>
        <v>2.4387078999118197</v>
      </c>
      <c r="AK99" s="1" cm="1">
        <f t="array" ref="AK99">OptionRho("C",$E99,100,AK$89,0.01,0.1,0)</f>
        <v>2.9930428387344614</v>
      </c>
      <c r="AO99" s="2">
        <f t="shared" si="26"/>
        <v>105</v>
      </c>
      <c r="AP99" s="1" cm="1">
        <f t="array" ref="AP99">OptionRho("C",$E99,100,AP$89,0.01,0.3,0)</f>
        <v>6.8277831133797179E-2</v>
      </c>
      <c r="AQ99" s="1" cm="1">
        <f t="array" ref="AQ99">OptionRho("C",$E99,100,AQ$89,0.01,0.3,0)</f>
        <v>0.12420817808937204</v>
      </c>
      <c r="AR99" s="1" cm="1">
        <f t="array" ref="AR99">OptionRho("C",$E99,100,AR$89,0.01,0.3,0)</f>
        <v>0.17710675985594915</v>
      </c>
      <c r="AS99" s="1" cm="1">
        <f t="array" ref="AS99">OptionRho("C",$E99,100,AS$89,0.01,0.3,0)</f>
        <v>0.22818237236294167</v>
      </c>
      <c r="AT99" s="1" cm="1">
        <f t="array" ref="AT99">OptionRho("C",$E99,100,AT$89,0.01,0.3,0)</f>
        <v>0.27792320019220718</v>
      </c>
      <c r="AU99" s="1" cm="1">
        <f t="array" ref="AU99">OptionRho("C",$E99,100,AU$89,0.01,0.3,0)</f>
        <v>0.32659213280179167</v>
      </c>
      <c r="AV99" s="1" cm="1">
        <f t="array" ref="AV99">OptionRho("C",$E99,100,AV$89,0.01,0.3,0)</f>
        <v>0.37435336997194235</v>
      </c>
      <c r="AW99" s="1" cm="1">
        <f t="array" ref="AW99">OptionRho("C",$E99,100,AW$89,0.01,0.3,0)</f>
        <v>0.42131936325461389</v>
      </c>
      <c r="AX99" s="1" cm="1">
        <f t="array" ref="AX99">OptionRho("C",$E99,100,AX$89,0.01,0.3,0)</f>
        <v>0.46757213487895105</v>
      </c>
      <c r="AY99" s="1" cm="1">
        <f t="array" ref="AY99">OptionRho("C",$E99,100,AY$89,0.01,0.3,0)</f>
        <v>0.51317432142978925</v>
      </c>
      <c r="AZ99" s="1" cm="1">
        <f t="array" ref="AZ99">OptionRho("C",$E99,100,AZ$89,0.01,0.3,0)</f>
        <v>0.941116891312198</v>
      </c>
      <c r="BA99" s="1" cm="1">
        <f t="array" ref="BA99">OptionRho("C",$E99,100,BA$89,0.01,0.3,0)</f>
        <v>1.3302714694210862</v>
      </c>
      <c r="BB99" s="1" cm="1">
        <f t="array" ref="BB99">OptionRho("C",$E99,100,BB$89,0.01,0.3,0)</f>
        <v>1.6894022005404263</v>
      </c>
      <c r="BC99" s="1" cm="1">
        <f t="array" ref="BC99">OptionRho("C",$E99,100,BC$89,0.01,0.3,0)</f>
        <v>2.0231815965757343</v>
      </c>
    </row>
    <row r="100" spans="5:55" x14ac:dyDescent="0.3">
      <c r="E100" s="2">
        <f t="shared" si="24"/>
        <v>110</v>
      </c>
      <c r="F100" s="1" cm="1">
        <f t="array" ref="F100">OptionRho("C",$E100,100,F$89,0.01,0.2,0)</f>
        <v>9.3111062933054919E-2</v>
      </c>
      <c r="G100" s="1" cm="1">
        <f t="array" ref="G100">OptionRho("C",$E100,100,G$89,0.01,0.2,0)</f>
        <v>0.16997597069863821</v>
      </c>
      <c r="H100" s="1" cm="1">
        <f t="array" ref="H100">OptionRho("C",$E100,100,H$89,0.01,0.2,0)</f>
        <v>0.23936909463006029</v>
      </c>
      <c r="I100" s="1" cm="1">
        <f t="array" ref="I100">OptionRho("C",$E100,100,I$89,0.01,0.2,0)</f>
        <v>0.30470390561626748</v>
      </c>
      <c r="J100" s="1" cm="1">
        <f t="array" ref="J100">OptionRho("C",$E100,100,J$89,0.01,0.2,0)</f>
        <v>0.36738595144398112</v>
      </c>
      <c r="K100" s="1" cm="1">
        <f t="array" ref="K100">OptionRho("C",$E100,100,K$89,0.01,0.2,0)</f>
        <v>0.42813919395874578</v>
      </c>
      <c r="L100" s="1" cm="1">
        <f t="array" ref="L100">OptionRho("C",$E100,100,L$89,0.01,0.2,0)</f>
        <v>0.48739182226438388</v>
      </c>
      <c r="M100" s="1" cm="1">
        <f t="array" ref="M100">OptionRho("C",$E100,100,M$89,0.01,0.2,0)</f>
        <v>0.54542150099630138</v>
      </c>
      <c r="N100" s="1" cm="1">
        <f t="array" ref="N100">OptionRho("C",$E100,100,N$89,0.01,0.2,0)</f>
        <v>0.60242046033683716</v>
      </c>
      <c r="O100" s="1" cm="1">
        <f t="array" ref="O100">OptionRho("C",$E100,100,O$89,0.01,0.2,0)</f>
        <v>0.65852844532273414</v>
      </c>
      <c r="P100" s="1" cm="1">
        <f t="array" ref="P100">OptionRho("C",$E100,100,P$89,0.01,0.2,0)</f>
        <v>1.1860034685036835</v>
      </c>
      <c r="Q100" s="1" cm="1">
        <f t="array" ref="Q100">OptionRho("C",$E100,100,Q$89,0.01,0.2,0)</f>
        <v>1.6733520389609637</v>
      </c>
      <c r="R100" s="1" cm="1">
        <f t="array" ref="R100">OptionRho("C",$E100,100,R$89,0.01,0.2,0)</f>
        <v>2.1329088821197066</v>
      </c>
      <c r="S100" s="1" cm="1">
        <f t="array" ref="S100">OptionRho("C",$E100,100,S$89,0.01,0.2,0)</f>
        <v>2.5699862244155023</v>
      </c>
      <c r="W100" s="2">
        <f t="shared" si="25"/>
        <v>110</v>
      </c>
      <c r="X100" s="1" cm="1">
        <f t="array" ref="X100">OptionRho("C",$E100,100,X$89,0.01,0.1,0)</f>
        <v>9.9777807903598914E-2</v>
      </c>
      <c r="Y100" s="1" cm="1">
        <f t="array" ref="Y100">OptionRho("C",$E100,100,Y$89,0.01,0.1,0)</f>
        <v>0.19647918755775001</v>
      </c>
      <c r="Z100" s="1" cm="1">
        <f t="array" ref="Z100">OptionRho("C",$E100,100,Z$89,0.01,0.1,0)</f>
        <v>0.28756443180563224</v>
      </c>
      <c r="AA100" s="1" cm="1">
        <f t="array" ref="AA100">OptionRho("C",$E100,100,AA$89,0.01,0.1,0)</f>
        <v>0.37372216345157355</v>
      </c>
      <c r="AB100" s="1" cm="1">
        <f t="array" ref="AB100">OptionRho("C",$E100,100,AB$89,0.01,0.1,0)</f>
        <v>0.45606650497595846</v>
      </c>
      <c r="AC100" s="1" cm="1">
        <f t="array" ref="AC100">OptionRho("C",$E100,100,AC$89,0.01,0.1,0)</f>
        <v>0.53546438342331992</v>
      </c>
      <c r="AD100" s="1" cm="1">
        <f t="array" ref="AD100">OptionRho("C",$E100,100,AD$89,0.01,0.1,0)</f>
        <v>0.61253729163278892</v>
      </c>
      <c r="AE100" s="1" cm="1">
        <f t="array" ref="AE100">OptionRho("C",$E100,100,AE$89,0.01,0.1,0)</f>
        <v>0.68773188516542394</v>
      </c>
      <c r="AF100" s="1" cm="1">
        <f t="array" ref="AF100">OptionRho("C",$E100,100,AF$89,0.01,0.1,0)</f>
        <v>0.76137581768653773</v>
      </c>
      <c r="AG100" s="1" cm="1">
        <f t="array" ref="AG100">OptionRho("C",$E100,100,AG$89,0.01,0.1,0)</f>
        <v>0.83371514981554551</v>
      </c>
      <c r="AH100" s="1" cm="1">
        <f t="array" ref="AH100">OptionRho("C",$E100,100,AH$89,0.01,0.1,0)</f>
        <v>1.5129562033151718</v>
      </c>
      <c r="AI100" s="1" cm="1">
        <f t="array" ref="AI100">OptionRho("C",$E100,100,AI$89,0.01,0.1,0)</f>
        <v>2.1482672152563937</v>
      </c>
      <c r="AJ100" s="1" cm="1">
        <f t="array" ref="AJ100">OptionRho("C",$E100,100,AJ$89,0.01,0.1,0)</f>
        <v>2.7589205627569036</v>
      </c>
      <c r="AK100" s="1" cm="1">
        <f t="array" ref="AK100">OptionRho("C",$E100,100,AK$89,0.01,0.1,0)</f>
        <v>3.3517828422688227</v>
      </c>
      <c r="AO100" s="2">
        <f t="shared" si="26"/>
        <v>110</v>
      </c>
      <c r="AP100" s="1" cm="1">
        <f t="array" ref="AP100">OptionRho("C",$E100,100,AP$89,0.01,0.3,0)</f>
        <v>8.3258594130054389E-2</v>
      </c>
      <c r="AQ100" s="1" cm="1">
        <f t="array" ref="AQ100">OptionRho("C",$E100,100,AQ$89,0.01,0.3,0)</f>
        <v>0.14866303408782128</v>
      </c>
      <c r="AR100" s="1" cm="1">
        <f t="array" ref="AR100">OptionRho("C",$E100,100,AR$89,0.01,0.3,0)</f>
        <v>0.20850986007567907</v>
      </c>
      <c r="AS100" s="1" cm="1">
        <f t="array" ref="AS100">OptionRho("C",$E100,100,AS$89,0.01,0.3,0)</f>
        <v>0.26528546066729886</v>
      </c>
      <c r="AT100" s="1" cm="1">
        <f t="array" ref="AT100">OptionRho("C",$E100,100,AT$89,0.01,0.3,0)</f>
        <v>0.31995430199928421</v>
      </c>
      <c r="AU100" s="1" cm="1">
        <f t="array" ref="AU100">OptionRho("C",$E100,100,AU$89,0.01,0.3,0)</f>
        <v>0.37301467373776581</v>
      </c>
      <c r="AV100" s="1" cm="1">
        <f t="array" ref="AV100">OptionRho("C",$E100,100,AV$89,0.01,0.3,0)</f>
        <v>0.42476670407640099</v>
      </c>
      <c r="AW100" s="1" cm="1">
        <f t="array" ref="AW100">OptionRho("C",$E100,100,AW$89,0.01,0.3,0)</f>
        <v>0.47540950801739895</v>
      </c>
      <c r="AX100" s="1" cm="1">
        <f t="array" ref="AX100">OptionRho("C",$E100,100,AX$89,0.01,0.3,0)</f>
        <v>0.52508429600813</v>
      </c>
      <c r="AY100" s="1" cm="1">
        <f t="array" ref="AY100">OptionRho("C",$E100,100,AY$89,0.01,0.3,0)</f>
        <v>0.57389622642331128</v>
      </c>
      <c r="AZ100" s="1" cm="1">
        <f t="array" ref="AZ100">OptionRho("C",$E100,100,AZ$89,0.01,0.3,0)</f>
        <v>1.0268276202708793</v>
      </c>
      <c r="BA100" s="1" cm="1">
        <f t="array" ref="BA100">OptionRho("C",$E100,100,BA$89,0.01,0.3,0)</f>
        <v>1.4340106592521729</v>
      </c>
      <c r="BB100" s="1" cm="1">
        <f t="array" ref="BB100">OptionRho("C",$E100,100,BB$89,0.01,0.3,0)</f>
        <v>1.8074871324670514</v>
      </c>
      <c r="BC100" s="1" cm="1">
        <f t="array" ref="BC100">OptionRho("C",$E100,100,BC$89,0.01,0.3,0)</f>
        <v>2.1531984323949449</v>
      </c>
    </row>
    <row r="101" spans="5:55" x14ac:dyDescent="0.3">
      <c r="E101" s="2">
        <f t="shared" si="24"/>
        <v>115</v>
      </c>
      <c r="F101" s="1" cm="1">
        <f t="array" ref="F101">OptionRho("C",$E101,100,F$89,0.01,0.2,0)</f>
        <v>9.8489758625579293E-2</v>
      </c>
      <c r="G101" s="1" cm="1">
        <f t="array" ref="G101">OptionRho("C",$E101,100,G$89,0.01,0.2,0)</f>
        <v>0.18727453260072854</v>
      </c>
      <c r="H101" s="1" cm="1">
        <f t="array" ref="H101">OptionRho("C",$E101,100,H$89,0.01,0.2,0)</f>
        <v>0.26741714753531926</v>
      </c>
      <c r="I101" s="1" cm="1">
        <f t="array" ref="I101">OptionRho("C",$E101,100,I$89,0.01,0.2,0)</f>
        <v>0.34200126589648211</v>
      </c>
      <c r="J101" s="1" cm="1">
        <f t="array" ref="J101">OptionRho("C",$E101,100,J$89,0.01,0.2,0)</f>
        <v>0.41277215823472962</v>
      </c>
      <c r="K101" s="1" cm="1">
        <f t="array" ref="K101">OptionRho("C",$E101,100,K$89,0.01,0.2,0)</f>
        <v>0.4807365212174417</v>
      </c>
      <c r="L101" s="1" cm="1">
        <f t="array" ref="L101">OptionRho("C",$E101,100,L$89,0.01,0.2,0)</f>
        <v>0.54652113577166295</v>
      </c>
      <c r="M101" s="1" cm="1">
        <f t="array" ref="M101">OptionRho("C",$E101,100,M$89,0.01,0.2,0)</f>
        <v>0.61054291488019341</v>
      </c>
      <c r="N101" s="1" cm="1">
        <f t="array" ref="N101">OptionRho("C",$E101,100,N$89,0.01,0.2,0)</f>
        <v>0.67309416261096167</v>
      </c>
      <c r="O101" s="1" cm="1">
        <f t="array" ref="O101">OptionRho("C",$E101,100,O$89,0.01,0.2,0)</f>
        <v>0.73438858241015226</v>
      </c>
      <c r="P101" s="1" cm="1">
        <f t="array" ref="P101">OptionRho("C",$E101,100,P$89,0.01,0.2,0)</f>
        <v>1.301716483822899</v>
      </c>
      <c r="Q101" s="1" cm="1">
        <f t="array" ref="Q101">OptionRho("C",$E101,100,Q$89,0.01,0.2,0)</f>
        <v>1.8176154213669029</v>
      </c>
      <c r="R101" s="1" cm="1">
        <f t="array" ref="R101">OptionRho("C",$E101,100,R$89,0.01,0.2,0)</f>
        <v>2.3000383938445146</v>
      </c>
      <c r="S101" s="1" cm="1">
        <f t="array" ref="S101">OptionRho("C",$E101,100,S$89,0.01,0.2,0)</f>
        <v>2.7563718801831256</v>
      </c>
      <c r="W101" s="2">
        <f t="shared" si="25"/>
        <v>115</v>
      </c>
      <c r="X101" s="1" cm="1">
        <f t="array" ref="X101">OptionRho("C",$E101,100,X$89,0.01,0.1,0)</f>
        <v>9.9899591088745576E-2</v>
      </c>
      <c r="Y101" s="1" cm="1">
        <f t="array" ref="Y101">OptionRho("C",$E101,100,Y$89,0.01,0.1,0)</f>
        <v>0.19943607403579602</v>
      </c>
      <c r="Z101" s="1" cm="1">
        <f t="array" ref="Z101">OptionRho("C",$E101,100,Z$89,0.01,0.1,0)</f>
        <v>0.29761983540617448</v>
      </c>
      <c r="AA101" s="1" cm="1">
        <f t="array" ref="AA101">OptionRho("C",$E101,100,AA$89,0.01,0.1,0)</f>
        <v>0.39342380536091404</v>
      </c>
      <c r="AB101" s="1" cm="1">
        <f t="array" ref="AB101">OptionRho("C",$E101,100,AB$89,0.01,0.1,0)</f>
        <v>0.48650344681152441</v>
      </c>
      <c r="AC101" s="1" cm="1">
        <f t="array" ref="AC101">OptionRho("C",$E101,100,AC$89,0.01,0.1,0)</f>
        <v>0.5769314379272884</v>
      </c>
      <c r="AD101" s="1" cm="1">
        <f t="array" ref="AD101">OptionRho("C",$E101,100,AD$89,0.01,0.1,0)</f>
        <v>0.66493513401483262</v>
      </c>
      <c r="AE101" s="1" cm="1">
        <f t="array" ref="AE101">OptionRho("C",$E101,100,AE$89,0.01,0.1,0)</f>
        <v>0.75077492898362252</v>
      </c>
      <c r="AF101" s="1" cm="1">
        <f t="array" ref="AF101">OptionRho("C",$E101,100,AF$89,0.01,0.1,0)</f>
        <v>0.83469784716418205</v>
      </c>
      <c r="AG101" s="1" cm="1">
        <f t="array" ref="AG101">OptionRho("C",$E101,100,AG$89,0.01,0.1,0)</f>
        <v>0.91692301259484643</v>
      </c>
      <c r="AH101" s="1" cm="1">
        <f t="array" ref="AH101">OptionRho("C",$E101,100,AH$89,0.01,0.1,0)</f>
        <v>1.6765216924491808</v>
      </c>
      <c r="AI101" s="1" cm="1">
        <f t="array" ref="AI101">OptionRho("C",$E101,100,AI$89,0.01,0.1,0)</f>
        <v>2.3704399931886559</v>
      </c>
      <c r="AJ101" s="1" cm="1">
        <f t="array" ref="AJ101">OptionRho("C",$E101,100,AJ$89,0.01,0.1,0)</f>
        <v>3.0276382235568668</v>
      </c>
      <c r="AK101" s="1" cm="1">
        <f t="array" ref="AK101">OptionRho("C",$E101,100,AK$89,0.01,0.1,0)</f>
        <v>3.6593296824907293</v>
      </c>
      <c r="AO101" s="2">
        <f t="shared" si="26"/>
        <v>115</v>
      </c>
      <c r="AP101" s="1" cm="1">
        <f t="array" ref="AP101">OptionRho("C",$E101,100,AP$89,0.01,0.3,0)</f>
        <v>9.2362125771932119E-2</v>
      </c>
      <c r="AQ101" s="1" cm="1">
        <f t="array" ref="AQ101">OptionRho("C",$E101,100,AQ$89,0.01,0.3,0)</f>
        <v>0.16742535793708613</v>
      </c>
      <c r="AR101" s="1" cm="1">
        <f t="array" ref="AR101">OptionRho("C",$E101,100,AR$89,0.01,0.3,0)</f>
        <v>0.23457335932437792</v>
      </c>
      <c r="AS101" s="1" cm="1">
        <f t="array" ref="AS101">OptionRho("C",$E101,100,AS$89,0.01,0.3,0)</f>
        <v>0.29731963677583234</v>
      </c>
      <c r="AT101" s="1" cm="1">
        <f t="array" ref="AT101">OptionRho("C",$E101,100,AT$89,0.01,0.3,0)</f>
        <v>0.35711501203565793</v>
      </c>
      <c r="AU101" s="1" cm="1">
        <f t="array" ref="AU101">OptionRho("C",$E101,100,AU$89,0.01,0.3,0)</f>
        <v>0.41471363169847436</v>
      </c>
      <c r="AV101" s="1" cm="1">
        <f t="array" ref="AV101">OptionRho("C",$E101,100,AV$89,0.01,0.3,0)</f>
        <v>0.47056644807114706</v>
      </c>
      <c r="AW101" s="1" cm="1">
        <f t="array" ref="AW101">OptionRho("C",$E101,100,AW$89,0.01,0.3,0)</f>
        <v>0.52496929542260928</v>
      </c>
      <c r="AX101" s="1" cm="1">
        <f t="array" ref="AX101">OptionRho("C",$E101,100,AX$89,0.01,0.3,0)</f>
        <v>0.57812941191026346</v>
      </c>
      <c r="AY101" s="1" cm="1">
        <f t="array" ref="AY101">OptionRho("C",$E101,100,AY$89,0.01,0.3,0)</f>
        <v>0.6301992394484307</v>
      </c>
      <c r="AZ101" s="1" cm="1">
        <f t="array" ref="AZ101">OptionRho("C",$E101,100,AZ$89,0.01,0.3,0)</f>
        <v>1.1082201926386068</v>
      </c>
      <c r="BA101" s="1" cm="1">
        <f t="array" ref="BA101">OptionRho("C",$E101,100,BA$89,0.01,0.3,0)</f>
        <v>1.5333110283875411</v>
      </c>
      <c r="BB101" s="1" cm="1">
        <f t="array" ref="BB101">OptionRho("C",$E101,100,BB$89,0.01,0.3,0)</f>
        <v>1.9209705624827618</v>
      </c>
      <c r="BC101" s="1" cm="1">
        <f t="array" ref="BC101">OptionRho("C",$E101,100,BC$89,0.01,0.3,0)</f>
        <v>2.2784478679255176</v>
      </c>
    </row>
    <row r="102" spans="5:55" x14ac:dyDescent="0.3">
      <c r="E102" s="2">
        <f t="shared" si="24"/>
        <v>120</v>
      </c>
      <c r="F102" s="1" cm="1">
        <f t="array" ref="F102">OptionRho("C",$E102,100,F$89,0.01,0.2,0)</f>
        <v>9.9693029945287864E-2</v>
      </c>
      <c r="G102" s="1" cm="1">
        <f t="array" ref="G102">OptionRho("C",$E102,100,G$89,0.01,0.2,0)</f>
        <v>0.19522974084010128</v>
      </c>
      <c r="H102" s="1" cm="1">
        <f t="array" ref="H102">OptionRho("C",$E102,100,H$89,0.01,0.2,0)</f>
        <v>0.28390164223017778</v>
      </c>
      <c r="I102" s="1" cm="1">
        <f t="array" ref="I102">OptionRho("C",$E102,100,I$89,0.01,0.2,0)</f>
        <v>0.36680746478076992</v>
      </c>
      <c r="J102" s="1" cm="1">
        <f t="array" ref="J102">OptionRho("C",$E102,100,J$89,0.01,0.2,0)</f>
        <v>0.44529407145839939</v>
      </c>
      <c r="K102" s="1" cm="1">
        <f t="array" ref="K102">OptionRho("C",$E102,100,K$89,0.01,0.2,0)</f>
        <v>0.52035124616342832</v>
      </c>
      <c r="L102" s="1" cm="1">
        <f t="array" ref="L102">OptionRho("C",$E102,100,L$89,0.01,0.2,0)</f>
        <v>0.59267237553388952</v>
      </c>
      <c r="M102" s="1" cm="1">
        <f t="array" ref="M102">OptionRho("C",$E102,100,M$89,0.01,0.2,0)</f>
        <v>0.66275083755870501</v>
      </c>
      <c r="N102" s="1" cm="1">
        <f t="array" ref="N102">OptionRho("C",$E102,100,N$89,0.01,0.2,0)</f>
        <v>0.73094735333031413</v>
      </c>
      <c r="O102" s="1" cm="1">
        <f t="array" ref="O102">OptionRho("C",$E102,100,O$89,0.01,0.2,0)</f>
        <v>0.79753296736124057</v>
      </c>
      <c r="P102" s="1" cm="1">
        <f t="array" ref="P102">OptionRho("C",$E102,100,P$89,0.01,0.2,0)</f>
        <v>1.4055657274099254</v>
      </c>
      <c r="Q102" s="1" cm="1">
        <f t="array" ref="Q102">OptionRho("C",$E102,100,Q$89,0.01,0.2,0)</f>
        <v>1.9503860096125631</v>
      </c>
      <c r="R102" s="1" cm="1">
        <f t="array" ref="R102">OptionRho("C",$E102,100,R$89,0.01,0.2,0)</f>
        <v>2.4558019526519712</v>
      </c>
      <c r="S102" s="1" cm="1">
        <f t="array" ref="S102">OptionRho("C",$E102,100,S$89,0.01,0.2,0)</f>
        <v>2.9313996071778941</v>
      </c>
      <c r="W102" s="2">
        <f t="shared" si="25"/>
        <v>120</v>
      </c>
      <c r="X102" s="1" cm="1">
        <f t="array" ref="X102">OptionRho("C",$E102,100,X$89,0.01,0.1,0)</f>
        <v>9.9900049613135686E-2</v>
      </c>
      <c r="Y102" s="1" cm="1">
        <f t="array" ref="Y102">OptionRho("C",$E102,100,Y$89,0.01,0.1,0)</f>
        <v>0.19959626211406123</v>
      </c>
      <c r="Z102" s="1" cm="1">
        <f t="array" ref="Z102">OptionRho("C",$E102,100,Z$89,0.01,0.1,0)</f>
        <v>0.29898313191089138</v>
      </c>
      <c r="AA102" s="1" cm="1">
        <f t="array" ref="AA102">OptionRho("C",$E102,100,AA$89,0.01,0.1,0)</f>
        <v>0.39769324894937874</v>
      </c>
      <c r="AB102" s="1" cm="1">
        <f t="array" ref="AB102">OptionRho("C",$E102,100,AB$89,0.01,0.1,0)</f>
        <v>0.49527868282183346</v>
      </c>
      <c r="AC102" s="1" cm="1">
        <f t="array" ref="AC102">OptionRho("C",$E102,100,AC$89,0.01,0.1,0)</f>
        <v>0.59142047882605842</v>
      </c>
      <c r="AD102" s="1" cm="1">
        <f t="array" ref="AD102">OptionRho("C",$E102,100,AD$89,0.01,0.1,0)</f>
        <v>0.68595842929360373</v>
      </c>
      <c r="AE102" s="1" cm="1">
        <f t="array" ref="AE102">OptionRho("C",$E102,100,AE$89,0.01,0.1,0)</f>
        <v>0.77884877360331062</v>
      </c>
      <c r="AF102" s="1" cm="1">
        <f t="array" ref="AF102">OptionRho("C",$E102,100,AF$89,0.01,0.1,0)</f>
        <v>0.87011875244291337</v>
      </c>
      <c r="AG102" s="1" cm="1">
        <f t="array" ref="AG102">OptionRho("C",$E102,100,AG$89,0.01,0.1,0)</f>
        <v>0.959834194269642</v>
      </c>
      <c r="AH102" s="1" cm="1">
        <f t="array" ref="AH102">OptionRho("C",$E102,100,AH$89,0.01,0.1,0)</f>
        <v>1.7899842881670318</v>
      </c>
      <c r="AI102" s="1" cm="1">
        <f t="array" ref="AI102">OptionRho("C",$E102,100,AI$89,0.01,0.1,0)</f>
        <v>2.5407168875355404</v>
      </c>
      <c r="AJ102" s="1" cm="1">
        <f t="array" ref="AJ102">OptionRho("C",$E102,100,AJ$89,0.01,0.1,0)</f>
        <v>3.2441523843363722</v>
      </c>
      <c r="AK102" s="1" cm="1">
        <f t="array" ref="AK102">OptionRho("C",$E102,100,AK$89,0.01,0.1,0)</f>
        <v>3.914693905162963</v>
      </c>
      <c r="AO102" s="2">
        <f t="shared" si="26"/>
        <v>120</v>
      </c>
      <c r="AP102" s="1" cm="1">
        <f t="array" ref="AP102">OptionRho("C",$E102,100,AP$89,0.01,0.3,0)</f>
        <v>9.6931155243772646E-2</v>
      </c>
      <c r="AQ102" s="1" cm="1">
        <f t="array" ref="AQ102">OptionRho("C",$E102,100,AQ$89,0.01,0.3,0)</f>
        <v>0.18050952682701799</v>
      </c>
      <c r="AR102" s="1" cm="1">
        <f t="array" ref="AR102">OptionRho("C",$E102,100,AR$89,0.01,0.3,0)</f>
        <v>0.25487739366774992</v>
      </c>
      <c r="AS102" s="1" cm="1">
        <f t="array" ref="AS102">OptionRho("C",$E102,100,AS$89,0.01,0.3,0)</f>
        <v>0.32370108870629927</v>
      </c>
      <c r="AT102" s="1" cm="1">
        <f t="array" ref="AT102">OptionRho("C",$E102,100,AT$89,0.01,0.3,0)</f>
        <v>0.38875814895490307</v>
      </c>
      <c r="AU102" s="1" cm="1">
        <f t="array" ref="AU102">OptionRho("C",$E102,100,AU$89,0.01,0.3,0)</f>
        <v>0.45102197776462982</v>
      </c>
      <c r="AV102" s="1" cm="1">
        <f t="array" ref="AV102">OptionRho("C",$E102,100,AV$89,0.01,0.3,0)</f>
        <v>0.51108637489139319</v>
      </c>
      <c r="AW102" s="1" cm="1">
        <f t="array" ref="AW102">OptionRho("C",$E102,100,AW$89,0.01,0.3,0)</f>
        <v>0.56934359886945318</v>
      </c>
      <c r="AX102" s="1" cm="1">
        <f t="array" ref="AX102">OptionRho("C",$E102,100,AX$89,0.01,0.3,0)</f>
        <v>0.62606865589008964</v>
      </c>
      <c r="AY102" s="1" cm="1">
        <f t="array" ref="AY102">OptionRho("C",$E102,100,AY$89,0.01,0.3,0)</f>
        <v>0.68146336615181546</v>
      </c>
      <c r="AZ102" s="1" cm="1">
        <f t="array" ref="AZ102">OptionRho("C",$E102,100,AZ$89,0.01,0.3,0)</f>
        <v>1.1848579476912982</v>
      </c>
      <c r="BA102" s="1" cm="1">
        <f t="array" ref="BA102">OptionRho("C",$E102,100,BA$89,0.01,0.3,0)</f>
        <v>1.6278634009613053</v>
      </c>
      <c r="BB102" s="1" cm="1">
        <f t="array" ref="BB102">OptionRho("C",$E102,100,BB$89,0.01,0.3,0)</f>
        <v>2.0296348209289148</v>
      </c>
      <c r="BC102" s="1" cm="1">
        <f t="array" ref="BC102">OptionRho("C",$E102,100,BC$89,0.01,0.3,0)</f>
        <v>2.3987823120714449</v>
      </c>
    </row>
    <row r="103" spans="5:55" x14ac:dyDescent="0.3">
      <c r="E103" s="2">
        <f t="shared" si="24"/>
        <v>125</v>
      </c>
      <c r="F103" s="1" cm="1">
        <f t="array" ref="F103">OptionRho("C",$E103,100,F$89,0.01,0.2,0)</f>
        <v>9.9877868050641513E-2</v>
      </c>
      <c r="G103" s="1" cm="1">
        <f t="array" ref="G103">OptionRho("C",$E103,100,G$89,0.01,0.2,0)</f>
        <v>0.19826121374631198</v>
      </c>
      <c r="H103" s="1" cm="1">
        <f t="array" ref="H103">OptionRho("C",$E103,100,H$89,0.01,0.2,0)</f>
        <v>0.29245072006046924</v>
      </c>
      <c r="I103" s="1" cm="1">
        <f t="array" ref="I103">OptionRho("C",$E103,100,I$89,0.01,0.2,0)</f>
        <v>0.3818320533555099</v>
      </c>
      <c r="J103" s="1" cm="1">
        <f t="array" ref="J103">OptionRho("C",$E103,100,J$89,0.01,0.2,0)</f>
        <v>0.46692198548977831</v>
      </c>
      <c r="K103" s="1" cm="1">
        <f t="array" ref="K103">OptionRho("C",$E103,100,K$89,0.01,0.2,0)</f>
        <v>0.54839430840815317</v>
      </c>
      <c r="L103" s="1" cm="1">
        <f t="array" ref="L103">OptionRho("C",$E103,100,L$89,0.01,0.2,0)</f>
        <v>0.62683596450535606</v>
      </c>
      <c r="M103" s="1" cm="1">
        <f t="array" ref="M103">OptionRho("C",$E103,100,M$89,0.01,0.2,0)</f>
        <v>0.7027170419404063</v>
      </c>
      <c r="N103" s="1" cm="1">
        <f t="array" ref="N103">OptionRho("C",$E103,100,N$89,0.01,0.2,0)</f>
        <v>0.77640758146235589</v>
      </c>
      <c r="O103" s="1" cm="1">
        <f t="array" ref="O103">OptionRho("C",$E103,100,O$89,0.01,0.2,0)</f>
        <v>0.84819982584634868</v>
      </c>
      <c r="P103" s="1" cm="1">
        <f t="array" ref="P103">OptionRho("C",$E103,100,P$89,0.01,0.2,0)</f>
        <v>1.4971347861958171</v>
      </c>
      <c r="Q103" s="1" cm="1">
        <f t="array" ref="Q103">OptionRho("C",$E103,100,Q$89,0.01,0.2,0)</f>
        <v>2.071202520027601</v>
      </c>
      <c r="R103" s="1" cm="1">
        <f t="array" ref="R103">OptionRho("C",$E103,100,R$89,0.01,0.2,0)</f>
        <v>2.5997927799092873</v>
      </c>
      <c r="S103" s="1" cm="1">
        <f t="array" ref="S103">OptionRho("C",$E103,100,S$89,0.01,0.2,0)</f>
        <v>3.0947364560622197</v>
      </c>
      <c r="W103" s="2">
        <f t="shared" si="25"/>
        <v>125</v>
      </c>
      <c r="X103" s="1" cm="1">
        <f t="array" ref="X103">OptionRho("C",$E103,100,X$89,0.01,0.1,0)</f>
        <v>9.9900049983261366E-2</v>
      </c>
      <c r="Y103" s="1" cm="1">
        <f t="array" ref="Y103">OptionRho("C",$E103,100,Y$89,0.01,0.1,0)</f>
        <v>0.19960034597449697</v>
      </c>
      <c r="Z103" s="1" cm="1">
        <f t="array" ref="Z103">OptionRho("C",$E103,100,Z$89,0.01,0.1,0)</f>
        <v>0.29909520753459073</v>
      </c>
      <c r="AA103" s="1" cm="1">
        <f t="array" ref="AA103">OptionRho("C",$E103,100,AA$89,0.01,0.1,0)</f>
        <v>0.39832927362661075</v>
      </c>
      <c r="AB103" s="1" cm="1">
        <f t="array" ref="AB103">OptionRho("C",$E103,100,AB$89,0.01,0.1,0)</f>
        <v>0.49715365396356187</v>
      </c>
      <c r="AC103" s="1" cm="1">
        <f t="array" ref="AC103">OptionRho("C",$E103,100,AC$89,0.01,0.1,0)</f>
        <v>0.59536529236320235</v>
      </c>
      <c r="AD103" s="1" cm="1">
        <f t="array" ref="AD103">OptionRho("C",$E103,100,AD$89,0.01,0.1,0)</f>
        <v>0.69277091810376734</v>
      </c>
      <c r="AE103" s="1" cm="1">
        <f t="array" ref="AE103">OptionRho("C",$E103,100,AE$89,0.01,0.1,0)</f>
        <v>0.78922100210084156</v>
      </c>
      <c r="AF103" s="1" cm="1">
        <f t="array" ref="AF103">OptionRho("C",$E103,100,AF$89,0.01,0.1,0)</f>
        <v>0.88461614166740543</v>
      </c>
      <c r="AG103" s="1" cm="1">
        <f t="array" ref="AG103">OptionRho("C",$E103,100,AG$89,0.01,0.1,0)</f>
        <v>0.97890054170176677</v>
      </c>
      <c r="AH103" s="1" cm="1">
        <f t="array" ref="AH103">OptionRho("C",$E103,100,AH$89,0.01,0.1,0)</f>
        <v>1.8631273632495482</v>
      </c>
      <c r="AI103" s="1" cm="1">
        <f t="array" ref="AI103">OptionRho("C",$E103,100,AI$89,0.01,0.1,0)</f>
        <v>2.6651023114110521</v>
      </c>
      <c r="AJ103" s="1" cm="1">
        <f t="array" ref="AJ103">OptionRho("C",$E103,100,AJ$89,0.01,0.1,0)</f>
        <v>3.4125464232347826</v>
      </c>
      <c r="AK103" s="1" cm="1">
        <f t="array" ref="AK103">OptionRho("C",$E103,100,AK$89,0.01,0.1,0)</f>
        <v>4.1209288129593835</v>
      </c>
      <c r="AO103" s="2">
        <f t="shared" si="26"/>
        <v>125</v>
      </c>
      <c r="AP103" s="1" cm="1">
        <f t="array" ref="AP103">OptionRho("C",$E103,100,AP$89,0.01,0.3,0)</f>
        <v>9.8871106655175345E-2</v>
      </c>
      <c r="AQ103" s="1" cm="1">
        <f t="array" ref="AQ103">OptionRho("C",$E103,100,AQ$89,0.01,0.3,0)</f>
        <v>0.1889046884123747</v>
      </c>
      <c r="AR103" s="1" cm="1">
        <f t="array" ref="AR103">OptionRho("C",$E103,100,AR$89,0.01,0.3,0)</f>
        <v>0.26984500276398521</v>
      </c>
      <c r="AS103" s="1" cm="1">
        <f t="array" ref="AS103">OptionRho("C",$E103,100,AS$89,0.01,0.3,0)</f>
        <v>0.34455132914714243</v>
      </c>
      <c r="AT103" s="1" cm="1">
        <f t="array" ref="AT103">OptionRho("C",$E103,100,AT$89,0.01,0.3,0)</f>
        <v>0.41483583425713461</v>
      </c>
      <c r="AU103" s="1" cm="1">
        <f t="array" ref="AU103">OptionRho("C",$E103,100,AU$89,0.01,0.3,0)</f>
        <v>0.48179196650195977</v>
      </c>
      <c r="AV103" s="1" cm="1">
        <f t="array" ref="AV103">OptionRho("C",$E103,100,AV$89,0.01,0.3,0)</f>
        <v>0.54611808117523786</v>
      </c>
      <c r="AW103" s="1" cm="1">
        <f t="array" ref="AW103">OptionRho("C",$E103,100,AW$89,0.01,0.3,0)</f>
        <v>0.60828679358443949</v>
      </c>
      <c r="AX103" s="1" cm="1">
        <f t="array" ref="AX103">OptionRho("C",$E103,100,AX$89,0.01,0.3,0)</f>
        <v>0.66863385045386037</v>
      </c>
      <c r="AY103" s="1" cm="1">
        <f t="array" ref="AY103">OptionRho("C",$E103,100,AY$89,0.01,0.3,0)</f>
        <v>0.72740739426895151</v>
      </c>
      <c r="AZ103" s="1" cm="1">
        <f t="array" ref="AZ103">OptionRho("C",$E103,100,AZ$89,0.01,0.3,0)</f>
        <v>1.2564899717066402</v>
      </c>
      <c r="BA103" s="1" cm="1">
        <f t="array" ref="BA103">OptionRho("C",$E103,100,BA$89,0.01,0.3,0)</f>
        <v>1.7174875805075749</v>
      </c>
      <c r="BB103" s="1" cm="1">
        <f t="array" ref="BB103">OptionRho("C",$E103,100,BB$89,0.01,0.3,0)</f>
        <v>2.1333601067150982</v>
      </c>
      <c r="BC103" s="1" cm="1">
        <f t="array" ref="BC103">OptionRho("C",$E103,100,BC$89,0.01,0.3,0)</f>
        <v>2.5141316989180638</v>
      </c>
    </row>
    <row r="104" spans="5:55" x14ac:dyDescent="0.3">
      <c r="E104" s="2">
        <f t="shared" si="24"/>
        <v>130</v>
      </c>
      <c r="F104" s="1" cm="1">
        <f t="array" ref="F104">OptionRho("C",$E104,100,F$89,0.01,0.2,0)</f>
        <v>9.989825783141762E-2</v>
      </c>
      <c r="G104" s="1" cm="1">
        <f t="array" ref="G104">OptionRho("C",$E104,100,G$89,0.01,0.2,0)</f>
        <v>0.19924080062887661</v>
      </c>
      <c r="H104" s="1" cm="1">
        <f t="array" ref="H104">OptionRho("C",$E104,100,H$89,0.01,0.2,0)</f>
        <v>0.29642425234579134</v>
      </c>
      <c r="I104" s="1" cm="1">
        <f t="array" ref="I104">OptionRho("C",$E104,100,I$89,0.01,0.2,0)</f>
        <v>0.39021658405667159</v>
      </c>
      <c r="J104" s="1" cm="1">
        <f t="array" ref="J104">OptionRho("C",$E104,100,J$89,0.01,0.2,0)</f>
        <v>0.4803961669575153</v>
      </c>
      <c r="K104" s="1" cm="1">
        <f t="array" ref="K104">OptionRho("C",$E104,100,K$89,0.01,0.2,0)</f>
        <v>0.56719853041525747</v>
      </c>
      <c r="L104" s="1" cm="1">
        <f t="array" ref="L104">OptionRho("C",$E104,100,L$89,0.01,0.2,0)</f>
        <v>0.65098182663181059</v>
      </c>
      <c r="M104" s="1" cm="1">
        <f t="array" ref="M104">OptionRho("C",$E104,100,M$89,0.01,0.2,0)</f>
        <v>0.73210216289147134</v>
      </c>
      <c r="N104" s="1" cm="1">
        <f t="array" ref="N104">OptionRho("C",$E104,100,N$89,0.01,0.2,0)</f>
        <v>0.81087590504535034</v>
      </c>
      <c r="O104" s="1" cm="1">
        <f t="array" ref="O104">OptionRho("C",$E104,100,O$89,0.01,0.2,0)</f>
        <v>0.88757319713568394</v>
      </c>
      <c r="P104" s="1" cm="1">
        <f t="array" ref="P104">OptionRho("C",$E104,100,P$89,0.01,0.2,0)</f>
        <v>1.5766424137341921</v>
      </c>
      <c r="Q104" s="1" cm="1">
        <f t="array" ref="Q104">OptionRho("C",$E104,100,Q$89,0.01,0.2,0)</f>
        <v>2.1800640774968918</v>
      </c>
      <c r="R104" s="1" cm="1">
        <f t="array" ref="R104">OptionRho("C",$E104,100,R$89,0.01,0.2,0)</f>
        <v>2.7319626305478524</v>
      </c>
      <c r="S104" s="1" cm="1">
        <f t="array" ref="S104">OptionRho("C",$E104,100,S$89,0.01,0.2,0)</f>
        <v>3.2463412741759061</v>
      </c>
      <c r="W104" s="2">
        <f t="shared" si="25"/>
        <v>130</v>
      </c>
      <c r="X104" s="1" cm="1">
        <f t="array" ref="X104">OptionRho("C",$E104,100,X$89,0.01,0.1,0)</f>
        <v>9.9900049983337513E-2</v>
      </c>
      <c r="Y104" s="1" cm="1">
        <f t="array" ref="Y104">OptionRho("C",$E104,100,Y$89,0.01,0.1,0)</f>
        <v>0.19960039934571283</v>
      </c>
      <c r="Z104" s="1" cm="1">
        <f t="array" ref="Z104">OptionRho("C",$E104,100,Z$89,0.01,0.1,0)</f>
        <v>0.2991011312306211</v>
      </c>
      <c r="AA104" s="1" cm="1">
        <f t="array" ref="AA104">OptionRho("C",$E104,100,AA$89,0.01,0.1,0)</f>
        <v>0.39839738796252955</v>
      </c>
      <c r="AB104" s="1" cm="1">
        <f t="array" ref="AB104">OptionRho("C",$E104,100,AB$89,0.01,0.1,0)</f>
        <v>0.49746149929550426</v>
      </c>
      <c r="AC104" s="1" cm="1">
        <f t="array" ref="AC104">OptionRho("C",$E104,100,AC$89,0.01,0.1,0)</f>
        <v>0.59622800656168429</v>
      </c>
      <c r="AD104" s="1" cm="1">
        <f t="array" ref="AD104">OptionRho("C",$E104,100,AD$89,0.01,0.1,0)</f>
        <v>0.69460114005190687</v>
      </c>
      <c r="AE104" s="1" cm="1">
        <f t="array" ref="AE104">OptionRho("C",$E104,100,AE$89,0.01,0.1,0)</f>
        <v>0.79247439679380349</v>
      </c>
      <c r="AF104" s="1" cm="1">
        <f t="array" ref="AF104">OptionRho("C",$E104,100,AF$89,0.01,0.1,0)</f>
        <v>0.88974743056024752</v>
      </c>
      <c r="AG104" s="1" cm="1">
        <f t="array" ref="AG104">OptionRho("C",$E104,100,AG$89,0.01,0.1,0)</f>
        <v>0.98633554504316645</v>
      </c>
      <c r="AH104" s="1" cm="1">
        <f t="array" ref="AH104">OptionRho("C",$E104,100,AH$89,0.01,0.1,0)</f>
        <v>1.9073528277688421</v>
      </c>
      <c r="AI104" s="1" cm="1">
        <f t="array" ref="AI104">OptionRho("C",$E104,100,AI$89,0.01,0.1,0)</f>
        <v>2.7522371935526651</v>
      </c>
      <c r="AJ104" s="1" cm="1">
        <f t="array" ref="AJ104">OptionRho("C",$E104,100,AJ$89,0.01,0.1,0)</f>
        <v>3.5395433389541919</v>
      </c>
      <c r="AK104" s="1" cm="1">
        <f t="array" ref="AK104">OptionRho("C",$E104,100,AK$89,0.01,0.1,0)</f>
        <v>4.2835141810001804</v>
      </c>
      <c r="AO104" s="2">
        <f t="shared" si="26"/>
        <v>130</v>
      </c>
      <c r="AP104" s="1" cm="1">
        <f t="array" ref="AP104">OptionRho("C",$E104,100,AP$89,0.01,0.3,0)</f>
        <v>9.9582415229851867E-2</v>
      </c>
      <c r="AQ104" s="1" cm="1">
        <f t="array" ref="AQ104">OptionRho("C",$E104,100,AQ$89,0.01,0.3,0)</f>
        <v>0.19391259558754664</v>
      </c>
      <c r="AR104" s="1" cm="1">
        <f t="array" ref="AR104">OptionRho("C",$E104,100,AR$89,0.01,0.3,0)</f>
        <v>0.28035878249676893</v>
      </c>
      <c r="AS104" s="1" cm="1">
        <f t="array" ref="AS104">OptionRho("C",$E104,100,AS$89,0.01,0.3,0)</f>
        <v>0.36044808482034152</v>
      </c>
      <c r="AT104" s="1" cm="1">
        <f t="array" ref="AT104">OptionRho("C",$E104,100,AT$89,0.01,0.3,0)</f>
        <v>0.4357217606881495</v>
      </c>
      <c r="AU104" s="1" cm="1">
        <f t="array" ref="AU104">OptionRho("C",$E104,100,AU$89,0.01,0.3,0)</f>
        <v>0.50725932380965366</v>
      </c>
      <c r="AV104" s="1" cm="1">
        <f t="array" ref="AV104">OptionRho("C",$E104,100,AV$89,0.01,0.3,0)</f>
        <v>0.57580182729458596</v>
      </c>
      <c r="AW104" s="1" cm="1">
        <f t="array" ref="AW104">OptionRho("C",$E104,100,AW$89,0.01,0.3,0)</f>
        <v>0.64187163619302934</v>
      </c>
      <c r="AX104" s="1" cm="1">
        <f t="array" ref="AX104">OptionRho("C",$E104,100,AX$89,0.01,0.3,0)</f>
        <v>0.70584918287508247</v>
      </c>
      <c r="AY104" s="1" cm="1">
        <f t="array" ref="AY104">OptionRho("C",$E104,100,AY$89,0.01,0.3,0)</f>
        <v>0.76802012118301122</v>
      </c>
      <c r="AZ104" s="1" cm="1">
        <f t="array" ref="AZ104">OptionRho("C",$E104,100,AZ$89,0.01,0.3,0)</f>
        <v>1.3230175184925788</v>
      </c>
      <c r="BA104" s="1" cm="1">
        <f t="array" ref="BA104">OptionRho("C",$E104,100,BA$89,0.01,0.3,0)</f>
        <v>1.80210868841131</v>
      </c>
      <c r="BB104" s="1" cm="1">
        <f t="array" ref="BB104">OptionRho("C",$E104,100,BB$89,0.01,0.3,0)</f>
        <v>2.2321059443947862</v>
      </c>
      <c r="BC104" s="1" cm="1">
        <f t="array" ref="BC104">OptionRho("C",$E104,100,BC$89,0.01,0.3,0)</f>
        <v>2.624488261615415</v>
      </c>
    </row>
    <row r="105" spans="5:55" x14ac:dyDescent="0.3">
      <c r="E105" s="2">
        <f t="shared" si="24"/>
        <v>135</v>
      </c>
      <c r="F105" s="1" cm="1">
        <f t="array" ref="F105">OptionRho("C",$E105,100,F$89,0.01,0.2,0)</f>
        <v>9.9899937425487084E-2</v>
      </c>
      <c r="G105" s="1" cm="1">
        <f t="array" ref="G105">OptionRho("C",$E105,100,G$89,0.01,0.2,0)</f>
        <v>0.19951462891393384</v>
      </c>
      <c r="H105" s="1" cm="1">
        <f t="array" ref="H105">OptionRho("C",$E105,100,H$89,0.01,0.2,0)</f>
        <v>0.2981017221563636</v>
      </c>
      <c r="I105" s="1" cm="1">
        <f t="array" ref="I105">OptionRho("C",$E105,100,I$89,0.01,0.2,0)</f>
        <v>0.39457121776080656</v>
      </c>
      <c r="J105" s="1" cm="1">
        <f t="array" ref="J105">OptionRho("C",$E105,100,J$89,0.01,0.2,0)</f>
        <v>0.4883235563423502</v>
      </c>
      <c r="K105" s="1" cm="1">
        <f t="array" ref="K105">OptionRho("C",$E105,100,K$89,0.01,0.2,0)</f>
        <v>0.57922265459566469</v>
      </c>
      <c r="L105" s="1" cm="1">
        <f t="array" ref="L105">OptionRho("C",$E105,100,L$89,0.01,0.2,0)</f>
        <v>0.66736921843921537</v>
      </c>
      <c r="M105" s="1" cm="1">
        <f t="array" ref="M105">OptionRho("C",$E105,100,M$89,0.01,0.2,0)</f>
        <v>0.75295737423125897</v>
      </c>
      <c r="N105" s="1" cm="1">
        <f t="array" ref="N105">OptionRho("C",$E105,100,N$89,0.01,0.2,0)</f>
        <v>0.83620516746271678</v>
      </c>
      <c r="O105" s="1" cm="1">
        <f t="array" ref="O105">OptionRho("C",$E105,100,O$89,0.01,0.2,0)</f>
        <v>0.91732436651684768</v>
      </c>
      <c r="P105" s="1" cm="1">
        <f t="array" ref="P105">OptionRho("C",$E105,100,P$89,0.01,0.2,0)</f>
        <v>1.6447556479755494</v>
      </c>
      <c r="Q105" s="1" cm="1">
        <f t="array" ref="Q105">OptionRho("C",$E105,100,Q$89,0.01,0.2,0)</f>
        <v>2.2773160793645628</v>
      </c>
      <c r="R105" s="1" cm="1">
        <f t="array" ref="R105">OptionRho("C",$E105,100,R$89,0.01,0.2,0)</f>
        <v>2.8525390074635313</v>
      </c>
      <c r="S105" s="1" cm="1">
        <f t="array" ref="S105">OptionRho("C",$E105,100,S$89,0.01,0.2,0)</f>
        <v>3.3863992954318465</v>
      </c>
      <c r="W105" s="2">
        <f t="shared" si="25"/>
        <v>135</v>
      </c>
      <c r="X105" s="1" cm="1">
        <f t="array" ref="X105">OptionRho("C",$E105,100,X$89,0.01,0.1,0)</f>
        <v>9.9900049983337513E-2</v>
      </c>
      <c r="Y105" s="1" cm="1">
        <f t="array" ref="Y105">OptionRho("C",$E105,100,Y$89,0.01,0.1,0)</f>
        <v>0.19960039973180685</v>
      </c>
      <c r="Z105" s="1" cm="1">
        <f t="array" ref="Z105">OptionRho("C",$E105,100,Z$89,0.01,0.1,0)</f>
        <v>0.29910134317755122</v>
      </c>
      <c r="AA105" s="1" cm="1">
        <f t="array" ref="AA105">OptionRho("C",$E105,100,AA$89,0.01,0.1,0)</f>
        <v>0.3984028407573641</v>
      </c>
      <c r="AB105" s="1" cm="1">
        <f t="array" ref="AB105">OptionRho("C",$E105,100,AB$89,0.01,0.1,0)</f>
        <v>0.49750157959169578</v>
      </c>
      <c r="AC105" s="1" cm="1">
        <f t="array" ref="AC105">OptionRho("C",$E105,100,AC$89,0.01,0.1,0)</f>
        <v>0.59638360220830644</v>
      </c>
      <c r="AD105" s="1" cm="1">
        <f t="array" ref="AD105">OptionRho("C",$E105,100,AD$89,0.01,0.1,0)</f>
        <v>0.69501813372831622</v>
      </c>
      <c r="AE105" s="1" cm="1">
        <f t="array" ref="AE105">OptionRho("C",$E105,100,AE$89,0.01,0.1,0)</f>
        <v>0.79335812906789938</v>
      </c>
      <c r="AF105" s="1" cm="1">
        <f t="array" ref="AF105">OptionRho("C",$E105,100,AF$89,0.01,0.1,0)</f>
        <v>0.89134605998743821</v>
      </c>
      <c r="AG105" s="1" cm="1">
        <f t="array" ref="AG105">OptionRho("C",$E105,100,AG$89,0.01,0.1,0)</f>
        <v>0.98892095075464459</v>
      </c>
      <c r="AH105" s="1" cm="1">
        <f t="array" ref="AH105">OptionRho("C",$E105,100,AH$89,0.01,0.1,0)</f>
        <v>1.9326342865983208</v>
      </c>
      <c r="AI105" s="1" cm="1">
        <f t="array" ref="AI105">OptionRho("C",$E105,100,AI$89,0.01,0.1,0)</f>
        <v>2.8110815254143624</v>
      </c>
      <c r="AJ105" s="1" cm="1">
        <f t="array" ref="AJ105">OptionRho("C",$E105,100,AJ$89,0.01,0.1,0)</f>
        <v>3.6327782720310542</v>
      </c>
      <c r="AK105" s="1" cm="1">
        <f t="array" ref="AK105">OptionRho("C",$E105,100,AK$89,0.01,0.1,0)</f>
        <v>4.4090180057059323</v>
      </c>
      <c r="AO105" s="2">
        <f t="shared" si="26"/>
        <v>135</v>
      </c>
      <c r="AP105" s="1" cm="1">
        <f t="array" ref="AP105">OptionRho("C",$E105,100,AP$89,0.01,0.3,0)</f>
        <v>9.98116842069902E-2</v>
      </c>
      <c r="AQ105" s="1" cm="1">
        <f t="array" ref="AQ105">OptionRho("C",$E105,100,AQ$89,0.01,0.3,0)</f>
        <v>0.1967148907920642</v>
      </c>
      <c r="AR105" s="1" cm="1">
        <f t="array" ref="AR105">OptionRho("C",$E105,100,AR$89,0.01,0.3,0)</f>
        <v>0.28743809080910765</v>
      </c>
      <c r="AS105" s="1" cm="1">
        <f t="array" ref="AS105">OptionRho("C",$E105,100,AS$89,0.01,0.3,0)</f>
        <v>0.37219240872194909</v>
      </c>
      <c r="AT105" s="1" cm="1">
        <f t="array" ref="AT105">OptionRho("C",$E105,100,AT$89,0.01,0.3,0)</f>
        <v>0.45203642785625414</v>
      </c>
      <c r="AU105" s="1" cm="1">
        <f t="array" ref="AU105">OptionRho("C",$E105,100,AU$89,0.01,0.3,0)</f>
        <v>0.5279063993891423</v>
      </c>
      <c r="AV105" s="1" cm="1">
        <f t="array" ref="AV105">OptionRho("C",$E105,100,AV$89,0.01,0.3,0)</f>
        <v>0.6005154196414676</v>
      </c>
      <c r="AW105" s="1" cm="1">
        <f t="array" ref="AW105">OptionRho("C",$E105,100,AW$89,0.01,0.3,0)</f>
        <v>0.67039633112636221</v>
      </c>
      <c r="AX105" s="1" cm="1">
        <f t="array" ref="AX105">OptionRho("C",$E105,100,AX$89,0.01,0.3,0)</f>
        <v>0.73795159861052295</v>
      </c>
      <c r="AY105" s="1" cm="1">
        <f t="array" ref="AY105">OptionRho("C",$E105,100,AY$89,0.01,0.3,0)</f>
        <v>0.80349082627409651</v>
      </c>
      <c r="AZ105" s="1" cm="1">
        <f t="array" ref="AZ105">OptionRho("C",$E105,100,AZ$89,0.01,0.3,0)</f>
        <v>1.3844626580586128</v>
      </c>
      <c r="BA105" s="1" cm="1">
        <f t="array" ref="BA105">OptionRho("C",$E105,100,BA$89,0.01,0.3,0)</f>
        <v>1.8817361687331504</v>
      </c>
      <c r="BB105" s="1" cm="1">
        <f t="array" ref="BB105">OptionRho("C",$E105,100,BB$89,0.01,0.3,0)</f>
        <v>2.3258952257971575</v>
      </c>
      <c r="BC105" s="1" cm="1">
        <f t="array" ref="BC105">OptionRho("C",$E105,100,BC$89,0.01,0.3,0)</f>
        <v>2.7298936926815593</v>
      </c>
    </row>
    <row r="106" spans="5:55" x14ac:dyDescent="0.3">
      <c r="E106" s="2">
        <f t="shared" si="24"/>
        <v>140</v>
      </c>
      <c r="F106" s="1" cm="1">
        <f t="array" ref="F106">OptionRho("C",$E106,100,F$89,0.01,0.2,0)</f>
        <v>9.9900044333117666E-2</v>
      </c>
      <c r="G106" s="1" cm="1">
        <f t="array" ref="G106">OptionRho("C",$E106,100,G$89,0.01,0.2,0)</f>
        <v>0.19958199888181857</v>
      </c>
      <c r="H106" s="1" cm="1">
        <f t="array" ref="H106">OptionRho("C",$E106,100,H$89,0.01,0.2,0)</f>
        <v>0.29875241343482667</v>
      </c>
      <c r="I106" s="1" cm="1">
        <f t="array" ref="I106">OptionRho("C",$E106,100,I$89,0.01,0.2,0)</f>
        <v>0.39669441320637577</v>
      </c>
      <c r="J106" s="1" cm="1">
        <f t="array" ref="J106">OptionRho("C",$E106,100,J$89,0.01,0.2,0)</f>
        <v>0.49275873716227719</v>
      </c>
      <c r="K106" s="1" cm="1">
        <f t="array" ref="K106">OptionRho("C",$E106,100,K$89,0.01,0.2,0)</f>
        <v>0.58659707295076824</v>
      </c>
      <c r="L106" s="1" cm="1">
        <f t="array" ref="L106">OptionRho("C",$E106,100,L$89,0.01,0.2,0)</f>
        <v>0.67810197543662665</v>
      </c>
      <c r="M106" s="1" cm="1">
        <f t="array" ref="M106">OptionRho("C",$E106,100,M$89,0.01,0.2,0)</f>
        <v>0.76730661853179061</v>
      </c>
      <c r="N106" s="1" cm="1">
        <f t="array" ref="N106">OptionRho("C",$E106,100,N$89,0.01,0.2,0)</f>
        <v>0.85431448147951727</v>
      </c>
      <c r="O106" s="1" cm="1">
        <f t="array" ref="O106">OptionRho("C",$E106,100,O$89,0.01,0.2,0)</f>
        <v>0.93925858365570514</v>
      </c>
      <c r="P106" s="1" cm="1">
        <f t="array" ref="P106">OptionRho("C",$E106,100,P$89,0.01,0.2,0)</f>
        <v>1.7024252108865094</v>
      </c>
      <c r="Q106" s="1" cm="1">
        <f t="array" ref="Q106">OptionRho("C",$E106,100,Q$89,0.01,0.2,0)</f>
        <v>2.363548932826006</v>
      </c>
      <c r="R106" s="1" cm="1">
        <f t="array" ref="R106">OptionRho("C",$E106,100,R$89,0.01,0.2,0)</f>
        <v>2.9619525249901475</v>
      </c>
      <c r="S106" s="1" cm="1">
        <f t="array" ref="S106">OptionRho("C",$E106,100,S$89,0.01,0.2,0)</f>
        <v>3.5152655093388363</v>
      </c>
      <c r="W106" s="2">
        <f t="shared" si="25"/>
        <v>140</v>
      </c>
      <c r="X106" s="1" cm="1">
        <f t="array" ref="X106">OptionRho("C",$E106,100,X$89,0.01,0.1,0)</f>
        <v>9.9900049983337513E-2</v>
      </c>
      <c r="Y106" s="1" cm="1">
        <f t="array" ref="Y106">OptionRho("C",$E106,100,Y$89,0.01,0.1,0)</f>
        <v>0.19960039973346216</v>
      </c>
      <c r="Z106" s="1" cm="1">
        <f t="array" ref="Z106">OptionRho("C",$E106,100,Z$89,0.01,0.1,0)</f>
        <v>0.29910134854920667</v>
      </c>
      <c r="AA106" s="1" cm="1">
        <f t="array" ref="AA106">OptionRho("C",$E106,100,AA$89,0.01,0.1,0)</f>
        <v>0.39840317838234113</v>
      </c>
      <c r="AB106" s="1" cm="1">
        <f t="array" ref="AB106">OptionRho("C",$E106,100,AB$89,0.01,0.1,0)</f>
        <v>0.49750583249072633</v>
      </c>
      <c r="AC106" s="1" cm="1">
        <f t="array" ref="AC106">OptionRho("C",$E106,100,AC$89,0.01,0.1,0)</f>
        <v>0.59640728082054484</v>
      </c>
      <c r="AD106" s="1" cm="1">
        <f t="array" ref="AD106">OptionRho("C",$E106,100,AD$89,0.01,0.1,0)</f>
        <v>0.69510030433566872</v>
      </c>
      <c r="AE106" s="1" cm="1">
        <f t="array" ref="AE106">OptionRho("C",$E106,100,AE$89,0.01,0.1,0)</f>
        <v>0.79356962372848672</v>
      </c>
      <c r="AF106" s="1" cm="1">
        <f t="array" ref="AF106">OptionRho("C",$E106,100,AF$89,0.01,0.1,0)</f>
        <v>0.89179120674511392</v>
      </c>
      <c r="AG106" s="1" cm="1">
        <f t="array" ref="AG106">OptionRho("C",$E106,100,AG$89,0.01,0.1,0)</f>
        <v>0.98973377492216585</v>
      </c>
      <c r="AH106" s="1" cm="1">
        <f t="array" ref="AH106">OptionRho("C",$E106,100,AH$89,0.01,0.1,0)</f>
        <v>1.9463918255910062</v>
      </c>
      <c r="AI106" s="1" cm="1">
        <f t="array" ref="AI106">OptionRho("C",$E106,100,AI$89,0.01,0.1,0)</f>
        <v>2.8495648996149048</v>
      </c>
      <c r="AJ106" s="1" cm="1">
        <f t="array" ref="AJ106">OptionRho("C",$E106,100,AJ$89,0.01,0.1,0)</f>
        <v>3.6996343552554141</v>
      </c>
      <c r="AK106" s="1" cm="1">
        <f t="array" ref="AK106">OptionRho("C",$E106,100,AK$89,0.01,0.1,0)</f>
        <v>4.5041312353967964</v>
      </c>
      <c r="AO106" s="2">
        <f t="shared" si="26"/>
        <v>140</v>
      </c>
      <c r="AP106" s="1" cm="1">
        <f t="array" ref="AP106">OptionRho("C",$E106,100,AP$89,0.01,0.3,0)</f>
        <v>9.9877653195750885E-2</v>
      </c>
      <c r="AQ106" s="1" cm="1">
        <f t="array" ref="AQ106">OptionRho("C",$E106,100,AQ$89,0.01,0.3,0)</f>
        <v>0.1981972645855174</v>
      </c>
      <c r="AR106" s="1" cm="1">
        <f t="array" ref="AR106">OptionRho("C",$E106,100,AR$89,0.01,0.3,0)</f>
        <v>0.29203093523689755</v>
      </c>
      <c r="AS106" s="1" cm="1">
        <f t="array" ref="AS106">OptionRho("C",$E106,100,AS$89,0.01,0.3,0)</f>
        <v>0.38063235204176132</v>
      </c>
      <c r="AT106" s="1" cm="1">
        <f t="array" ref="AT106">OptionRho("C",$E106,100,AT$89,0.01,0.3,0)</f>
        <v>0.46450375839346553</v>
      </c>
      <c r="AU106" s="1" cm="1">
        <f t="array" ref="AU106">OptionRho("C",$E106,100,AU$89,0.01,0.3,0)</f>
        <v>0.54434466906661749</v>
      </c>
      <c r="AV106" s="1" cm="1">
        <f t="array" ref="AV106">OptionRho("C",$E106,100,AV$89,0.01,0.3,0)</f>
        <v>0.62077618313338978</v>
      </c>
      <c r="AW106" s="1" cm="1">
        <f t="array" ref="AW106">OptionRho("C",$E106,100,AW$89,0.01,0.3,0)</f>
        <v>0.69430119356071585</v>
      </c>
      <c r="AX106" s="1" cm="1">
        <f t="array" ref="AX106">OptionRho("C",$E106,100,AX$89,0.01,0.3,0)</f>
        <v>0.76531872393256073</v>
      </c>
      <c r="AY106" s="1" cm="1">
        <f t="array" ref="AY106">OptionRho("C",$E106,100,AY$89,0.01,0.3,0)</f>
        <v>0.83414598637936621</v>
      </c>
      <c r="AZ106" s="1" cm="1">
        <f t="array" ref="AZ106">OptionRho("C",$E106,100,AZ$89,0.01,0.3,0)</f>
        <v>1.4409402526215997</v>
      </c>
      <c r="BA106" s="1" cm="1">
        <f t="array" ref="BA106">OptionRho("C",$E106,100,BA$89,0.01,0.3,0)</f>
        <v>1.9564455630771902</v>
      </c>
      <c r="BB106" s="1" cm="1">
        <f t="array" ref="BB106">OptionRho("C",$E106,100,BB$89,0.01,0.3,0)</f>
        <v>2.4148006453738216</v>
      </c>
      <c r="BC106" s="1" cm="1">
        <f t="array" ref="BC106">OptionRho("C",$E106,100,BC$89,0.01,0.3,0)</f>
        <v>2.8304283969966368</v>
      </c>
    </row>
    <row r="128" spans="3:55" x14ac:dyDescent="0.3">
      <c r="C128" t="s">
        <v>12</v>
      </c>
      <c r="E128" s="1"/>
      <c r="F128" s="2">
        <v>0.1</v>
      </c>
      <c r="G128" s="2">
        <f>F128+0.1</f>
        <v>0.2</v>
      </c>
      <c r="H128" s="2">
        <f t="shared" ref="H128:N128" si="27">G128+0.1</f>
        <v>0.30000000000000004</v>
      </c>
      <c r="I128" s="2">
        <f t="shared" si="27"/>
        <v>0.4</v>
      </c>
      <c r="J128" s="2">
        <f t="shared" si="27"/>
        <v>0.5</v>
      </c>
      <c r="K128" s="2">
        <f t="shared" si="27"/>
        <v>0.6</v>
      </c>
      <c r="L128" s="2">
        <f t="shared" si="27"/>
        <v>0.7</v>
      </c>
      <c r="M128" s="2">
        <f t="shared" si="27"/>
        <v>0.79999999999999993</v>
      </c>
      <c r="N128" s="2">
        <f t="shared" si="27"/>
        <v>0.89999999999999991</v>
      </c>
      <c r="O128" s="2">
        <f>N128+0.1</f>
        <v>0.99999999999999989</v>
      </c>
      <c r="P128" s="2">
        <f>O128+1</f>
        <v>2</v>
      </c>
      <c r="Q128" s="2">
        <f t="shared" ref="Q128:S128" si="28">P128+1</f>
        <v>3</v>
      </c>
      <c r="R128" s="2">
        <f t="shared" si="28"/>
        <v>4</v>
      </c>
      <c r="S128" s="2">
        <f t="shared" si="28"/>
        <v>5</v>
      </c>
      <c r="U128" t="s">
        <v>11</v>
      </c>
      <c r="W128" s="1"/>
      <c r="X128" s="2">
        <v>0.1</v>
      </c>
      <c r="Y128" s="2">
        <f>X128+0.1</f>
        <v>0.2</v>
      </c>
      <c r="Z128" s="2">
        <f t="shared" ref="Z128:AF128" si="29">Y128+0.1</f>
        <v>0.30000000000000004</v>
      </c>
      <c r="AA128" s="2">
        <f t="shared" si="29"/>
        <v>0.4</v>
      </c>
      <c r="AB128" s="2">
        <f t="shared" si="29"/>
        <v>0.5</v>
      </c>
      <c r="AC128" s="2">
        <f t="shared" si="29"/>
        <v>0.6</v>
      </c>
      <c r="AD128" s="2">
        <f t="shared" si="29"/>
        <v>0.7</v>
      </c>
      <c r="AE128" s="2">
        <f t="shared" si="29"/>
        <v>0.79999999999999993</v>
      </c>
      <c r="AF128" s="2">
        <f t="shared" si="29"/>
        <v>0.89999999999999991</v>
      </c>
      <c r="AG128" s="2">
        <f>AF128+0.1</f>
        <v>0.99999999999999989</v>
      </c>
      <c r="AH128" s="2">
        <f>AG128+1</f>
        <v>2</v>
      </c>
      <c r="AI128" s="2">
        <f t="shared" ref="AI128:AK128" si="30">AH128+1</f>
        <v>3</v>
      </c>
      <c r="AJ128" s="2">
        <f t="shared" si="30"/>
        <v>4</v>
      </c>
      <c r="AK128" s="2">
        <f t="shared" si="30"/>
        <v>5</v>
      </c>
      <c r="AM128" t="s">
        <v>11</v>
      </c>
      <c r="AO128" s="1"/>
      <c r="AP128" s="2">
        <v>0.1</v>
      </c>
      <c r="AQ128" s="2">
        <f>AP128+0.1</f>
        <v>0.2</v>
      </c>
      <c r="AR128" s="2">
        <f t="shared" ref="AR128:AX128" si="31">AQ128+0.1</f>
        <v>0.30000000000000004</v>
      </c>
      <c r="AS128" s="2">
        <f t="shared" si="31"/>
        <v>0.4</v>
      </c>
      <c r="AT128" s="2">
        <f t="shared" si="31"/>
        <v>0.5</v>
      </c>
      <c r="AU128" s="2">
        <f t="shared" si="31"/>
        <v>0.6</v>
      </c>
      <c r="AV128" s="2">
        <f t="shared" si="31"/>
        <v>0.7</v>
      </c>
      <c r="AW128" s="2">
        <f t="shared" si="31"/>
        <v>0.79999999999999993</v>
      </c>
      <c r="AX128" s="2">
        <f t="shared" si="31"/>
        <v>0.89999999999999991</v>
      </c>
      <c r="AY128" s="2">
        <f>AX128+0.1</f>
        <v>0.99999999999999989</v>
      </c>
      <c r="AZ128" s="2">
        <f>AY128+1</f>
        <v>2</v>
      </c>
      <c r="BA128" s="2">
        <f t="shared" ref="BA128:BC128" si="32">AZ128+1</f>
        <v>3</v>
      </c>
      <c r="BB128" s="2">
        <f t="shared" si="32"/>
        <v>4</v>
      </c>
      <c r="BC128" s="2">
        <f t="shared" si="32"/>
        <v>5</v>
      </c>
    </row>
    <row r="129" spans="3:55" x14ac:dyDescent="0.3">
      <c r="C129" t="s">
        <v>6</v>
      </c>
      <c r="E129" s="2">
        <v>60</v>
      </c>
      <c r="F129" s="1" cm="1">
        <f t="array" ref="F129">Vega($E129,100,F$128,0.01,0.2,0)</f>
        <v>7.5719207361531463E-16</v>
      </c>
      <c r="G129" s="1" cm="1">
        <f t="array" ref="G129">Vega($E129,100,G$128,0.01,0.2,0)</f>
        <v>1.29452098386633E-8</v>
      </c>
      <c r="H129" s="1" cm="1">
        <f t="array" ref="H129">Vega($E129,100,H$128,0.01,0.2,0)</f>
        <v>3.6360095554575558E-6</v>
      </c>
      <c r="I129" s="1" cm="1">
        <f t="array" ref="I129">Vega($E129,100,I$128,0.01,0.2,0)</f>
        <v>6.3545564110513241E-5</v>
      </c>
      <c r="J129" s="1" cm="1">
        <f t="array" ref="J129">Vega($E129,100,J$128,0.01,0.2,0)</f>
        <v>3.625261396739315E-4</v>
      </c>
      <c r="K129" s="1" cm="1">
        <f t="array" ref="K129">Vega($E129,100,K$128,0.01,0.2,0)</f>
        <v>1.1766116464443557E-3</v>
      </c>
      <c r="L129" s="1" cm="1">
        <f t="array" ref="L129">Vega($E129,100,L$128,0.01,0.2,0)</f>
        <v>2.7599282724645072E-3</v>
      </c>
      <c r="M129" s="1" cm="1">
        <f t="array" ref="M129">Vega($E129,100,M$128,0.01,0.2,0)</f>
        <v>5.2767323580423285E-3</v>
      </c>
      <c r="N129" s="1" cm="1">
        <f t="array" ref="N129">Vega($E129,100,N$128,0.01,0.2,0)</f>
        <v>8.7942603690305717E-3</v>
      </c>
      <c r="O129" s="1" cm="1">
        <f t="array" ref="O129">Vega($E129,100,O$128,0.01,0.2,0)</f>
        <v>1.3304138019690317E-2</v>
      </c>
      <c r="P129" s="1" cm="1">
        <f t="array" ref="P129">Vega($E129,100,P$128,0.01,0.2,0)</f>
        <v>9.5039378692490781E-2</v>
      </c>
      <c r="Q129" s="1" cm="1">
        <f t="array" ref="Q129">Vega($E129,100,Q$128,0.01,0.2,0)</f>
        <v>0.19822539521715424</v>
      </c>
      <c r="R129" s="1" cm="1">
        <f t="array" ref="R129">Vega($E129,100,R$128,0.01,0.2,0)</f>
        <v>0.29702348640212861</v>
      </c>
      <c r="S129" s="1" cm="1">
        <f t="array" ref="S129">Vega($E129,100,S$128,0.01,0.2,0)</f>
        <v>0.3865349347186785</v>
      </c>
      <c r="U129" t="s">
        <v>8</v>
      </c>
      <c r="W129" s="2">
        <v>60</v>
      </c>
      <c r="X129" s="1" cm="1">
        <f t="array" ref="X129">Vega($E129,100,X$128,0.01,0.1,0)</f>
        <v>3.5345400505311531E-58</v>
      </c>
      <c r="Y129" s="1" cm="1">
        <f t="array" ref="Y129">Vega($E129,100,Y$128,0.01,0.1,0)</f>
        <v>1.0711882489098268E-29</v>
      </c>
      <c r="Z129" s="1" cm="1">
        <f t="array" ref="Z129">Vega($E129,100,Z$128,0.01,0.1,0)</f>
        <v>3.6413157535063639E-20</v>
      </c>
      <c r="AA129" s="1" cm="1">
        <f t="array" ref="AA129">Vega($E129,100,AA$128,0.01,0.1,0)</f>
        <v>2.2138942538625791E-15</v>
      </c>
      <c r="AB129" s="1" cm="1">
        <f t="array" ref="AB129">Vega($E129,100,AB$128,0.01,0.1,0)</f>
        <v>1.6837357993007909E-12</v>
      </c>
      <c r="AC129" s="1" cm="1">
        <f t="array" ref="AC129">Vega($E129,100,AC$128,0.01,0.1,0)</f>
        <v>1.4260773627185629E-10</v>
      </c>
      <c r="AD129" s="1" cm="1">
        <f t="array" ref="AD129">Vega($E129,100,AD$128,0.01,0.1,0)</f>
        <v>3.4375360039163326E-9</v>
      </c>
      <c r="AE129" s="1" cm="1">
        <f t="array" ref="AE129">Vega($E129,100,AE$128,0.01,0.1,0)</f>
        <v>3.7721952577593385E-8</v>
      </c>
      <c r="AF129" s="1" cm="1">
        <f t="array" ref="AF129">Vega($E129,100,AF$128,0.01,0.1,0)</f>
        <v>2.4471925152833756E-7</v>
      </c>
      <c r="AG129" s="1" cm="1">
        <f t="array" ref="AG129">Vega($E129,100,AG$128,0.01,0.1,0)</f>
        <v>1.0981137573304777E-6</v>
      </c>
      <c r="AH129" s="1" cm="1">
        <f t="array" ref="AH129">Vega($E129,100,AH$128,0.01,0.1,0)</f>
        <v>1.0457482945948283E-3</v>
      </c>
      <c r="AI129" s="1" cm="1">
        <f t="array" ref="AI129">Vega($E129,100,AI$128,0.01,0.1,0)</f>
        <v>1.1142189253647152E-2</v>
      </c>
      <c r="AJ129" s="1" cm="1">
        <f t="array" ref="AJ129">Vega($E129,100,AJ$128,0.01,0.1,0)</f>
        <v>3.7735130894815956E-2</v>
      </c>
      <c r="AK129" s="1" cm="1">
        <f t="array" ref="AK129">Vega($E129,100,AK$128,0.01,0.1,0)</f>
        <v>8.0099557916829336E-2</v>
      </c>
      <c r="AM129" t="s">
        <v>7</v>
      </c>
      <c r="AO129" s="2">
        <v>60</v>
      </c>
      <c r="AP129" s="1" cm="1">
        <f t="array" ref="AP129">Vega($E129,100,AP$128,0.01,0.3,0)</f>
        <v>5.2241467496489445E-8</v>
      </c>
      <c r="AQ129" s="1" cm="1">
        <f t="array" ref="AQ129">Vega($E129,100,AQ$128,0.01,0.3,0)</f>
        <v>1.0369210092575669E-4</v>
      </c>
      <c r="AR129" s="1" cm="1">
        <f t="array" ref="AR129">Vega($E129,100,AR$128,0.01,0.3,0)</f>
        <v>1.4202882759273437E-3</v>
      </c>
      <c r="AS129" s="1" cm="1">
        <f t="array" ref="AS129">Vega($E129,100,AS$128,0.01,0.3,0)</f>
        <v>5.4799114620321266E-3</v>
      </c>
      <c r="AT129" s="1" cm="1">
        <f t="array" ref="AT129">Vega($E129,100,AT$128,0.01,0.3,0)</f>
        <v>1.2626797297023531E-2</v>
      </c>
      <c r="AU129" s="1" cm="1">
        <f t="array" ref="AU129">Vega($E129,100,AU$128,0.01,0.3,0)</f>
        <v>2.2388087034633054E-2</v>
      </c>
      <c r="AV129" s="1" cm="1">
        <f t="array" ref="AV129">Vega($E129,100,AV$128,0.01,0.3,0)</f>
        <v>3.4092800414934198E-2</v>
      </c>
      <c r="AW129" s="1" cm="1">
        <f t="array" ref="AW129">Vega($E129,100,AW$128,0.01,0.3,0)</f>
        <v>4.7136291023201063E-2</v>
      </c>
      <c r="AX129" s="1" cm="1">
        <f t="array" ref="AX129">Vega($E129,100,AX$128,0.01,0.3,0)</f>
        <v>6.1044245880699184E-2</v>
      </c>
      <c r="AY129" s="1" cm="1">
        <f t="array" ref="AY129">Vega($E129,100,AY$128,0.01,0.3,0)</f>
        <v>7.5465414056779381E-2</v>
      </c>
      <c r="AZ129" s="1" cm="1">
        <f t="array" ref="AZ129">Vega($E129,100,AZ$128,0.01,0.3,0)</f>
        <v>0.21665010977573695</v>
      </c>
      <c r="BA129" s="1" cm="1">
        <f t="array" ref="BA129">Vega($E129,100,BA$128,0.01,0.3,0)</f>
        <v>0.33222896128746121</v>
      </c>
      <c r="BB129" s="1" cm="1">
        <f t="array" ref="BB129">Vega($E129,100,BB$128,0.01,0.3,0)</f>
        <v>0.42567098596972325</v>
      </c>
      <c r="BC129" s="1" cm="1">
        <f t="array" ref="BC129">Vega($E129,100,BC$128,0.01,0.3,0)</f>
        <v>0.50316444779050262</v>
      </c>
    </row>
    <row r="130" spans="3:55" x14ac:dyDescent="0.3">
      <c r="E130" s="2">
        <f>E129+5</f>
        <v>65</v>
      </c>
      <c r="F130" s="1" cm="1">
        <f t="array" ref="F130">Vega($E130,100,F$128,0.01,0.2,0)</f>
        <v>9.5374791219906036E-12</v>
      </c>
      <c r="G130" s="1" cm="1">
        <f t="array" ref="G130">Vega($E130,100,G$128,0.01,0.2,0)</f>
        <v>1.4674662728048759E-6</v>
      </c>
      <c r="H130" s="1" cm="1">
        <f t="array" ref="H130">Vega($E130,100,H$128,0.01,0.2,0)</f>
        <v>8.5735604439262468E-5</v>
      </c>
      <c r="I130" s="1" cm="1">
        <f t="array" ref="I130">Vega($E130,100,I$128,0.01,0.2,0)</f>
        <v>6.8337646766849906E-4</v>
      </c>
      <c r="J130" s="1" cm="1">
        <f t="array" ref="J130">Vega($E130,100,J$128,0.01,0.2,0)</f>
        <v>2.4340934965576379E-3</v>
      </c>
      <c r="K130" s="1" cm="1">
        <f t="array" ref="K130">Vega($E130,100,K$128,0.01,0.2,0)</f>
        <v>5.7709392847973585E-3</v>
      </c>
      <c r="L130" s="1" cm="1">
        <f t="array" ref="L130">Vega($E130,100,L$128,0.01,0.2,0)</f>
        <v>1.0816670734477618E-2</v>
      </c>
      <c r="M130" s="1" cm="1">
        <f t="array" ref="M130">Vega($E130,100,M$128,0.01,0.2,0)</f>
        <v>1.7478240873614232E-2</v>
      </c>
      <c r="N130" s="1" cm="1">
        <f t="array" ref="N130">Vega($E130,100,N$128,0.01,0.2,0)</f>
        <v>2.5556717355709923E-2</v>
      </c>
      <c r="O130" s="1" cm="1">
        <f t="array" ref="O130">Vega($E130,100,O$128,0.01,0.2,0)</f>
        <v>3.4820176623168345E-2</v>
      </c>
      <c r="P130" s="1" cm="1">
        <f t="array" ref="P130">Vega($E130,100,P$128,0.01,0.2,0)</f>
        <v>0.15529982480581039</v>
      </c>
      <c r="Q130" s="1" cm="1">
        <f t="array" ref="Q130">Vega($E130,100,Q$128,0.01,0.2,0)</f>
        <v>0.27684353502761883</v>
      </c>
      <c r="R130" s="1" cm="1">
        <f t="array" ref="R130">Vega($E130,100,R$128,0.01,0.2,0)</f>
        <v>0.38350386340459214</v>
      </c>
      <c r="S130" s="1" cm="1">
        <f t="array" ref="S130">Vega($E130,100,S$128,0.01,0.2,0)</f>
        <v>0.47611297617669923</v>
      </c>
      <c r="W130" s="2">
        <f>W129+5</f>
        <v>65</v>
      </c>
      <c r="X130" s="1" cm="1">
        <f t="array" ref="X130">Vega($E130,100,X$128,0.01,0.1,0)</f>
        <v>7.8904162138229814E-42</v>
      </c>
      <c r="Y130" s="1" cm="1">
        <f t="array" ref="Y130">Vega($E130,100,Y$128,0.01,0.1,0)</f>
        <v>1.5687681949729765E-21</v>
      </c>
      <c r="Z130" s="1" cm="1">
        <f t="array" ref="Z130">Vega($E130,100,Z$128,0.01,0.1,0)</f>
        <v>9.9829747601652235E-15</v>
      </c>
      <c r="AA130" s="1" cm="1">
        <f t="array" ref="AA130">Vega($E130,100,AA$128,0.01,0.1,0)</f>
        <v>2.6261095230764715E-11</v>
      </c>
      <c r="AB130" s="1" cm="1">
        <f t="array" ref="AB130">Vega($E130,100,AB$128,0.01,0.1,0)</f>
        <v>3.0347470957467911E-9</v>
      </c>
      <c r="AC130" s="1" cm="1">
        <f t="array" ref="AC130">Vega($E130,100,AC$128,0.01,0.1,0)</f>
        <v>7.3190274501949445E-8</v>
      </c>
      <c r="AD130" s="1" cm="1">
        <f t="array" ref="AD130">Vega($E130,100,AD$128,0.01,0.1,0)</f>
        <v>7.1926239310787059E-7</v>
      </c>
      <c r="AE130" s="1" cm="1">
        <f t="array" ref="AE130">Vega($E130,100,AE$128,0.01,0.1,0)</f>
        <v>4.026999901175424E-6</v>
      </c>
      <c r="AF130" s="1" cm="1">
        <f t="array" ref="AF130">Vega($E130,100,AF$128,0.01,0.1,0)</f>
        <v>1.5479180979646812E-5</v>
      </c>
      <c r="AG130" s="1" cm="1">
        <f t="array" ref="AG130">Vega($E130,100,AG$128,0.01,0.1,0)</f>
        <v>4.5696305078151758E-5</v>
      </c>
      <c r="AH130" s="1" cm="1">
        <f t="array" ref="AH130">Vega($E130,100,AH$128,0.01,0.1,0)</f>
        <v>6.612314700451225E-3</v>
      </c>
      <c r="AI130" s="1" cm="1">
        <f t="array" ref="AI130">Vega($E130,100,AI$128,0.01,0.1,0)</f>
        <v>3.7594797189649538E-2</v>
      </c>
      <c r="AJ130" s="1" cm="1">
        <f t="array" ref="AJ130">Vega($E130,100,AJ$128,0.01,0.1,0)</f>
        <v>9.3007615269544958E-2</v>
      </c>
      <c r="AK130" s="1" cm="1">
        <f t="array" ref="AK130">Vega($E130,100,AK$128,0.01,0.1,0)</f>
        <v>0.16352043251983775</v>
      </c>
      <c r="AO130" s="2">
        <f>AO129+5</f>
        <v>65</v>
      </c>
      <c r="AP130" s="1" cm="1">
        <f t="array" ref="AP130">Vega($E130,100,AP$128,0.01,0.3,0)</f>
        <v>3.5480919020595774E-6</v>
      </c>
      <c r="AQ130" s="1" cm="1">
        <f t="array" ref="AQ130">Vega($E130,100,AQ$128,0.01,0.3,0)</f>
        <v>8.6795002193490315E-4</v>
      </c>
      <c r="AR130" s="1" cm="1">
        <f t="array" ref="AR130">Vega($E130,100,AR$128,0.01,0.3,0)</f>
        <v>5.9162801509580086E-3</v>
      </c>
      <c r="AS130" s="1" cm="1">
        <f t="array" ref="AS130">Vega($E130,100,AS$128,0.01,0.3,0)</f>
        <v>1.6103021116910757E-2</v>
      </c>
      <c r="AT130" s="1" cm="1">
        <f t="array" ref="AT130">Vega($E130,100,AT$128,0.01,0.3,0)</f>
        <v>3.0095667810257465E-2</v>
      </c>
      <c r="AU130" s="1" cm="1">
        <f t="array" ref="AU130">Vega($E130,100,AU$128,0.01,0.3,0)</f>
        <v>4.6410088796281238E-2</v>
      </c>
      <c r="AV130" s="1" cm="1">
        <f t="array" ref="AV130">Vega($E130,100,AV$128,0.01,0.3,0)</f>
        <v>6.3967797976228563E-2</v>
      </c>
      <c r="AW130" s="1" cm="1">
        <f t="array" ref="AW130">Vega($E130,100,AW$128,0.01,0.3,0)</f>
        <v>8.2069467460122739E-2</v>
      </c>
      <c r="AX130" s="1" cm="1">
        <f t="array" ref="AX130">Vega($E130,100,AX$128,0.01,0.3,0)</f>
        <v>0.10028004968425032</v>
      </c>
      <c r="AY130" s="1" cm="1">
        <f t="array" ref="AY130">Vega($E130,100,AY$128,0.01,0.3,0)</f>
        <v>0.11833484483505803</v>
      </c>
      <c r="AZ130" s="1" cm="1">
        <f t="array" ref="AZ130">Vega($E130,100,AZ$128,0.01,0.3,0)</f>
        <v>0.27555008864451608</v>
      </c>
      <c r="BA130" s="1" cm="1">
        <f t="array" ref="BA130">Vega($E130,100,BA$128,0.01,0.3,0)</f>
        <v>0.39406825288577535</v>
      </c>
      <c r="BB130" s="1" cm="1">
        <f t="array" ref="BB130">Vega($E130,100,BB$128,0.01,0.3,0)</f>
        <v>0.4875893022971528</v>
      </c>
      <c r="BC130" s="1" cm="1">
        <f t="array" ref="BC130">Vega($E130,100,BC$128,0.01,0.3,0)</f>
        <v>0.56441397997533316</v>
      </c>
    </row>
    <row r="131" spans="3:55" x14ac:dyDescent="0.3">
      <c r="E131" s="2">
        <f t="shared" ref="E131:E145" si="33">E130+5</f>
        <v>70</v>
      </c>
      <c r="F131" s="1" cm="1">
        <f t="array" ref="F131">Vega($E131,100,F$128,0.01,0.2,0)</f>
        <v>1.4305070674681116E-8</v>
      </c>
      <c r="G131" s="1" cm="1">
        <f t="array" ref="G131">Vega($E131,100,G$128,0.01,0.2,0)</f>
        <v>5.73613571054935E-5</v>
      </c>
      <c r="H131" s="1" cm="1">
        <f t="array" ref="H131">Vega($E131,100,H$128,0.01,0.2,0)</f>
        <v>9.9359820227649985E-4</v>
      </c>
      <c r="I131" s="1" cm="1">
        <f t="array" ref="I131">Vega($E131,100,I$128,0.01,0.2,0)</f>
        <v>4.3122978474392244E-3</v>
      </c>
      <c r="J131" s="1" cm="1">
        <f t="array" ref="J131">Vega($E131,100,J$128,0.01,0.2,0)</f>
        <v>1.066560447463694E-2</v>
      </c>
      <c r="K131" s="1" cm="1">
        <f t="array" ref="K131">Vega($E131,100,K$128,0.01,0.2,0)</f>
        <v>1.9828706392671893E-2</v>
      </c>
      <c r="L131" s="1" cm="1">
        <f t="array" ref="L131">Vega($E131,100,L$128,0.01,0.2,0)</f>
        <v>3.1240118425491601E-2</v>
      </c>
      <c r="M131" s="1" cm="1">
        <f t="array" ref="M131">Vega($E131,100,M$128,0.01,0.2,0)</f>
        <v>4.431443031965894E-2</v>
      </c>
      <c r="N131" s="1" cm="1">
        <f t="array" ref="N131">Vega($E131,100,N$128,0.01,0.2,0)</f>
        <v>5.8553435054060327E-2</v>
      </c>
      <c r="O131" s="1" cm="1">
        <f t="array" ref="O131">Vega($E131,100,O$128,0.01,0.2,0)</f>
        <v>7.3566173019582431E-2</v>
      </c>
      <c r="P131" s="1" cm="1">
        <f t="array" ref="P131">Vega($E131,100,P$128,0.01,0.2,0)</f>
        <v>0.22783353493544931</v>
      </c>
      <c r="Q131" s="1" cm="1">
        <f t="array" ref="Q131">Vega($E131,100,Q$128,0.01,0.2,0)</f>
        <v>0.35965069029119617</v>
      </c>
      <c r="R131" s="1" cm="1">
        <f t="array" ref="R131">Vega($E131,100,R$128,0.01,0.2,0)</f>
        <v>0.46883083785060742</v>
      </c>
      <c r="S131" s="1" cm="1">
        <f t="array" ref="S131">Vega($E131,100,S$128,0.01,0.2,0)</f>
        <v>0.56119836056730876</v>
      </c>
      <c r="W131" s="2">
        <f t="shared" ref="W131:W145" si="34">W130+5</f>
        <v>70</v>
      </c>
      <c r="X131" s="1" cm="1">
        <f t="array" ref="X131">Vega($E131,100,X$128,0.01,0.1,0)</f>
        <v>3.5731275340967404E-29</v>
      </c>
      <c r="Y131" s="1" cm="1">
        <f t="array" ref="Y131">Vega($E131,100,Y$128,0.01,0.1,0)</f>
        <v>3.2770789744139775E-15</v>
      </c>
      <c r="Z131" s="1" cm="1">
        <f t="array" ref="Z131">Vega($E131,100,Z$128,0.01,0.1,0)</f>
        <v>1.6113180804909278E-10</v>
      </c>
      <c r="AA131" s="1" cm="1">
        <f t="array" ref="AA131">Vega($E131,100,AA$128,0.01,0.1,0)</f>
        <v>3.7258960102381551E-8</v>
      </c>
      <c r="AB131" s="1" cm="1">
        <f t="array" ref="AB131">Vega($E131,100,AB$128,0.01,0.1,0)</f>
        <v>1.0010098526373569E-6</v>
      </c>
      <c r="AC131" s="1" cm="1">
        <f t="array" ref="AC131">Vega($E131,100,AC$128,0.01,0.1,0)</f>
        <v>9.1278366359240927E-6</v>
      </c>
      <c r="AD131" s="1" cm="1">
        <f t="array" ref="AD131">Vega($E131,100,AD$128,0.01,0.1,0)</f>
        <v>4.478025638717822E-5</v>
      </c>
      <c r="AE131" s="1" cm="1">
        <f t="array" ref="AE131">Vega($E131,100,AE$128,0.01,0.1,0)</f>
        <v>1.4889989640669957E-4</v>
      </c>
      <c r="AF131" s="1" cm="1">
        <f t="array" ref="AF131">Vega($E131,100,AF$128,0.01,0.1,0)</f>
        <v>3.8164553510493981E-4</v>
      </c>
      <c r="AG131" s="1" cm="1">
        <f t="array" ref="AG131">Vega($E131,100,AG$128,0.01,0.1,0)</f>
        <v>8.1469084911896597E-4</v>
      </c>
      <c r="AH131" s="1" cm="1">
        <f t="array" ref="AH131">Vega($E131,100,AH$128,0.01,0.1,0)</f>
        <v>2.740710858581228E-2</v>
      </c>
      <c r="AI131" s="1" cm="1">
        <f t="array" ref="AI131">Vega($E131,100,AI$128,0.01,0.1,0)</f>
        <v>9.581572046112885E-2</v>
      </c>
      <c r="AJ131" s="1" cm="1">
        <f t="array" ref="AJ131">Vega($E131,100,AJ$128,0.01,0.1,0)</f>
        <v>0.18587765767931</v>
      </c>
      <c r="AK131" s="1" cm="1">
        <f t="array" ref="AK131">Vega($E131,100,AK$128,0.01,0.1,0)</f>
        <v>0.28243629412307231</v>
      </c>
      <c r="AO131" s="2">
        <f t="shared" ref="AO131:AO145" si="35">AO130+5</f>
        <v>70</v>
      </c>
      <c r="AP131" s="1" cm="1">
        <f t="array" ref="AP131">Vega($E131,100,AP$128,0.01,0.3,0)</f>
        <v>9.343630931757354E-5</v>
      </c>
      <c r="AQ131" s="1" cm="1">
        <f t="array" ref="AQ131">Vega($E131,100,AQ$128,0.01,0.3,0)</f>
        <v>4.5186973977930974E-3</v>
      </c>
      <c r="AR131" s="1" cm="1">
        <f t="array" ref="AR131">Vega($E131,100,AR$128,0.01,0.3,0)</f>
        <v>1.7943197870953602E-2</v>
      </c>
      <c r="AS131" s="1" cm="1">
        <f t="array" ref="AS131">Vega($E131,100,AS$128,0.01,0.3,0)</f>
        <v>3.7275610547584395E-2</v>
      </c>
      <c r="AT131" s="1" cm="1">
        <f t="array" ref="AT131">Vega($E131,100,AT$128,0.01,0.3,0)</f>
        <v>5.9240833497693518E-2</v>
      </c>
      <c r="AU131" s="1" cm="1">
        <f t="array" ref="AU131">Vega($E131,100,AU$128,0.01,0.3,0)</f>
        <v>8.1996646326998268E-2</v>
      </c>
      <c r="AV131" s="1" cm="1">
        <f t="array" ref="AV131">Vega($E131,100,AV$128,0.01,0.3,0)</f>
        <v>0.10462155572124114</v>
      </c>
      <c r="AW131" s="1" cm="1">
        <f t="array" ref="AW131">Vega($E131,100,AW$128,0.01,0.3,0)</f>
        <v>0.12667719836424346</v>
      </c>
      <c r="AX131" s="1" cm="1">
        <f t="array" ref="AX131">Vega($E131,100,AX$128,0.01,0.3,0)</f>
        <v>0.14797070949272112</v>
      </c>
      <c r="AY131" s="1" cm="1">
        <f t="array" ref="AY131">Vega($E131,100,AY$128,0.01,0.3,0)</f>
        <v>0.16843384637940809</v>
      </c>
      <c r="AZ131" s="1" cm="1">
        <f t="array" ref="AZ131">Vega($E131,100,AZ$128,0.01,0.3,0)</f>
        <v>0.33351628785916165</v>
      </c>
      <c r="BA131" s="1" cm="1">
        <f t="array" ref="BA131">Vega($E131,100,BA$128,0.01,0.3,0)</f>
        <v>0.45187800131882511</v>
      </c>
      <c r="BB131" s="1" cm="1">
        <f t="array" ref="BB131">Vega($E131,100,BB$128,0.01,0.3,0)</f>
        <v>0.54421505040302276</v>
      </c>
      <c r="BC131" s="1" cm="1">
        <f t="array" ref="BC131">Vega($E131,100,BC$128,0.01,0.3,0)</f>
        <v>0.61983217876086938</v>
      </c>
    </row>
    <row r="132" spans="3:55" x14ac:dyDescent="0.3">
      <c r="E132" s="2">
        <f t="shared" si="33"/>
        <v>75</v>
      </c>
      <c r="F132" s="1" cm="1">
        <f t="array" ref="F132">Vega($E132,100,F$128,0.01,0.2,0)</f>
        <v>3.7701398975718424E-6</v>
      </c>
      <c r="G132" s="1" cm="1">
        <f t="array" ref="G132">Vega($E132,100,G$128,0.01,0.2,0)</f>
        <v>9.3928751471449782E-4</v>
      </c>
      <c r="H132" s="1" cm="1">
        <f t="array" ref="H132">Vega($E132,100,H$128,0.01,0.2,0)</f>
        <v>6.4440735249376114E-3</v>
      </c>
      <c r="I132" s="1" cm="1">
        <f t="array" ref="I132">Vega($E132,100,I$128,0.01,0.2,0)</f>
        <v>1.7601258389828199E-2</v>
      </c>
      <c r="J132" s="1" cm="1">
        <f t="array" ref="J132">Vega($E132,100,J$128,0.01,0.2,0)</f>
        <v>3.2972479768503968E-2</v>
      </c>
      <c r="K132" s="1" cm="1">
        <f t="array" ref="K132">Vega($E132,100,K$128,0.01,0.2,0)</f>
        <v>5.0934802908825044E-2</v>
      </c>
      <c r="L132" s="1" cm="1">
        <f t="array" ref="L132">Vega($E132,100,L$128,0.01,0.2,0)</f>
        <v>7.0302629740001565E-2</v>
      </c>
      <c r="M132" s="1" cm="1">
        <f t="array" ref="M132">Vega($E132,100,M$128,0.01,0.2,0)</f>
        <v>9.0304222542602286E-2</v>
      </c>
      <c r="N132" s="1" cm="1">
        <f t="array" ref="N132">Vega($E132,100,N$128,0.01,0.2,0)</f>
        <v>0.11045773801093518</v>
      </c>
      <c r="O132" s="1" cm="1">
        <f t="array" ref="O132">Vega($E132,100,O$128,0.01,0.2,0)</f>
        <v>0.13046879019121688</v>
      </c>
      <c r="P132" s="1" cm="1">
        <f t="array" ref="P132">Vega($E132,100,P$128,0.01,0.2,0)</f>
        <v>0.30603936130050935</v>
      </c>
      <c r="Q132" s="1" cm="1">
        <f t="array" ref="Q132">Vega($E132,100,Q$128,0.01,0.2,0)</f>
        <v>0.44036986538728901</v>
      </c>
      <c r="R132" s="1" cm="1">
        <f t="array" ref="R132">Vega($E132,100,R$128,0.01,0.2,0)</f>
        <v>0.54807676647351533</v>
      </c>
      <c r="S132" s="1" cm="1">
        <f t="array" ref="S132">Vega($E132,100,S$128,0.01,0.2,0)</f>
        <v>0.63807941266216028</v>
      </c>
      <c r="W132" s="2">
        <f t="shared" si="34"/>
        <v>75</v>
      </c>
      <c r="X132" s="1" cm="1">
        <f t="array" ref="X132">Vega($E132,100,X$128,0.01,0.1,0)</f>
        <v>1.5544383929947457E-19</v>
      </c>
      <c r="Y132" s="1" cm="1">
        <f t="array" ref="Y132">Vega($E132,100,Y$128,0.01,0.1,0)</f>
        <v>2.1245091218449448E-10</v>
      </c>
      <c r="Z132" s="1" cm="1">
        <f t="array" ref="Z132">Vega($E132,100,Z$128,0.01,0.1,0)</f>
        <v>2.5706041526295764E-7</v>
      </c>
      <c r="AA132" s="1" cm="1">
        <f t="array" ref="AA132">Vega($E132,100,AA$128,0.01,0.1,0)</f>
        <v>9.3245046528342434E-6</v>
      </c>
      <c r="AB132" s="1" cm="1">
        <f t="array" ref="AB132">Vega($E132,100,AB$128,0.01,0.1,0)</f>
        <v>8.2443811591708765E-5</v>
      </c>
      <c r="AC132" s="1" cm="1">
        <f t="array" ref="AC132">Vega($E132,100,AC$128,0.01,0.1,0)</f>
        <v>3.5834719979831788E-4</v>
      </c>
      <c r="AD132" s="1" cm="1">
        <f t="array" ref="AD132">Vega($E132,100,AD$128,0.01,0.1,0)</f>
        <v>1.0355649356059843E-3</v>
      </c>
      <c r="AE132" s="1" cm="1">
        <f t="array" ref="AE132">Vega($E132,100,AE$128,0.01,0.1,0)</f>
        <v>2.3152671506101981E-3</v>
      </c>
      <c r="AF132" s="1" cm="1">
        <f t="array" ref="AF132">Vega($E132,100,AF$128,0.01,0.1,0)</f>
        <v>4.3580320477808058E-3</v>
      </c>
      <c r="AG132" s="1" cm="1">
        <f t="array" ref="AG132">Vega($E132,100,AG$128,0.01,0.1,0)</f>
        <v>7.2671125656936552E-3</v>
      </c>
      <c r="AH132" s="1" cm="1">
        <f t="array" ref="AH132">Vega($E132,100,AH$128,0.01,0.1,0)</f>
        <v>8.0455722498671708E-2</v>
      </c>
      <c r="AI132" s="1" cm="1">
        <f t="array" ref="AI132">Vega($E132,100,AI$128,0.01,0.1,0)</f>
        <v>0.19419529853530501</v>
      </c>
      <c r="AJ132" s="1" cm="1">
        <f t="array" ref="AJ132">Vega($E132,100,AJ$128,0.01,0.1,0)</f>
        <v>0.31302804195460354</v>
      </c>
      <c r="AK132" s="1" cm="1">
        <f t="array" ref="AK132">Vega($E132,100,AK$128,0.01,0.1,0)</f>
        <v>0.42560725743199956</v>
      </c>
      <c r="AO132" s="2">
        <f t="shared" si="35"/>
        <v>75</v>
      </c>
      <c r="AP132" s="1" cm="1">
        <f t="array" ref="AP132">Vega($E132,100,AP$128,0.01,0.3,0)</f>
        <v>1.1344357018572753E-3</v>
      </c>
      <c r="AQ132" s="1" cm="1">
        <f t="array" ref="AQ132">Vega($E132,100,AQ$128,0.01,0.3,0)</f>
        <v>1.5957745936388483E-2</v>
      </c>
      <c r="AR132" s="1" cm="1">
        <f t="array" ref="AR132">Vega($E132,100,AR$128,0.01,0.3,0)</f>
        <v>4.1984549048709442E-2</v>
      </c>
      <c r="AS132" s="1" cm="1">
        <f t="array" ref="AS132">Vega($E132,100,AS$128,0.01,0.3,0)</f>
        <v>7.0995380577419692E-2</v>
      </c>
      <c r="AT132" s="1" cm="1">
        <f t="array" ref="AT132">Vega($E132,100,AT$128,0.01,0.3,0)</f>
        <v>9.9723128342838543E-2</v>
      </c>
      <c r="AU132" s="1" cm="1">
        <f t="array" ref="AU132">Vega($E132,100,AU$128,0.01,0.3,0)</f>
        <v>0.12712093999325988</v>
      </c>
      <c r="AV132" s="1" cm="1">
        <f t="array" ref="AV132">Vega($E132,100,AV$128,0.01,0.3,0)</f>
        <v>0.1529339134731435</v>
      </c>
      <c r="AW132" s="1" cm="1">
        <f t="array" ref="AW132">Vega($E132,100,AW$128,0.01,0.3,0)</f>
        <v>0.17718513961379675</v>
      </c>
      <c r="AX132" s="1" cm="1">
        <f t="array" ref="AX132">Vega($E132,100,AX$128,0.01,0.3,0)</f>
        <v>0.19998950927794951</v>
      </c>
      <c r="AY132" s="1" cm="1">
        <f t="array" ref="AY132">Vega($E132,100,AY$128,0.01,0.3,0)</f>
        <v>0.22148428421066518</v>
      </c>
      <c r="AZ132" s="1" cm="1">
        <f t="array" ref="AZ132">Vega($E132,100,AZ$128,0.01,0.3,0)</f>
        <v>0.38761449136581971</v>
      </c>
      <c r="BA132" s="1" cm="1">
        <f t="array" ref="BA132">Vega($E132,100,BA$128,0.01,0.3,0)</f>
        <v>0.50399623483227596</v>
      </c>
      <c r="BB132" s="1" cm="1">
        <f t="array" ref="BB132">Vega($E132,100,BB$128,0.01,0.3,0)</f>
        <v>0.59461821507388335</v>
      </c>
      <c r="BC132" s="1" cm="1">
        <f t="array" ref="BC132">Vega($E132,100,BC$128,0.01,0.3,0)</f>
        <v>0.66892699193410787</v>
      </c>
    </row>
    <row r="133" spans="3:55" x14ac:dyDescent="0.3">
      <c r="E133" s="2">
        <f t="shared" si="33"/>
        <v>80</v>
      </c>
      <c r="F133" s="1" cm="1">
        <f t="array" ref="F133">Vega($E133,100,F$128,0.01,0.2,0)</f>
        <v>2.3609588828415681E-4</v>
      </c>
      <c r="G133" s="1" cm="1">
        <f t="array" ref="G133">Vega($E133,100,G$128,0.01,0.2,0)</f>
        <v>7.4932050826936906E-3</v>
      </c>
      <c r="H133" s="1" cm="1">
        <f t="array" ref="H133">Vega($E133,100,H$128,0.01,0.2,0)</f>
        <v>2.5866773497556849E-2</v>
      </c>
      <c r="I133" s="1" cm="1">
        <f t="array" ref="I133">Vega($E133,100,I$128,0.01,0.2,0)</f>
        <v>5.0116628118720127E-2</v>
      </c>
      <c r="J133" s="1" cm="1">
        <f t="array" ref="J133">Vega($E133,100,J$128,0.01,0.2,0)</f>
        <v>7.6401792301498697E-2</v>
      </c>
      <c r="K133" s="1" cm="1">
        <f t="array" ref="K133">Vega($E133,100,K$128,0.01,0.2,0)</f>
        <v>0.10287482444006046</v>
      </c>
      <c r="L133" s="1" cm="1">
        <f t="array" ref="L133">Vega($E133,100,L$128,0.01,0.2,0)</f>
        <v>0.12872223646374945</v>
      </c>
      <c r="M133" s="1" cm="1">
        <f t="array" ref="M133">Vega($E133,100,M$128,0.01,0.2,0)</f>
        <v>0.15361396923011617</v>
      </c>
      <c r="N133" s="1" cm="1">
        <f t="array" ref="N133">Vega($E133,100,N$128,0.01,0.2,0)</f>
        <v>0.17744408367129644</v>
      </c>
      <c r="O133" s="1" cm="1">
        <f t="array" ref="O133">Vega($E133,100,O$128,0.01,0.2,0)</f>
        <v>0.20021019742744603</v>
      </c>
      <c r="P133" s="1" cm="1">
        <f t="array" ref="P133">Vega($E133,100,P$128,0.01,0.2,0)</f>
        <v>0.38218237653015336</v>
      </c>
      <c r="Q133" s="1" cm="1">
        <f t="array" ref="Q133">Vega($E133,100,Q$128,0.01,0.2,0)</f>
        <v>0.51343117209127109</v>
      </c>
      <c r="R133" s="1" cm="1">
        <f t="array" ref="R133">Vega($E133,100,R$128,0.01,0.2,0)</f>
        <v>0.61743560179207324</v>
      </c>
      <c r="S133" s="1" cm="1">
        <f t="array" ref="S133">Vega($E133,100,S$128,0.01,0.2,0)</f>
        <v>0.70416816821210715</v>
      </c>
      <c r="W133" s="2">
        <f t="shared" si="34"/>
        <v>80</v>
      </c>
      <c r="X133" s="1" cm="1">
        <f t="array" ref="X133">Vega($E133,100,X$128,0.01,0.1,0)</f>
        <v>2.1699726533395634E-12</v>
      </c>
      <c r="Y133" s="1" cm="1">
        <f t="array" ref="Y133">Vega($E133,100,Y$128,0.01,0.1,0)</f>
        <v>7.8107330033859321E-7</v>
      </c>
      <c r="Z133" s="1" cm="1">
        <f t="array" ref="Z133">Vega($E133,100,Z$128,0.01,0.1,0)</f>
        <v>6.0578597213752283E-5</v>
      </c>
      <c r="AA133" s="1" cm="1">
        <f t="array" ref="AA133">Vega($E133,100,AA$128,0.01,0.1,0)</f>
        <v>5.5633346565513934E-4</v>
      </c>
      <c r="AB133" s="1" cm="1">
        <f t="array" ref="AB133">Vega($E133,100,AB$128,0.01,0.1,0)</f>
        <v>2.157360495959318E-3</v>
      </c>
      <c r="AC133" s="1" cm="1">
        <f t="array" ref="AC133">Vega($E133,100,AC$128,0.01,0.1,0)</f>
        <v>5.4130101077600381E-3</v>
      </c>
      <c r="AD133" s="1" cm="1">
        <f t="array" ref="AD133">Vega($E133,100,AD$128,0.01,0.1,0)</f>
        <v>1.0564824233400874E-2</v>
      </c>
      <c r="AE133" s="1" cm="1">
        <f t="array" ref="AE133">Vega($E133,100,AE$128,0.01,0.1,0)</f>
        <v>1.759740529856035E-2</v>
      </c>
      <c r="AF133" s="1" cm="1">
        <f t="array" ref="AF133">Vega($E133,100,AF$128,0.01,0.1,0)</f>
        <v>2.6345645732472476E-2</v>
      </c>
      <c r="AG133" s="1" cm="1">
        <f t="array" ref="AG133">Vega($E133,100,AG$128,0.01,0.1,0)</f>
        <v>3.6579438640896002E-2</v>
      </c>
      <c r="AH133" s="1" cm="1">
        <f t="array" ref="AH133">Vega($E133,100,AH$128,0.01,0.1,0)</f>
        <v>0.1776181461109162</v>
      </c>
      <c r="AI133" s="1" cm="1">
        <f t="array" ref="AI133">Vega($E133,100,AI$128,0.01,0.1,0)</f>
        <v>0.32572732040617636</v>
      </c>
      <c r="AJ133" s="1" cm="1">
        <f t="array" ref="AJ133">Vega($E133,100,AJ$128,0.01,0.1,0)</f>
        <v>0.45765821306048554</v>
      </c>
      <c r="AK133" s="1" cm="1">
        <f t="array" ref="AK133">Vega($E133,100,AK$128,0.01,0.1,0)</f>
        <v>0.57302367456033576</v>
      </c>
      <c r="AO133" s="2">
        <f t="shared" si="35"/>
        <v>80</v>
      </c>
      <c r="AP133" s="1" cm="1">
        <f t="array" ref="AP133">Vega($E133,100,AP$128,0.01,0.3,0)</f>
        <v>7.2629446543345496E-3</v>
      </c>
      <c r="AQ133" s="1" cm="1">
        <f t="array" ref="AQ133">Vega($E133,100,AQ$128,0.01,0.3,0)</f>
        <v>4.0887259297741153E-2</v>
      </c>
      <c r="AR133" s="1" cm="1">
        <f t="array" ref="AR133">Vega($E133,100,AR$128,0.01,0.3,0)</f>
        <v>7.9274555446936984E-2</v>
      </c>
      <c r="AS133" s="1" cm="1">
        <f t="array" ref="AS133">Vega($E133,100,AS$128,0.01,0.3,0)</f>
        <v>0.11507695143275126</v>
      </c>
      <c r="AT133" s="1" cm="1">
        <f t="array" ref="AT133">Vega($E133,100,AT$128,0.01,0.3,0)</f>
        <v>0.14749677041710108</v>
      </c>
      <c r="AU133" s="1" cm="1">
        <f t="array" ref="AU133">Vega($E133,100,AU$128,0.01,0.3,0)</f>
        <v>0.17688429965289609</v>
      </c>
      <c r="AV133" s="1" cm="1">
        <f t="array" ref="AV133">Vega($E133,100,AV$128,0.01,0.3,0)</f>
        <v>0.20372161802542726</v>
      </c>
      <c r="AW133" s="1" cm="1">
        <f t="array" ref="AW133">Vega($E133,100,AW$128,0.01,0.3,0)</f>
        <v>0.22843174271570832</v>
      </c>
      <c r="AX133" s="1" cm="1">
        <f t="array" ref="AX133">Vega($E133,100,AX$128,0.01,0.3,0)</f>
        <v>0.25135567501845724</v>
      </c>
      <c r="AY133" s="1" cm="1">
        <f t="array" ref="AY133">Vega($E133,100,AY$128,0.01,0.3,0)</f>
        <v>0.27276349949898759</v>
      </c>
      <c r="AZ133" s="1" cm="1">
        <f t="array" ref="AZ133">Vega($E133,100,AZ$128,0.01,0.3,0)</f>
        <v>0.43558378451392826</v>
      </c>
      <c r="BA133" s="1" cm="1">
        <f t="array" ref="BA133">Vega($E133,100,BA$128,0.01,0.3,0)</f>
        <v>0.54934070118221501</v>
      </c>
      <c r="BB133" s="1" cm="1">
        <f t="array" ref="BB133">Vega($E133,100,BB$128,0.01,0.3,0)</f>
        <v>0.63829888800540957</v>
      </c>
      <c r="BC133" s="1" cm="1">
        <f t="array" ref="BC133">Vega($E133,100,BC$128,0.01,0.3,0)</f>
        <v>0.71152052988955772</v>
      </c>
    </row>
    <row r="134" spans="3:55" x14ac:dyDescent="0.3">
      <c r="E134" s="2">
        <f t="shared" si="33"/>
        <v>85</v>
      </c>
      <c r="F134" s="1" cm="1">
        <f t="array" ref="F134">Vega($E134,100,F$128,0.01,0.2,0)</f>
        <v>4.4558558892443629E-3</v>
      </c>
      <c r="G134" s="1" cm="1">
        <f t="array" ref="G134">Vega($E134,100,G$128,0.01,0.2,0)</f>
        <v>3.2800471961839522E-2</v>
      </c>
      <c r="H134" s="1" cm="1">
        <f t="array" ref="H134">Vega($E134,100,H$128,0.01,0.2,0)</f>
        <v>6.9568288790958305E-2</v>
      </c>
      <c r="I134" s="1" cm="1">
        <f t="array" ref="I134">Vega($E134,100,I$128,0.01,0.2,0)</f>
        <v>0.10565235887329334</v>
      </c>
      <c r="J134" s="1" cm="1">
        <f t="array" ref="J134">Vega($E134,100,J$128,0.01,0.2,0)</f>
        <v>0.13916751647279249</v>
      </c>
      <c r="K134" s="1" cm="1">
        <f t="array" ref="K134">Vega($E134,100,K$128,0.01,0.2,0)</f>
        <v>0.16999445472389768</v>
      </c>
      <c r="L134" s="1" cm="1">
        <f t="array" ref="L134">Vega($E134,100,L$128,0.01,0.2,0)</f>
        <v>0.19840779785263229</v>
      </c>
      <c r="M134" s="1" cm="1">
        <f t="array" ref="M134">Vega($E134,100,M$128,0.01,0.2,0)</f>
        <v>0.22473489195639601</v>
      </c>
      <c r="N134" s="1" cm="1">
        <f t="array" ref="N134">Vega($E134,100,N$128,0.01,0.2,0)</f>
        <v>0.2492715420838269</v>
      </c>
      <c r="O134" s="1" cm="1">
        <f t="array" ref="O134">Vega($E134,100,O$128,0.01,0.2,0)</f>
        <v>0.27226666793458265</v>
      </c>
      <c r="P134" s="1" cm="1">
        <f t="array" ref="P134">Vega($E134,100,P$128,0.01,0.2,0)</f>
        <v>0.44907193585775435</v>
      </c>
      <c r="Q134" s="1" cm="1">
        <f t="array" ref="Q134">Vega($E134,100,Q$128,0.01,0.2,0)</f>
        <v>0.574609960396536</v>
      </c>
      <c r="R134" s="1" cm="1">
        <f t="array" ref="R134">Vega($E134,100,R$128,0.01,0.2,0)</f>
        <v>0.67438113704922509</v>
      </c>
      <c r="S134" s="1" cm="1">
        <f t="array" ref="S134">Vega($E134,100,S$128,0.01,0.2,0)</f>
        <v>0.75795571731518341</v>
      </c>
      <c r="W134" s="2">
        <f t="shared" si="34"/>
        <v>85</v>
      </c>
      <c r="X134" s="1" cm="1">
        <f t="array" ref="X134">Vega($E134,100,X$128,0.01,0.1,0)</f>
        <v>2.513805683571334E-7</v>
      </c>
      <c r="Y134" s="1" cm="1">
        <f t="array" ref="Y134">Vega($E134,100,Y$128,0.01,0.1,0)</f>
        <v>2.6184740803568228E-4</v>
      </c>
      <c r="Z134" s="1" cm="1">
        <f t="array" ref="Z134">Vega($E134,100,Z$128,0.01,0.1,0)</f>
        <v>2.8940234587731361E-3</v>
      </c>
      <c r="AA134" s="1" cm="1">
        <f t="array" ref="AA134">Vega($E134,100,AA$128,0.01,0.1,0)</f>
        <v>1.0033008819090706E-2</v>
      </c>
      <c r="AB134" s="1" cm="1">
        <f t="array" ref="AB134">Vega($E134,100,AB$128,0.01,0.1,0)</f>
        <v>2.1685359940348946E-2</v>
      </c>
      <c r="AC134" s="1" cm="1">
        <f t="array" ref="AC134">Vega($E134,100,AC$128,0.01,0.1,0)</f>
        <v>3.6850893362287709E-2</v>
      </c>
      <c r="AD134" s="1" cm="1">
        <f t="array" ref="AD134">Vega($E134,100,AD$128,0.01,0.1,0)</f>
        <v>5.4448949916165584E-2</v>
      </c>
      <c r="AE134" s="1" cm="1">
        <f t="array" ref="AE134">Vega($E134,100,AE$128,0.01,0.1,0)</f>
        <v>7.3606201526075665E-2</v>
      </c>
      <c r="AF134" s="1" cm="1">
        <f t="array" ref="AF134">Vega($E134,100,AF$128,0.01,0.1,0)</f>
        <v>9.368286121950696E-2</v>
      </c>
      <c r="AG134" s="1" cm="1">
        <f t="array" ref="AG134">Vega($E134,100,AG$128,0.01,0.1,0)</f>
        <v>0.11422910084499055</v>
      </c>
      <c r="AH134" s="1" cm="1">
        <f t="array" ref="AH134">Vega($E134,100,AH$128,0.01,0.1,0)</f>
        <v>0.30915406339357621</v>
      </c>
      <c r="AI134" s="1" cm="1">
        <f t="array" ref="AI134">Vega($E134,100,AI$128,0.01,0.1,0)</f>
        <v>0.46657820462206062</v>
      </c>
      <c r="AJ134" s="1" cm="1">
        <f t="array" ref="AJ134">Vega($E134,100,AJ$128,0.01,0.1,0)</f>
        <v>0.5947067105196463</v>
      </c>
      <c r="AK134" s="1" cm="1">
        <f t="array" ref="AK134">Vega($E134,100,AK$128,0.01,0.1,0)</f>
        <v>0.70234247577560904</v>
      </c>
      <c r="AO134" s="2">
        <f t="shared" si="35"/>
        <v>85</v>
      </c>
      <c r="AP134" s="1" cm="1">
        <f t="array" ref="AP134">Vega($E134,100,AP$128,0.01,0.3,0)</f>
        <v>2.725633977693533E-2</v>
      </c>
      <c r="AQ134" s="1" cm="1">
        <f t="array" ref="AQ134">Vega($E134,100,AQ$128,0.01,0.3,0)</f>
        <v>8.0146565468207587E-2</v>
      </c>
      <c r="AR134" s="1" cm="1">
        <f t="array" ref="AR134">Vega($E134,100,AR$128,0.01,0.3,0)</f>
        <v>0.12514440458799739</v>
      </c>
      <c r="AS134" s="1" cm="1">
        <f t="array" ref="AS134">Vega($E134,100,AS$128,0.01,0.3,0)</f>
        <v>0.16302579321220409</v>
      </c>
      <c r="AT134" s="1" cm="1">
        <f t="array" ref="AT134">Vega($E134,100,AT$128,0.01,0.3,0)</f>
        <v>0.19581443166314164</v>
      </c>
      <c r="AU134" s="1" cm="1">
        <f t="array" ref="AU134">Vega($E134,100,AU$128,0.01,0.3,0)</f>
        <v>0.22487833277913319</v>
      </c>
      <c r="AV134" s="1" cm="1">
        <f t="array" ref="AV134">Vega($E134,100,AV$128,0.01,0.3,0)</f>
        <v>0.25111006208294911</v>
      </c>
      <c r="AW134" s="1" cm="1">
        <f t="array" ref="AW134">Vega($E134,100,AW$128,0.01,0.3,0)</f>
        <v>0.2751122670939824</v>
      </c>
      <c r="AX134" s="1" cm="1">
        <f t="array" ref="AX134">Vega($E134,100,AX$128,0.01,0.3,0)</f>
        <v>0.29730845258588656</v>
      </c>
      <c r="AY134" s="1" cm="1">
        <f t="array" ref="AY134">Vega($E134,100,AY$128,0.01,0.3,0)</f>
        <v>0.31800713357890903</v>
      </c>
      <c r="AZ134" s="1" cm="1">
        <f t="array" ref="AZ134">Vega($E134,100,AZ$128,0.01,0.3,0)</f>
        <v>0.47590089770706884</v>
      </c>
      <c r="BA134" s="1" cm="1">
        <f t="array" ref="BA134">Vega($E134,100,BA$128,0.01,0.3,0)</f>
        <v>0.58733335877732828</v>
      </c>
      <c r="BB134" s="1" cm="1">
        <f t="array" ref="BB134">Vega($E134,100,BB$128,0.01,0.3,0)</f>
        <v>0.67509674458565583</v>
      </c>
      <c r="BC134" s="1" cm="1">
        <f t="array" ref="BC134">Vega($E134,100,BC$128,0.01,0.3,0)</f>
        <v>0.74766798153008274</v>
      </c>
    </row>
    <row r="135" spans="3:55" x14ac:dyDescent="0.3">
      <c r="E135" s="2">
        <f t="shared" si="33"/>
        <v>90</v>
      </c>
      <c r="F135" s="1" cm="1">
        <f t="array" ref="F135">Vega($E135,100,F$128,0.01,0.2,0)</f>
        <v>3.0644533309865177E-2</v>
      </c>
      <c r="G135" s="1" cm="1">
        <f t="array" ref="G135">Vega($E135,100,G$128,0.01,0.2,0)</f>
        <v>8.6635119422354204E-2</v>
      </c>
      <c r="H135" s="1" cm="1">
        <f t="array" ref="H135">Vega($E135,100,H$128,0.01,0.2,0)</f>
        <v>0.1335639363567297</v>
      </c>
      <c r="I135" s="1" cm="1">
        <f t="array" ref="I135">Vega($E135,100,I$128,0.01,0.2,0)</f>
        <v>0.17293746502576174</v>
      </c>
      <c r="J135" s="1" cm="1">
        <f t="array" ref="J135">Vega($E135,100,J$128,0.01,0.2,0)</f>
        <v>0.2070079234545385</v>
      </c>
      <c r="K135" s="1" cm="1">
        <f t="array" ref="K135">Vega($E135,100,K$128,0.01,0.2,0)</f>
        <v>0.23723384471393918</v>
      </c>
      <c r="L135" s="1" cm="1">
        <f t="array" ref="L135">Vega($E135,100,L$128,0.01,0.2,0)</f>
        <v>0.26455122246358709</v>
      </c>
      <c r="M135" s="1" cm="1">
        <f t="array" ref="M135">Vega($E135,100,M$128,0.01,0.2,0)</f>
        <v>0.28958655791598931</v>
      </c>
      <c r="N135" s="1" cm="1">
        <f t="array" ref="N135">Vega($E135,100,N$128,0.01,0.2,0)</f>
        <v>0.31277780487504986</v>
      </c>
      <c r="O135" s="1" cm="1">
        <f t="array" ref="O135">Vega($E135,100,O$128,0.01,0.2,0)</f>
        <v>0.33444289202725913</v>
      </c>
      <c r="P135" s="1" cm="1">
        <f t="array" ref="P135">Vega($E135,100,P$128,0.01,0.2,0)</f>
        <v>0.50128257699490841</v>
      </c>
      <c r="Q135" s="1" cm="1">
        <f t="array" ref="Q135">Vega($E135,100,Q$128,0.01,0.2,0)</f>
        <v>0.6212783862055673</v>
      </c>
      <c r="R135" s="1" cm="1">
        <f t="array" ref="R135">Vega($E135,100,R$128,0.01,0.2,0)</f>
        <v>0.71761533320686943</v>
      </c>
      <c r="S135" s="1" cm="1">
        <f t="array" ref="S135">Vega($E135,100,S$128,0.01,0.2,0)</f>
        <v>0.79886620400360531</v>
      </c>
      <c r="W135" s="2">
        <f t="shared" si="34"/>
        <v>90</v>
      </c>
      <c r="X135" s="1" cm="1">
        <f t="array" ref="X135">Vega($E135,100,X$128,0.01,0.1,0)</f>
        <v>5.1615938644774477E-4</v>
      </c>
      <c r="Y135" s="1" cm="1">
        <f t="array" ref="Y135">Vega($E135,100,Y$128,0.01,0.1,0)</f>
        <v>1.1696837223341142E-2</v>
      </c>
      <c r="Z135" s="1" cm="1">
        <f t="array" ref="Z135">Vega($E135,100,Z$128,0.01,0.1,0)</f>
        <v>3.6089280836016556E-2</v>
      </c>
      <c r="AA135" s="1" cm="1">
        <f t="array" ref="AA135">Vega($E135,100,AA$128,0.01,0.1,0)</f>
        <v>6.6105163163659941E-2</v>
      </c>
      <c r="AB135" s="1" cm="1">
        <f t="array" ref="AB135">Vega($E135,100,AB$128,0.01,0.1,0)</f>
        <v>9.7437835238203124E-2</v>
      </c>
      <c r="AC135" s="1" cm="1">
        <f t="array" ref="AC135">Vega($E135,100,AC$128,0.01,0.1,0)</f>
        <v>0.12828628098948194</v>
      </c>
      <c r="AD135" s="1" cm="1">
        <f t="array" ref="AD135">Vega($E135,100,AD$128,0.01,0.1,0)</f>
        <v>0.15796405593882865</v>
      </c>
      <c r="AE135" s="1" cm="1">
        <f t="array" ref="AE135">Vega($E135,100,AE$128,0.01,0.1,0)</f>
        <v>0.18625614252560363</v>
      </c>
      <c r="AF135" s="1" cm="1">
        <f t="array" ref="AF135">Vega($E135,100,AF$128,0.01,0.1,0)</f>
        <v>0.21314624132838875</v>
      </c>
      <c r="AG135" s="1" cm="1">
        <f t="array" ref="AG135">Vega($E135,100,AG$128,0.01,0.1,0)</f>
        <v>0.23869941692283711</v>
      </c>
      <c r="AH135" s="1" cm="1">
        <f t="array" ref="AH135">Vega($E135,100,AH$128,0.01,0.1,0)</f>
        <v>0.44056131835135998</v>
      </c>
      <c r="AI135" s="1" cm="1">
        <f t="array" ref="AI135">Vega($E135,100,AI$128,0.01,0.1,0)</f>
        <v>0.58525004130384151</v>
      </c>
      <c r="AJ135" s="1" cm="1">
        <f t="array" ref="AJ135">Vega($E135,100,AJ$128,0.01,0.1,0)</f>
        <v>0.69986237314498334</v>
      </c>
      <c r="AK135" s="1" cm="1">
        <f t="array" ref="AK135">Vega($E135,100,AK$128,0.01,0.1,0)</f>
        <v>0.79548944334653171</v>
      </c>
      <c r="AO135" s="2">
        <f t="shared" si="35"/>
        <v>90</v>
      </c>
      <c r="AP135" s="1" cm="1">
        <f t="array" ref="AP135">Vega($E135,100,AP$128,0.01,0.3,0)</f>
        <v>6.5245486618251372E-2</v>
      </c>
      <c r="AQ135" s="1" cm="1">
        <f t="array" ref="AQ135">Vega($E135,100,AQ$128,0.01,0.3,0)</f>
        <v>0.12538719707021431</v>
      </c>
      <c r="AR135" s="1" cm="1">
        <f t="array" ref="AR135">Vega($E135,100,AR$128,0.01,0.3,0)</f>
        <v>0.16990578273325518</v>
      </c>
      <c r="AS135" s="1" cm="1">
        <f t="array" ref="AS135">Vega($E135,100,AS$128,0.01,0.3,0)</f>
        <v>0.20618984345800193</v>
      </c>
      <c r="AT135" s="1" cm="1">
        <f t="array" ref="AT135">Vega($E135,100,AT$128,0.01,0.3,0)</f>
        <v>0.23734723525071394</v>
      </c>
      <c r="AU135" s="1" cm="1">
        <f t="array" ref="AU135">Vega($E135,100,AU$128,0.01,0.3,0)</f>
        <v>0.26495540458839584</v>
      </c>
      <c r="AV135" s="1" cm="1">
        <f t="array" ref="AV135">Vega($E135,100,AV$128,0.01,0.3,0)</f>
        <v>0.28993012918382316</v>
      </c>
      <c r="AW135" s="1" cm="1">
        <f t="array" ref="AW135">Vega($E135,100,AW$128,0.01,0.3,0)</f>
        <v>0.3128543782986476</v>
      </c>
      <c r="AX135" s="1" cm="1">
        <f t="array" ref="AX135">Vega($E135,100,AX$128,0.01,0.3,0)</f>
        <v>0.33412469483092277</v>
      </c>
      <c r="AY135" s="1" cm="1">
        <f t="array" ref="AY135">Vega($E135,100,AY$128,0.01,0.3,0)</f>
        <v>0.35402457537592469</v>
      </c>
      <c r="AZ135" s="1" cm="1">
        <f t="array" ref="AZ135">Vega($E135,100,AZ$128,0.01,0.3,0)</f>
        <v>0.50774026590962573</v>
      </c>
      <c r="BA135" s="1" cm="1">
        <f t="array" ref="BA135">Vega($E135,100,BA$128,0.01,0.3,0)</f>
        <v>0.61780667302057179</v>
      </c>
      <c r="BB135" s="1" cm="1">
        <f t="array" ref="BB135">Vega($E135,100,BB$128,0.01,0.3,0)</f>
        <v>0.70510754644860263</v>
      </c>
      <c r="BC135" s="1" cm="1">
        <f t="array" ref="BC135">Vega($E135,100,BC$128,0.01,0.3,0)</f>
        <v>0.77759056969031726</v>
      </c>
    </row>
    <row r="136" spans="3:55" x14ac:dyDescent="0.3">
      <c r="E136" s="2">
        <f t="shared" si="33"/>
        <v>95</v>
      </c>
      <c r="F136" s="1" cm="1">
        <f t="array" ref="F136">Vega($E136,100,F$128,0.01,0.2,0)</f>
        <v>8.9541358039279748E-2</v>
      </c>
      <c r="G136" s="1" cm="1">
        <f t="array" ref="G136">Vega($E136,100,G$128,0.01,0.2,0)</f>
        <v>0.14909546983266303</v>
      </c>
      <c r="H136" s="1" cm="1">
        <f t="array" ref="H136">Vega($E136,100,H$128,0.01,0.2,0)</f>
        <v>0.19267540519079157</v>
      </c>
      <c r="I136" s="1" cm="1">
        <f t="array" ref="I136">Vega($E136,100,I$128,0.01,0.2,0)</f>
        <v>0.22840702670307464</v>
      </c>
      <c r="J136" s="1" cm="1">
        <f t="array" ref="J136">Vega($E136,100,J$128,0.01,0.2,0)</f>
        <v>0.25930883920219033</v>
      </c>
      <c r="K136" s="1" cm="1">
        <f t="array" ref="K136">Vega($E136,100,K$128,0.01,0.2,0)</f>
        <v>0.28686682039024308</v>
      </c>
      <c r="L136" s="1" cm="1">
        <f t="array" ref="L136">Vega($E136,100,L$128,0.01,0.2,0)</f>
        <v>0.31193622839956398</v>
      </c>
      <c r="M136" s="1" cm="1">
        <f t="array" ref="M136">Vega($E136,100,M$128,0.01,0.2,0)</f>
        <v>0.33506087760385844</v>
      </c>
      <c r="N136" s="1" cm="1">
        <f t="array" ref="N136">Vega($E136,100,N$128,0.01,0.2,0)</f>
        <v>0.35661132714949467</v>
      </c>
      <c r="O136" s="1" cm="1">
        <f t="array" ref="O136">Vega($E136,100,O$128,0.01,0.2,0)</f>
        <v>0.37685326590063856</v>
      </c>
      <c r="P136" s="1" cm="1">
        <f t="array" ref="P136">Vega($E136,100,P$128,0.01,0.2,0)</f>
        <v>0.53572622142458148</v>
      </c>
      <c r="Q136" s="1" cm="1">
        <f t="array" ref="Q136">Vega($E136,100,Q$128,0.01,0.2,0)</f>
        <v>0.65235380338435678</v>
      </c>
      <c r="R136" s="1" cm="1">
        <f t="array" ref="R136">Vega($E136,100,R$128,0.01,0.2,0)</f>
        <v>0.7468905995563202</v>
      </c>
      <c r="S136" s="1" cm="1">
        <f t="array" ref="S136">Vega($E136,100,S$128,0.01,0.2,0)</f>
        <v>0.82706631007195031</v>
      </c>
      <c r="W136" s="2">
        <f t="shared" si="34"/>
        <v>95</v>
      </c>
      <c r="X136" s="1" cm="1">
        <f t="array" ref="X136">Vega($E136,100,X$128,0.01,0.1,0)</f>
        <v>3.4693238841801248E-2</v>
      </c>
      <c r="Y136" s="1" cm="1">
        <f t="array" ref="Y136">Vega($E136,100,Y$128,0.01,0.1,0)</f>
        <v>9.4608178373498497E-2</v>
      </c>
      <c r="Z136" s="1" cm="1">
        <f t="array" ref="Z136">Vega($E136,100,Z$128,0.01,0.1,0)</f>
        <v>0.14411356711779727</v>
      </c>
      <c r="AA136" s="1" cm="1">
        <f t="array" ref="AA136">Vega($E136,100,AA$128,0.01,0.1,0)</f>
        <v>0.18547920454659683</v>
      </c>
      <c r="AB136" s="1" cm="1">
        <f t="array" ref="AB136">Vega($E136,100,AB$128,0.01,0.1,0)</f>
        <v>0.22122153003014303</v>
      </c>
      <c r="AC136" s="1" cm="1">
        <f t="array" ref="AC136">Vega($E136,100,AC$128,0.01,0.1,0)</f>
        <v>0.25291422770740374</v>
      </c>
      <c r="AD136" s="1" cm="1">
        <f t="array" ref="AD136">Vega($E136,100,AD$128,0.01,0.1,0)</f>
        <v>0.28155342127741206</v>
      </c>
      <c r="AE136" s="1" cm="1">
        <f t="array" ref="AE136">Vega($E136,100,AE$128,0.01,0.1,0)</f>
        <v>0.30780115974298611</v>
      </c>
      <c r="AF136" s="1" cm="1">
        <f t="array" ref="AF136">Vega($E136,100,AF$128,0.01,0.1,0)</f>
        <v>0.33211834114491318</v>
      </c>
      <c r="AG136" s="1" cm="1">
        <f t="array" ref="AG136">Vega($E136,100,AG$128,0.01,0.1,0)</f>
        <v>0.35483868952949416</v>
      </c>
      <c r="AH136" s="1" cm="1">
        <f t="array" ref="AH136">Vega($E136,100,AH$128,0.01,0.1,0)</f>
        <v>0.52993901401176291</v>
      </c>
      <c r="AI136" s="1" cm="1">
        <f t="array" ref="AI136">Vega($E136,100,AI$128,0.01,0.1,0)</f>
        <v>0.65600571654605966</v>
      </c>
      <c r="AJ136" s="1" cm="1">
        <f t="array" ref="AJ136">Vega($E136,100,AJ$128,0.01,0.1,0)</f>
        <v>0.75727241342456986</v>
      </c>
      <c r="AK136" s="1" cm="1">
        <f t="array" ref="AK136">Vega($E136,100,AK$128,0.01,0.1,0)</f>
        <v>0.84270952755154982</v>
      </c>
      <c r="AO136" s="2">
        <f t="shared" si="35"/>
        <v>95</v>
      </c>
      <c r="AP136" s="1" cm="1">
        <f t="array" ref="AP136">Vega($E136,100,AP$128,0.01,0.3,0)</f>
        <v>0.10666888149822518</v>
      </c>
      <c r="AQ136" s="1" cm="1">
        <f t="array" ref="AQ136">Vega($E136,100,AQ$128,0.01,0.3,0)</f>
        <v>0.16201774980597239</v>
      </c>
      <c r="AR136" s="1" cm="1">
        <f t="array" ref="AR136">Vega($E136,100,AR$128,0.01,0.3,0)</f>
        <v>0.2029823489988902</v>
      </c>
      <c r="AS136" s="1" cm="1">
        <f t="array" ref="AS136">Vega($E136,100,AS$128,0.01,0.3,0)</f>
        <v>0.23685782585692991</v>
      </c>
      <c r="AT136" s="1" cm="1">
        <f t="array" ref="AT136">Vega($E136,100,AT$128,0.01,0.3,0)</f>
        <v>0.26630962333356745</v>
      </c>
      <c r="AU136" s="1" cm="1">
        <f t="array" ref="AU136">Vega($E136,100,AU$128,0.01,0.3,0)</f>
        <v>0.29266016170947762</v>
      </c>
      <c r="AV136" s="1" cm="1">
        <f t="array" ref="AV136">Vega($E136,100,AV$128,0.01,0.3,0)</f>
        <v>0.31667848744818328</v>
      </c>
      <c r="AW136" s="1" cm="1">
        <f t="array" ref="AW136">Vega($E136,100,AW$128,0.01,0.3,0)</f>
        <v>0.33885838808772822</v>
      </c>
      <c r="AX136" s="1" cm="1">
        <f t="array" ref="AX136">Vega($E136,100,AX$128,0.01,0.3,0)</f>
        <v>0.35953924700853623</v>
      </c>
      <c r="AY136" s="1" cm="1">
        <f t="array" ref="AY136">Vega($E136,100,AY$128,0.01,0.3,0)</f>
        <v>0.37896623822327191</v>
      </c>
      <c r="AZ136" s="1" cm="1">
        <f t="array" ref="AZ136">Vega($E136,100,AZ$128,0.01,0.3,0)</f>
        <v>0.53087335695806659</v>
      </c>
      <c r="BA136" s="1" cm="1">
        <f t="array" ref="BA136">Vega($E136,100,BA$128,0.01,0.3,0)</f>
        <v>0.6409084385653474</v>
      </c>
      <c r="BB136" s="1" cm="1">
        <f t="array" ref="BB136">Vega($E136,100,BB$128,0.01,0.3,0)</f>
        <v>0.72861111689327818</v>
      </c>
      <c r="BC136" s="1" cm="1">
        <f t="array" ref="BC136">Vega($E136,100,BC$128,0.01,0.3,0)</f>
        <v>0.80162201705931713</v>
      </c>
    </row>
    <row r="137" spans="3:55" x14ac:dyDescent="0.3">
      <c r="E137" s="2">
        <f t="shared" si="33"/>
        <v>100</v>
      </c>
      <c r="F137" s="1" cm="1">
        <f t="array" ref="F137">Vega($E137,100,F$128,0.01,0.2,0)</f>
        <v>0.12601477970020519</v>
      </c>
      <c r="G137" s="1" cm="1">
        <f t="array" ref="G137">Vega($E137,100,G$128,0.01,0.2,0)</f>
        <v>0.1780114349570453</v>
      </c>
      <c r="H137" s="1" cm="1">
        <f t="array" ref="H137">Vega($E137,100,H$128,0.01,0.2,0)</f>
        <v>0.21777345900985237</v>
      </c>
      <c r="I137" s="1" cm="1">
        <f t="array" ref="I137">Vega($E137,100,I$128,0.01,0.2,0)</f>
        <v>0.25118039341108511</v>
      </c>
      <c r="J137" s="1" cm="1">
        <f t="array" ref="J137">Vega($E137,100,J$128,0.01,0.2,0)</f>
        <v>0.28051246304186261</v>
      </c>
      <c r="K137" s="1" cm="1">
        <f t="array" ref="K137">Vega($E137,100,K$128,0.01,0.2,0)</f>
        <v>0.30694050496199521</v>
      </c>
      <c r="L137" s="1" cm="1">
        <f t="array" ref="L137">Vega($E137,100,L$128,0.01,0.2,0)</f>
        <v>0.3311608714611029</v>
      </c>
      <c r="M137" s="1" cm="1">
        <f t="array" ref="M137">Vega($E137,100,M$128,0.01,0.2,0)</f>
        <v>0.35362780796997573</v>
      </c>
      <c r="N137" s="1" cm="1">
        <f t="array" ref="N137">Vega($E137,100,N$128,0.01,0.2,0)</f>
        <v>0.37465720501521849</v>
      </c>
      <c r="O137" s="1" cm="1">
        <f t="array" ref="O137">Vega($E137,100,O$128,0.01,0.2,0)</f>
        <v>0.39447933090788889</v>
      </c>
      <c r="P137" s="1" cm="1">
        <f t="array" ref="P137">Vega($E137,100,P$128,0.01,0.2,0)</f>
        <v>0.55163706332541196</v>
      </c>
      <c r="Q137" s="1" cm="1">
        <f t="array" ref="Q137">Vega($E137,100,Q$128,0.01,0.2,0)</f>
        <v>0.66805659306916709</v>
      </c>
      <c r="R137" s="1" cm="1">
        <f t="array" ref="R137">Vega($E137,100,R$128,0.01,0.2,0)</f>
        <v>0.76277563092104816</v>
      </c>
      <c r="S137" s="1" cm="1">
        <f t="array" ref="S137">Vega($E137,100,S$128,0.01,0.2,0)</f>
        <v>0.84326874401380636</v>
      </c>
      <c r="W137" s="2">
        <f t="shared" si="34"/>
        <v>100</v>
      </c>
      <c r="X137" s="1" cm="1">
        <f t="array" ref="X137">Vega($E137,100,X$128,0.01,0.1,0)</f>
        <v>0.12601477970020519</v>
      </c>
      <c r="Y137" s="1" cm="1">
        <f t="array" ref="Y137">Vega($E137,100,Y$128,0.01,0.1,0)</f>
        <v>0.1780114349570453</v>
      </c>
      <c r="Z137" s="1" cm="1">
        <f t="array" ref="Z137">Vega($E137,100,Z$128,0.01,0.1,0)</f>
        <v>0.21777345900985237</v>
      </c>
      <c r="AA137" s="1" cm="1">
        <f t="array" ref="AA137">Vega($E137,100,AA$128,0.01,0.1,0)</f>
        <v>0.25118039341108511</v>
      </c>
      <c r="AB137" s="1" cm="1">
        <f t="array" ref="AB137">Vega($E137,100,AB$128,0.01,0.1,0)</f>
        <v>0.28051246304186261</v>
      </c>
      <c r="AC137" s="1" cm="1">
        <f t="array" ref="AC137">Vega($E137,100,AC$128,0.01,0.1,0)</f>
        <v>0.30694050496199521</v>
      </c>
      <c r="AD137" s="1" cm="1">
        <f t="array" ref="AD137">Vega($E137,100,AD$128,0.01,0.1,0)</f>
        <v>0.3311608714611029</v>
      </c>
      <c r="AE137" s="1" cm="1">
        <f t="array" ref="AE137">Vega($E137,100,AE$128,0.01,0.1,0)</f>
        <v>0.35362780796997573</v>
      </c>
      <c r="AF137" s="1" cm="1">
        <f t="array" ref="AF137">Vega($E137,100,AF$128,0.01,0.1,0)</f>
        <v>0.37465720501521849</v>
      </c>
      <c r="AG137" s="1" cm="1">
        <f t="array" ref="AG137">Vega($E137,100,AG$128,0.01,0.1,0)</f>
        <v>0.39447933090788889</v>
      </c>
      <c r="AH137" s="1" cm="1">
        <f t="array" ref="AH137">Vega($E137,100,AH$128,0.01,0.1,0)</f>
        <v>0.55163706332541196</v>
      </c>
      <c r="AI137" s="1" cm="1">
        <f t="array" ref="AI137">Vega($E137,100,AI$128,0.01,0.1,0)</f>
        <v>0.66805659306916709</v>
      </c>
      <c r="AJ137" s="1" cm="1">
        <f t="array" ref="AJ137">Vega($E137,100,AJ$128,0.01,0.1,0)</f>
        <v>0.76277563092104828</v>
      </c>
      <c r="AK137" s="1" cm="1">
        <f t="array" ref="AK137">Vega($E137,100,AK$128,0.01,0.1,0)</f>
        <v>0.84326874401380636</v>
      </c>
      <c r="AO137" s="2">
        <f t="shared" si="35"/>
        <v>100</v>
      </c>
      <c r="AP137" s="1" cm="1">
        <f t="array" ref="AP137">Vega($E137,100,AP$128,0.01,0.3,0)</f>
        <v>0.12594479093238517</v>
      </c>
      <c r="AQ137" s="1" cm="1">
        <f t="array" ref="AQ137">Vega($E137,100,AQ$128,0.01,0.3,0)</f>
        <v>0.17781375431667518</v>
      </c>
      <c r="AR137" s="1" cm="1">
        <f t="array" ref="AR137">Vega($E137,100,AR$128,0.01,0.3,0)</f>
        <v>0.21741080554000836</v>
      </c>
      <c r="AS137" s="1" cm="1">
        <f t="array" ref="AS137">Vega($E137,100,AS$128,0.01,0.3,0)</f>
        <v>0.25062283449841155</v>
      </c>
      <c r="AT137" s="1" cm="1">
        <f t="array" ref="AT137">Vega($E137,100,AT$128,0.01,0.3,0)</f>
        <v>0.27973434297828004</v>
      </c>
      <c r="AU137" s="1" cm="1">
        <f t="array" ref="AU137">Vega($E137,100,AU$128,0.01,0.3,0)</f>
        <v>0.30591907327736617</v>
      </c>
      <c r="AV137" s="1" cm="1">
        <f t="array" ref="AV137">Vega($E137,100,AV$128,0.01,0.3,0)</f>
        <v>0.32987552453324309</v>
      </c>
      <c r="AW137" s="1" cm="1">
        <f t="array" ref="AW137">Vega($E137,100,AW$128,0.01,0.3,0)</f>
        <v>0.35205961627525989</v>
      </c>
      <c r="AX137" s="1" cm="1">
        <f t="array" ref="AX137">Vega($E137,100,AX$128,0.01,0.3,0)</f>
        <v>0.37278859440959367</v>
      </c>
      <c r="AY137" s="1" cm="1">
        <f t="array" ref="AY137">Vega($E137,100,AY$128,0.01,0.3,0)</f>
        <v>0.39229385545573259</v>
      </c>
      <c r="AZ137" s="1" cm="1">
        <f t="array" ref="AZ137">Vega($E137,100,AZ$128,0.01,0.3,0)</f>
        <v>0.54554168852462226</v>
      </c>
      <c r="BA137" s="1" cm="1">
        <f t="array" ref="BA137">Vega($E137,100,BA$128,0.01,0.3,0)</f>
        <v>0.65701458882085051</v>
      </c>
      <c r="BB137" s="1" cm="1">
        <f t="array" ref="BB137">Vega($E137,100,BB$128,0.01,0.3,0)</f>
        <v>0.74601201361465708</v>
      </c>
      <c r="BC137" s="1" cm="1">
        <f t="array" ref="BC137">Vega($E137,100,BC$128,0.01,0.3,0)</f>
        <v>0.8201669558401079</v>
      </c>
    </row>
    <row r="138" spans="3:55" x14ac:dyDescent="0.3">
      <c r="E138" s="2">
        <f t="shared" si="33"/>
        <v>105</v>
      </c>
      <c r="F138" s="1" cm="1">
        <f t="array" ref="F138">Vega($E138,100,F$128,0.01,0.2,0)</f>
        <v>9.4730567005775868E-2</v>
      </c>
      <c r="G138" s="1" cm="1">
        <f t="array" ref="G138">Vega($E138,100,G$128,0.01,0.2,0)</f>
        <v>0.15528549456541479</v>
      </c>
      <c r="H138" s="1" cm="1">
        <f t="array" ref="H138">Vega($E138,100,H$128,0.01,0.2,0)</f>
        <v>0.19963011175668896</v>
      </c>
      <c r="I138" s="1" cm="1">
        <f t="array" ref="I138">Vega($E138,100,I$128,0.01,0.2,0)</f>
        <v>0.23603472101352116</v>
      </c>
      <c r="J138" s="1" cm="1">
        <f t="array" ref="J138">Vega($E138,100,J$128,0.01,0.2,0)</f>
        <v>0.26754925856393441</v>
      </c>
      <c r="K138" s="1" cm="1">
        <f t="array" ref="K138">Vega($E138,100,K$128,0.01,0.2,0)</f>
        <v>0.29567419013929419</v>
      </c>
      <c r="L138" s="1" cm="1">
        <f t="array" ref="L138">Vega($E138,100,L$128,0.01,0.2,0)</f>
        <v>0.32127364650068396</v>
      </c>
      <c r="M138" s="1" cm="1">
        <f t="array" ref="M138">Vega($E138,100,M$128,0.01,0.2,0)</f>
        <v>0.34489758203526322</v>
      </c>
      <c r="N138" s="1" cm="1">
        <f t="array" ref="N138">Vega($E138,100,N$128,0.01,0.2,0)</f>
        <v>0.36692108772311305</v>
      </c>
      <c r="O138" s="1" cm="1">
        <f t="array" ref="O138">Vega($E138,100,O$128,0.01,0.2,0)</f>
        <v>0.38761333572648288</v>
      </c>
      <c r="P138" s="1" cm="1">
        <f t="array" ref="P138">Vega($E138,100,P$128,0.01,0.2,0)</f>
        <v>0.5501604023542791</v>
      </c>
      <c r="Q138" s="1" cm="1">
        <f t="array" ref="Q138">Vega($E138,100,Q$128,0.01,0.2,0)</f>
        <v>0.669580745803801</v>
      </c>
      <c r="R138" s="1" cm="1">
        <f t="array" ref="R138">Vega($E138,100,R$128,0.01,0.2,0)</f>
        <v>0.76641397953105828</v>
      </c>
      <c r="S138" s="1" cm="1">
        <f t="array" ref="S138">Vega($E138,100,S$128,0.01,0.2,0)</f>
        <v>0.84855257304543275</v>
      </c>
      <c r="W138" s="2">
        <f t="shared" si="34"/>
        <v>105</v>
      </c>
      <c r="X138" s="1" cm="1">
        <f t="array" ref="X138">Vega($E138,100,X$128,0.01,0.1,0)</f>
        <v>3.7403491562746805E-2</v>
      </c>
      <c r="Y138" s="1" cm="1">
        <f t="array" ref="Y138">Vega($E138,100,Y$128,0.01,0.1,0)</f>
        <v>9.5806705523719615E-2</v>
      </c>
      <c r="Z138" s="1" cm="1">
        <f t="array" ref="Z138">Vega($E138,100,Z$128,0.01,0.1,0)</f>
        <v>0.14292407924672723</v>
      </c>
      <c r="AA138" s="1" cm="1">
        <f t="array" ref="AA138">Vega($E138,100,AA$128,0.01,0.1,0)</f>
        <v>0.182038150418775</v>
      </c>
      <c r="AB138" s="1" cm="1">
        <f t="array" ref="AB138">Vega($E138,100,AB$128,0.01,0.1,0)</f>
        <v>0.21576180864022365</v>
      </c>
      <c r="AC138" s="1" cm="1">
        <f t="array" ref="AC138">Vega($E138,100,AC$128,0.01,0.1,0)</f>
        <v>0.2456445343208962</v>
      </c>
      <c r="AD138" s="1" cm="1">
        <f t="array" ref="AD138">Vega($E138,100,AD$128,0.01,0.1,0)</f>
        <v>0.27264617640732552</v>
      </c>
      <c r="AE138" s="1" cm="1">
        <f t="array" ref="AE138">Vega($E138,100,AE$128,0.01,0.1,0)</f>
        <v>0.29739757516778265</v>
      </c>
      <c r="AF138" s="1" cm="1">
        <f t="array" ref="AF138">Vega($E138,100,AF$128,0.01,0.1,0)</f>
        <v>0.32033505994229872</v>
      </c>
      <c r="AG138" s="1" cm="1">
        <f t="array" ref="AG138">Vega($E138,100,AG$128,0.01,0.1,0)</f>
        <v>0.34177330202865697</v>
      </c>
      <c r="AH138" s="1" cm="1">
        <f t="array" ref="AH138">Vega($E138,100,AH$128,0.01,0.1,0)</f>
        <v>0.5072394859703554</v>
      </c>
      <c r="AI138" s="1" cm="1">
        <f t="array" ref="AI138">Vega($E138,100,AI$128,0.01,0.1,0)</f>
        <v>0.62659671715556564</v>
      </c>
      <c r="AJ138" s="1" cm="1">
        <f t="array" ref="AJ138">Vega($E138,100,AJ$128,0.01,0.1,0)</f>
        <v>0.72256894624086909</v>
      </c>
      <c r="AK138" s="1" cm="1">
        <f t="array" ref="AK138">Vega($E138,100,AK$128,0.01,0.1,0)</f>
        <v>0.80358729178703991</v>
      </c>
      <c r="AO138" s="2">
        <f t="shared" si="35"/>
        <v>105</v>
      </c>
      <c r="AP138" s="1" cm="1">
        <f t="array" ref="AP138">Vega($E138,100,AP$128,0.01,0.3,0)</f>
        <v>0.11245674973430275</v>
      </c>
      <c r="AQ138" s="1" cm="1">
        <f t="array" ref="AQ138">Vega($E138,100,AQ$128,0.01,0.3,0)</f>
        <v>0.16962433257069018</v>
      </c>
      <c r="AR138" s="1" cm="1">
        <f t="array" ref="AR138">Vega($E138,100,AR$128,0.01,0.3,0)</f>
        <v>0.21201979956829661</v>
      </c>
      <c r="AS138" s="1" cm="1">
        <f t="array" ref="AS138">Vega($E138,100,AS$128,0.01,0.3,0)</f>
        <v>0.24711674739236783</v>
      </c>
      <c r="AT138" s="1" cm="1">
        <f t="array" ref="AT138">Vega($E138,100,AT$128,0.01,0.3,0)</f>
        <v>0.27765089504983587</v>
      </c>
      <c r="AU138" s="1" cm="1">
        <f t="array" ref="AU138">Vega($E138,100,AU$128,0.01,0.3,0)</f>
        <v>0.30498209522504149</v>
      </c>
      <c r="AV138" s="1" cm="1">
        <f t="array" ref="AV138">Vega($E138,100,AV$128,0.01,0.3,0)</f>
        <v>0.32990232912026402</v>
      </c>
      <c r="AW138" s="1" cm="1">
        <f t="array" ref="AW138">Vega($E138,100,AW$128,0.01,0.3,0)</f>
        <v>0.35292069317520947</v>
      </c>
      <c r="AX138" s="1" cm="1">
        <f t="array" ref="AX138">Vega($E138,100,AX$128,0.01,0.3,0)</f>
        <v>0.37438741076876991</v>
      </c>
      <c r="AY138" s="1" cm="1">
        <f t="array" ref="AY138">Vega($E138,100,AY$128,0.01,0.3,0)</f>
        <v>0.39455567305177852</v>
      </c>
      <c r="AZ138" s="1" cm="1">
        <f t="array" ref="AZ138">Vega($E138,100,AZ$128,0.01,0.3,0)</f>
        <v>0.55232725998867305</v>
      </c>
      <c r="BA138" s="1" cm="1">
        <f t="array" ref="BA138">Vega($E138,100,BA$128,0.01,0.3,0)</f>
        <v>0.66665447263519584</v>
      </c>
      <c r="BB138" s="1" cm="1">
        <f t="array" ref="BB138">Vega($E138,100,BB$128,0.01,0.3,0)</f>
        <v>0.75779237344430039</v>
      </c>
      <c r="BC138" s="1" cm="1">
        <f t="array" ref="BC138">Vega($E138,100,BC$128,0.01,0.3,0)</f>
        <v>0.83366938178088823</v>
      </c>
    </row>
    <row r="139" spans="3:55" x14ac:dyDescent="0.3">
      <c r="E139" s="2">
        <f t="shared" si="33"/>
        <v>110</v>
      </c>
      <c r="F139" s="1" cm="1">
        <f t="array" ref="F139">Vega($E139,100,F$128,0.01,0.2,0)</f>
        <v>4.1459744625109492E-2</v>
      </c>
      <c r="G139" s="1" cm="1">
        <f t="array" ref="G139">Vega($E139,100,G$128,0.01,0.2,0)</f>
        <v>0.10332955422391689</v>
      </c>
      <c r="H139" s="1" cm="1">
        <f t="array" ref="H139">Vega($E139,100,H$128,0.01,0.2,0)</f>
        <v>0.15274679608962341</v>
      </c>
      <c r="I139" s="1" cm="1">
        <f t="array" ref="I139">Vega($E139,100,I$128,0.01,0.2,0)</f>
        <v>0.19366366629160028</v>
      </c>
      <c r="J139" s="1" cm="1">
        <f t="array" ref="J139">Vega($E139,100,J$128,0.01,0.2,0)</f>
        <v>0.22891366897286514</v>
      </c>
      <c r="K139" s="1" cm="1">
        <f t="array" ref="K139">Vega($E139,100,K$128,0.01,0.2,0)</f>
        <v>0.26014283512817954</v>
      </c>
      <c r="L139" s="1" cm="1">
        <f t="array" ref="L139">Vega($E139,100,L$128,0.01,0.2,0)</f>
        <v>0.28836210247206262</v>
      </c>
      <c r="M139" s="1" cm="1">
        <f t="array" ref="M139">Vega($E139,100,M$128,0.01,0.2,0)</f>
        <v>0.31423293448931333</v>
      </c>
      <c r="N139" s="1" cm="1">
        <f t="array" ref="N139">Vega($E139,100,N$128,0.01,0.2,0)</f>
        <v>0.33821167077407699</v>
      </c>
      <c r="O139" s="1" cm="1">
        <f t="array" ref="O139">Vega($E139,100,O$128,0.01,0.2,0)</f>
        <v>0.36062690186445984</v>
      </c>
      <c r="P139" s="1" cm="1">
        <f t="array" ref="P139">Vega($E139,100,P$128,0.01,0.2,0)</f>
        <v>0.53375807389774854</v>
      </c>
      <c r="Q139" s="1" cm="1">
        <f t="array" ref="Q139">Vega($E139,100,Q$128,0.01,0.2,0)</f>
        <v>0.658754089959111</v>
      </c>
      <c r="R139" s="1" cm="1">
        <f t="array" ref="R139">Vega($E139,100,R$128,0.01,0.2,0)</f>
        <v>0.75930525448770614</v>
      </c>
      <c r="S139" s="1" cm="1">
        <f t="array" ref="S139">Vega($E139,100,S$128,0.01,0.2,0)</f>
        <v>0.84421159741338536</v>
      </c>
      <c r="W139" s="2">
        <f t="shared" si="34"/>
        <v>110</v>
      </c>
      <c r="X139" s="1" cm="1">
        <f t="array" ref="X139">Vega($E139,100,X$128,0.01,0.1,0)</f>
        <v>1.2798321316875715E-3</v>
      </c>
      <c r="Y139" s="1" cm="1">
        <f t="array" ref="Y139">Vega($E139,100,Y$128,0.01,0.1,0)</f>
        <v>1.751723241894686E-2</v>
      </c>
      <c r="Z139" s="1" cm="1">
        <f t="array" ref="Z139">Vega($E139,100,Z$128,0.01,0.1,0)</f>
        <v>4.5686150128548243E-2</v>
      </c>
      <c r="AA139" s="1" cm="1">
        <f t="array" ref="AA139">Vega($E139,100,AA$128,0.01,0.1,0)</f>
        <v>7.6938968689493709E-2</v>
      </c>
      <c r="AB139" s="1" cm="1">
        <f t="array" ref="AB139">Vega($E139,100,AB$128,0.01,0.1,0)</f>
        <v>0.10783044375026946</v>
      </c>
      <c r="AC139" s="1" cm="1">
        <f t="array" ref="AC139">Vega($E139,100,AC$128,0.01,0.1,0)</f>
        <v>0.13727638643411783</v>
      </c>
      <c r="AD139" s="1" cm="1">
        <f t="array" ref="AD139">Vega($E139,100,AD$128,0.01,0.1,0)</f>
        <v>0.16502382731650939</v>
      </c>
      <c r="AE139" s="1" cm="1">
        <f t="array" ref="AE139">Vega($E139,100,AE$128,0.01,0.1,0)</f>
        <v>0.19110786021475312</v>
      </c>
      <c r="AF139" s="1" cm="1">
        <f t="array" ref="AF139">Vega($E139,100,AF$128,0.01,0.1,0)</f>
        <v>0.21565675444124369</v>
      </c>
      <c r="AG139" s="1" cm="1">
        <f t="array" ref="AG139">Vega($E139,100,AG$128,0.01,0.1,0)</f>
        <v>0.23882000168449913</v>
      </c>
      <c r="AH139" s="1" cm="1">
        <f t="array" ref="AH139">Vega($E139,100,AH$128,0.01,0.1,0)</f>
        <v>0.41911044907526829</v>
      </c>
      <c r="AI139" s="1" cm="1">
        <f t="array" ref="AI139">Vega($E139,100,AI$128,0.01,0.1,0)</f>
        <v>0.54747527123167761</v>
      </c>
      <c r="AJ139" s="1" cm="1">
        <f t="array" ref="AJ139">Vega($E139,100,AJ$128,0.01,0.1,0)</f>
        <v>0.64921143972907125</v>
      </c>
      <c r="AK139" s="1" cm="1">
        <f t="array" ref="AK139">Vega($E139,100,AK$128,0.01,0.1,0)</f>
        <v>0.73420648836426439</v>
      </c>
      <c r="AO139" s="2">
        <f t="shared" si="35"/>
        <v>110</v>
      </c>
      <c r="AP139" s="1" cm="1">
        <f t="array" ref="AP139">Vega($E139,100,AP$128,0.01,0.3,0)</f>
        <v>7.8904665626496825E-2</v>
      </c>
      <c r="AQ139" s="1" cm="1">
        <f t="array" ref="AQ139">Vega($E139,100,AQ$128,0.01,0.3,0)</f>
        <v>0.14337557290741065</v>
      </c>
      <c r="AR139" s="1" cm="1">
        <f t="array" ref="AR139">Vega($E139,100,AR$128,0.01,0.3,0)</f>
        <v>0.19068654650481351</v>
      </c>
      <c r="AS139" s="1" cm="1">
        <f t="array" ref="AS139">Vega($E139,100,AS$128,0.01,0.3,0)</f>
        <v>0.22925780102263246</v>
      </c>
      <c r="AT139" s="1" cm="1">
        <f t="array" ref="AT139">Vega($E139,100,AT$128,0.01,0.3,0)</f>
        <v>0.26242669261937368</v>
      </c>
      <c r="AU139" s="1" cm="1">
        <f t="array" ref="AU139">Vega($E139,100,AU$128,0.01,0.3,0)</f>
        <v>0.29186001251802374</v>
      </c>
      <c r="AV139" s="1" cm="1">
        <f t="array" ref="AV139">Vega($E139,100,AV$128,0.01,0.3,0)</f>
        <v>0.31851990708534011</v>
      </c>
      <c r="AW139" s="1" cm="1">
        <f t="array" ref="AW139">Vega($E139,100,AW$128,0.01,0.3,0)</f>
        <v>0.34301770068622478</v>
      </c>
      <c r="AX139" s="1" cm="1">
        <f t="array" ref="AX139">Vega($E139,100,AX$128,0.01,0.3,0)</f>
        <v>0.36576911327852024</v>
      </c>
      <c r="AY139" s="1" cm="1">
        <f t="array" ref="AY139">Vega($E139,100,AY$128,0.01,0.3,0)</f>
        <v>0.38707149777283789</v>
      </c>
      <c r="AZ139" s="1" cm="1">
        <f t="array" ref="AZ139">Vega($E139,100,AZ$128,0.01,0.3,0)</f>
        <v>0.5520346837390272</v>
      </c>
      <c r="BA139" s="1" cm="1">
        <f t="array" ref="BA139">Vega($E139,100,BA$128,0.01,0.3,0)</f>
        <v>0.6704499236841015</v>
      </c>
      <c r="BB139" s="1" cm="1">
        <f t="array" ref="BB139">Vega($E139,100,BB$128,0.01,0.3,0)</f>
        <v>0.76447556683034001</v>
      </c>
      <c r="BC139" s="1" cm="1">
        <f t="array" ref="BC139">Vega($E139,100,BC$128,0.01,0.3,0)</f>
        <v>0.84258928010075784</v>
      </c>
    </row>
    <row r="140" spans="3:55" x14ac:dyDescent="0.3">
      <c r="E140" s="2">
        <f t="shared" si="33"/>
        <v>115</v>
      </c>
      <c r="F140" s="1" cm="1">
        <f t="array" ref="F140">Vega($E140,100,F$128,0.01,0.2,0)</f>
        <v>1.1355073152064604E-2</v>
      </c>
      <c r="G140" s="1" cm="1">
        <f t="array" ref="G140">Vega($E140,100,G$128,0.01,0.2,0)</f>
        <v>5.4377515022381848E-2</v>
      </c>
      <c r="H140" s="1" cm="1">
        <f t="array" ref="H140">Vega($E140,100,H$128,0.01,0.2,0)</f>
        <v>9.9933417595958043E-2</v>
      </c>
      <c r="I140" s="1" cm="1">
        <f t="array" ref="I140">Vega($E140,100,I$128,0.01,0.2,0)</f>
        <v>0.14127284601816151</v>
      </c>
      <c r="J140" s="1" cm="1">
        <f t="array" ref="J140">Vega($E140,100,J$128,0.01,0.2,0)</f>
        <v>0.17825651843380044</v>
      </c>
      <c r="K140" s="1" cm="1">
        <f t="array" ref="K140">Vega($E140,100,K$128,0.01,0.2,0)</f>
        <v>0.21158960540408664</v>
      </c>
      <c r="L140" s="1" cm="1">
        <f t="array" ref="L140">Vega($E140,100,L$128,0.01,0.2,0)</f>
        <v>0.24195071188978154</v>
      </c>
      <c r="M140" s="1" cm="1">
        <f t="array" ref="M140">Vega($E140,100,M$128,0.01,0.2,0)</f>
        <v>0.2698796374360215</v>
      </c>
      <c r="N140" s="1" cm="1">
        <f t="array" ref="N140">Vega($E140,100,N$128,0.01,0.2,0)</f>
        <v>0.29579147918734411</v>
      </c>
      <c r="O140" s="1" cm="1">
        <f t="array" ref="O140">Vega($E140,100,O$128,0.01,0.2,0)</f>
        <v>0.32000599329500917</v>
      </c>
      <c r="P140" s="1" cm="1">
        <f t="array" ref="P140">Vega($E140,100,P$128,0.01,0.2,0)</f>
        <v>0.50560061959578562</v>
      </c>
      <c r="Q140" s="1" cm="1">
        <f t="array" ref="Q140">Vega($E140,100,Q$128,0.01,0.2,0)</f>
        <v>0.63773587385453712</v>
      </c>
      <c r="R140" s="1" cm="1">
        <f t="array" ref="R140">Vega($E140,100,R$128,0.01,0.2,0)</f>
        <v>0.74312371276717004</v>
      </c>
      <c r="S140" s="1" cm="1">
        <f t="array" ref="S140">Vega($E140,100,S$128,0.01,0.2,0)</f>
        <v>0.83163420463033977</v>
      </c>
      <c r="W140" s="2">
        <f t="shared" si="34"/>
        <v>115</v>
      </c>
      <c r="X140" s="1" cm="1">
        <f t="array" ref="X140">Vega($E140,100,X$128,0.01,0.1,0)</f>
        <v>6.7367205338682622E-6</v>
      </c>
      <c r="Y140" s="1" cm="1">
        <f t="array" ref="Y140">Vega($E140,100,Y$128,0.01,0.1,0)</f>
        <v>1.2568601723670415E-3</v>
      </c>
      <c r="Z140" s="1" cm="1">
        <f t="array" ref="Z140">Vega($E140,100,Z$128,0.01,0.1,0)</f>
        <v>7.8303531906443527E-3</v>
      </c>
      <c r="AA140" s="1" cm="1">
        <f t="array" ref="AA140">Vega($E140,100,AA$128,0.01,0.1,0)</f>
        <v>2.0381249613524031E-2</v>
      </c>
      <c r="AB140" s="1" cm="1">
        <f t="array" ref="AB140">Vega($E140,100,AB$128,0.01,0.1,0)</f>
        <v>3.709184487135108E-2</v>
      </c>
      <c r="AC140" s="1" cm="1">
        <f t="array" ref="AC140">Vega($E140,100,AC$128,0.01,0.1,0)</f>
        <v>5.6204093069575231E-2</v>
      </c>
      <c r="AD140" s="1" cm="1">
        <f t="array" ref="AD140">Vega($E140,100,AD$128,0.01,0.1,0)</f>
        <v>7.6514510849957487E-2</v>
      </c>
      <c r="AE140" s="1" cm="1">
        <f t="array" ref="AE140">Vega($E140,100,AE$128,0.01,0.1,0)</f>
        <v>9.727348704819927E-2</v>
      </c>
      <c r="AF140" s="1" cm="1">
        <f t="array" ref="AF140">Vega($E140,100,AF$128,0.01,0.1,0)</f>
        <v>0.11803032678147582</v>
      </c>
      <c r="AG140" s="1" cm="1">
        <f t="array" ref="AG140">Vega($E140,100,AG$128,0.01,0.1,0)</f>
        <v>0.13852014243074295</v>
      </c>
      <c r="AH140" s="1" cm="1">
        <f t="array" ref="AH140">Vega($E140,100,AH$128,0.01,0.1,0)</f>
        <v>0.31566273567519076</v>
      </c>
      <c r="AI140" s="1" cm="1">
        <f t="array" ref="AI140">Vega($E140,100,AI$128,0.01,0.1,0)</f>
        <v>0.4498594691960292</v>
      </c>
      <c r="AJ140" s="1" cm="1">
        <f t="array" ref="AJ140">Vega($E140,100,AJ$128,0.01,0.1,0)</f>
        <v>0.55719510030463637</v>
      </c>
      <c r="AK140" s="1" cm="1">
        <f t="array" ref="AK140">Vega($E140,100,AK$128,0.01,0.1,0)</f>
        <v>0.6468217313827832</v>
      </c>
      <c r="AO140" s="2">
        <f t="shared" si="35"/>
        <v>115</v>
      </c>
      <c r="AP140" s="1" cm="1">
        <f t="array" ref="AP140">Vega($E140,100,AP$128,0.01,0.3,0)</f>
        <v>4.4925546239266936E-2</v>
      </c>
      <c r="AQ140" s="1" cm="1">
        <f t="array" ref="AQ140">Vega($E140,100,AQ$128,0.01,0.3,0)</f>
        <v>0.10912500779394539</v>
      </c>
      <c r="AR140" s="1" cm="1">
        <f t="array" ref="AR140">Vega($E140,100,AR$128,0.01,0.3,0)</f>
        <v>0.15987798073147633</v>
      </c>
      <c r="AS140" s="1" cm="1">
        <f t="array" ref="AS140">Vega($E140,100,AS$128,0.01,0.3,0)</f>
        <v>0.20174485287319668</v>
      </c>
      <c r="AT140" s="1" cm="1">
        <f t="array" ref="AT140">Vega($E140,100,AT$128,0.01,0.3,0)</f>
        <v>0.23773448946649214</v>
      </c>
      <c r="AU140" s="1" cm="1">
        <f t="array" ref="AU140">Vega($E140,100,AU$128,0.01,0.3,0)</f>
        <v>0.26956448745123346</v>
      </c>
      <c r="AV140" s="1" cm="1">
        <f t="array" ref="AV140">Vega($E140,100,AV$128,0.01,0.3,0)</f>
        <v>0.29828227300311033</v>
      </c>
      <c r="AW140" s="1" cm="1">
        <f t="array" ref="AW140">Vega($E140,100,AW$128,0.01,0.3,0)</f>
        <v>0.32457082698947876</v>
      </c>
      <c r="AX140" s="1" cm="1">
        <f t="array" ref="AX140">Vega($E140,100,AX$128,0.01,0.3,0)</f>
        <v>0.34890050929444233</v>
      </c>
      <c r="AY140" s="1" cm="1">
        <f t="array" ref="AY140">Vega($E140,100,AY$128,0.01,0.3,0)</f>
        <v>0.3716097203998498</v>
      </c>
      <c r="AZ140" s="1" cm="1">
        <f t="array" ref="AZ140">Vega($E140,100,AZ$128,0.01,0.3,0)</f>
        <v>0.5455921101145208</v>
      </c>
      <c r="BA140" s="1" cm="1">
        <f t="array" ref="BA140">Vega($E140,100,BA$128,0.01,0.3,0)</f>
        <v>0.66906761646336732</v>
      </c>
      <c r="BB140" s="1" cm="1">
        <f t="array" ref="BB140">Vega($E140,100,BB$128,0.01,0.3,0)</f>
        <v>0.76659899934282549</v>
      </c>
      <c r="BC140" s="1" cm="1">
        <f t="array" ref="BC140">Vega($E140,100,BC$128,0.01,0.3,0)</f>
        <v>0.84738574187741256</v>
      </c>
    </row>
    <row r="141" spans="3:55" x14ac:dyDescent="0.3">
      <c r="E141" s="2">
        <f t="shared" si="33"/>
        <v>120</v>
      </c>
      <c r="F141" s="1" cm="1">
        <f t="array" ref="F141">Vega($E141,100,F$128,0.01,0.2,0)</f>
        <v>2.0685250757256843E-3</v>
      </c>
      <c r="G141" s="1" cm="1">
        <f t="array" ref="G141">Vega($E141,100,G$128,0.01,0.2,0)</f>
        <v>2.3332711412433971E-2</v>
      </c>
      <c r="H141" s="1" cm="1">
        <f t="array" ref="H141">Vega($E141,100,H$128,0.01,0.2,0)</f>
        <v>5.7053408088958354E-2</v>
      </c>
      <c r="I141" s="1" cm="1">
        <f t="array" ref="I141">Vega($E141,100,I$128,0.01,0.2,0)</f>
        <v>9.3034075502440555E-2</v>
      </c>
      <c r="J141" s="1" cm="1">
        <f t="array" ref="J141">Vega($E141,100,J$128,0.01,0.2,0)</f>
        <v>0.12788990708238193</v>
      </c>
      <c r="K141" s="1" cm="1">
        <f t="array" ref="K141">Vega($E141,100,K$128,0.01,0.2,0)</f>
        <v>0.16072749659884919</v>
      </c>
      <c r="L141" s="1" cm="1">
        <f t="array" ref="L141">Vega($E141,100,L$128,0.01,0.2,0)</f>
        <v>0.19144349454685666</v>
      </c>
      <c r="M141" s="1" cm="1">
        <f t="array" ref="M141">Vega($E141,100,M$128,0.01,0.2,0)</f>
        <v>0.2201771367549985</v>
      </c>
      <c r="N141" s="1" cm="1">
        <f t="array" ref="N141">Vega($E141,100,N$128,0.01,0.2,0)</f>
        <v>0.24712869597243459</v>
      </c>
      <c r="O141" s="1" cm="1">
        <f t="array" ref="O141">Vega($E141,100,O$128,0.01,0.2,0)</f>
        <v>0.27249840451049834</v>
      </c>
      <c r="P141" s="1" cm="1">
        <f t="array" ref="P141">Vega($E141,100,P$128,0.01,0.2,0)</f>
        <v>0.46905195347320522</v>
      </c>
      <c r="Q141" s="1" cm="1">
        <f t="array" ref="Q141">Vega($E141,100,Q$128,0.01,0.2,0)</f>
        <v>0.60877484538879079</v>
      </c>
      <c r="R141" s="1" cm="1">
        <f t="array" ref="R141">Vega($E141,100,R$128,0.01,0.2,0)</f>
        <v>0.71957857026067118</v>
      </c>
      <c r="S141" s="1" cm="1">
        <f t="array" ref="S141">Vega($E141,100,S$128,0.01,0.2,0)</f>
        <v>0.81221348325030684</v>
      </c>
      <c r="W141" s="2">
        <f t="shared" si="34"/>
        <v>120</v>
      </c>
      <c r="X141" s="1" cm="1">
        <f t="array" ref="X141">Vega($E141,100,X$128,0.01,0.1,0)</f>
        <v>6.9599615016725039E-9</v>
      </c>
      <c r="Y141" s="1" cm="1">
        <f t="array" ref="Y141">Vega($E141,100,Y$128,0.01,0.1,0)</f>
        <v>3.9971023224294193E-5</v>
      </c>
      <c r="Z141" s="1" cm="1">
        <f t="array" ref="Z141">Vega($E141,100,Z$128,0.01,0.1,0)</f>
        <v>7.8044023598122943E-4</v>
      </c>
      <c r="AA141" s="1" cm="1">
        <f t="array" ref="AA141">Vega($E141,100,AA$128,0.01,0.1,0)</f>
        <v>3.5961608377988127E-3</v>
      </c>
      <c r="AB141" s="1" cm="1">
        <f t="array" ref="AB141">Vega($E141,100,AB$128,0.01,0.1,0)</f>
        <v>9.2196988092317338E-3</v>
      </c>
      <c r="AC141" s="1" cm="1">
        <f t="array" ref="AC141">Vega($E141,100,AC$128,0.01,0.1,0)</f>
        <v>1.7556027112756587E-2</v>
      </c>
      <c r="AD141" s="1" cm="1">
        <f t="array" ref="AD141">Vega($E141,100,AD$128,0.01,0.1,0)</f>
        <v>2.8136724172845171E-2</v>
      </c>
      <c r="AE141" s="1" cm="1">
        <f t="array" ref="AE141">Vega($E141,100,AE$128,0.01,0.1,0)</f>
        <v>4.042758351391075E-2</v>
      </c>
      <c r="AF141" s="1" cm="1">
        <f t="array" ref="AF141">Vega($E141,100,AF$128,0.01,0.1,0)</f>
        <v>5.3953369730765095E-2</v>
      </c>
      <c r="AG141" s="1" cm="1">
        <f t="array" ref="AG141">Vega($E141,100,AG$128,0.01,0.1,0)</f>
        <v>6.8329969593104792E-2</v>
      </c>
      <c r="AH141" s="1" cm="1">
        <f t="array" ref="AH141">Vega($E141,100,AH$128,0.01,0.1,0)</f>
        <v>0.21935705841356859</v>
      </c>
      <c r="AI141" s="1" cm="1">
        <f t="array" ref="AI141">Vega($E141,100,AI$128,0.01,0.1,0)</f>
        <v>0.35044120413266605</v>
      </c>
      <c r="AJ141" s="1" cm="1">
        <f t="array" ref="AJ141">Vega($E141,100,AJ$128,0.01,0.1,0)</f>
        <v>0.45956885215668852</v>
      </c>
      <c r="AK141" s="1" cm="1">
        <f t="array" ref="AK141">Vega($E141,100,AK$128,0.01,0.1,0)</f>
        <v>0.55209129543356328</v>
      </c>
      <c r="AO141" s="2">
        <f t="shared" si="35"/>
        <v>120</v>
      </c>
      <c r="AP141" s="1" cm="1">
        <f t="array" ref="AP141">Vega($E141,100,AP$128,0.01,0.3,0)</f>
        <v>2.1327896525065605E-2</v>
      </c>
      <c r="AQ141" s="1" cm="1">
        <f t="array" ref="AQ141">Vega($E141,100,AQ$128,0.01,0.3,0)</f>
        <v>7.5813336945485366E-2</v>
      </c>
      <c r="AR141" s="1" cm="1">
        <f t="array" ref="AR141">Vega($E141,100,AR$128,0.01,0.3,0)</f>
        <v>0.12610496950196404</v>
      </c>
      <c r="AS141" s="1" cm="1">
        <f t="array" ref="AS141">Vega($E141,100,AS$128,0.01,0.3,0)</f>
        <v>0.16955364143103457</v>
      </c>
      <c r="AT141" s="1" cm="1">
        <f t="array" ref="AT141">Vega($E141,100,AT$128,0.01,0.3,0)</f>
        <v>0.20755515123786619</v>
      </c>
      <c r="AU141" s="1" cm="1">
        <f t="array" ref="AU141">Vega($E141,100,AU$128,0.01,0.3,0)</f>
        <v>0.24139509792774025</v>
      </c>
      <c r="AV141" s="1" cm="1">
        <f t="array" ref="AV141">Vega($E141,100,AV$128,0.01,0.3,0)</f>
        <v>0.27199931861420884</v>
      </c>
      <c r="AW141" s="1" cm="1">
        <f t="array" ref="AW141">Vega($E141,100,AW$128,0.01,0.3,0)</f>
        <v>0.30002386856514912</v>
      </c>
      <c r="AX141" s="1" cm="1">
        <f t="array" ref="AX141">Vega($E141,100,AX$128,0.01,0.3,0)</f>
        <v>0.32594284085625297</v>
      </c>
      <c r="AY141" s="1" cm="1">
        <f t="array" ref="AY141">Vega($E141,100,AY$128,0.01,0.3,0)</f>
        <v>0.35010774918133875</v>
      </c>
      <c r="AZ141" s="1" cm="1">
        <f t="array" ref="AZ141">Vega($E141,100,AZ$128,0.01,0.3,0)</f>
        <v>0.53397313281358616</v>
      </c>
      <c r="BA141" s="1" cm="1">
        <f t="array" ref="BA141">Vega($E141,100,BA$128,0.01,0.3,0)</f>
        <v>0.66318326233497227</v>
      </c>
      <c r="BB141" s="1" cm="1">
        <f t="array" ref="BB141">Vega($E141,100,BB$128,0.01,0.3,0)</f>
        <v>0.76469439302491615</v>
      </c>
      <c r="BC141" s="1" cm="1">
        <f t="array" ref="BC141">Vega($E141,100,BC$128,0.01,0.3,0)</f>
        <v>0.84850513852620746</v>
      </c>
    </row>
    <row r="142" spans="3:55" x14ac:dyDescent="0.3">
      <c r="E142" s="2">
        <f t="shared" si="33"/>
        <v>125</v>
      </c>
      <c r="F142" s="1" cm="1">
        <f t="array" ref="F142">Vega($E142,100,F$128,0.01,0.2,0)</f>
        <v>2.6396322770578433E-4</v>
      </c>
      <c r="G142" s="1" cm="1">
        <f t="array" ref="G142">Vega($E142,100,G$128,0.01,0.2,0)</f>
        <v>8.3776579671249983E-3</v>
      </c>
      <c r="H142" s="1" cm="1">
        <f t="array" ref="H142">Vega($E142,100,H$128,0.01,0.2,0)</f>
        <v>2.8919931949563535E-2</v>
      </c>
      <c r="I142" s="1" cm="1">
        <f t="array" ref="I142">Vega($E142,100,I$128,0.01,0.2,0)</f>
        <v>5.6032093638267749E-2</v>
      </c>
      <c r="J142" s="1" cm="1">
        <f t="array" ref="J142">Vega($E142,100,J$128,0.01,0.2,0)</f>
        <v>8.5419800594485507E-2</v>
      </c>
      <c r="K142" s="1" cm="1">
        <f t="array" ref="K142">Vega($E142,100,K$128,0.01,0.2,0)</f>
        <v>0.11501755031066588</v>
      </c>
      <c r="L142" s="1" cm="1">
        <f t="array" ref="L142">Vega($E142,100,L$128,0.01,0.2,0)</f>
        <v>0.14391583547437295</v>
      </c>
      <c r="M142" s="1" cm="1">
        <f t="array" ref="M142">Vega($E142,100,M$128,0.01,0.2,0)</f>
        <v>0.17174563874605039</v>
      </c>
      <c r="N142" s="1" cm="1">
        <f t="array" ref="N142">Vega($E142,100,N$128,0.01,0.2,0)</f>
        <v>0.19838851664708951</v>
      </c>
      <c r="O142" s="1" cm="1">
        <f t="array" ref="O142">Vega($E142,100,O$128,0.01,0.2,0)</f>
        <v>0.22384180561821126</v>
      </c>
      <c r="P142" s="1" cm="1">
        <f t="array" ref="P142">Vega($E142,100,P$128,0.01,0.2,0)</f>
        <v>0.42729288686192152</v>
      </c>
      <c r="Q142" s="1" cm="1">
        <f t="array" ref="Q142">Vega($E142,100,Q$128,0.01,0.2,0)</f>
        <v>0.57403350128173736</v>
      </c>
      <c r="R142" s="1" cm="1">
        <f t="array" ref="R142">Vega($E142,100,R$128,0.01,0.2,0)</f>
        <v>0.69031398866778315</v>
      </c>
      <c r="S142" s="1" cm="1">
        <f t="array" ref="S142">Vega($E142,100,S$128,0.01,0.2,0)</f>
        <v>0.78728394585688899</v>
      </c>
      <c r="W142" s="2">
        <f t="shared" si="34"/>
        <v>125</v>
      </c>
      <c r="X142" s="1" cm="1">
        <f t="array" ref="X142">Vega($E142,100,X$128,0.01,0.1,0)</f>
        <v>1.735978122671637E-12</v>
      </c>
      <c r="Y142" s="1" cm="1">
        <f t="array" ref="Y142">Vega($E142,100,Y$128,0.01,0.1,0)</f>
        <v>6.2485864027086964E-7</v>
      </c>
      <c r="Z142" s="1" cm="1">
        <f t="array" ref="Z142">Vega($E142,100,Z$128,0.01,0.1,0)</f>
        <v>4.8462877771001532E-5</v>
      </c>
      <c r="AA142" s="1" cm="1">
        <f t="array" ref="AA142">Vega($E142,100,AA$128,0.01,0.1,0)</f>
        <v>4.4506677252410988E-4</v>
      </c>
      <c r="AB142" s="1" cm="1">
        <f t="array" ref="AB142">Vega($E142,100,AB$128,0.01,0.1,0)</f>
        <v>1.7258883967674482E-3</v>
      </c>
      <c r="AC142" s="1" cm="1">
        <f t="array" ref="AC142">Vega($E142,100,AC$128,0.01,0.1,0)</f>
        <v>4.3304080862080164E-3</v>
      </c>
      <c r="AD142" s="1" cm="1">
        <f t="array" ref="AD142">Vega($E142,100,AD$128,0.01,0.1,0)</f>
        <v>8.4518593867206771E-3</v>
      </c>
      <c r="AE142" s="1" cm="1">
        <f t="array" ref="AE142">Vega($E142,100,AE$128,0.01,0.1,0)</f>
        <v>1.4077924238848249E-2</v>
      </c>
      <c r="AF142" s="1" cm="1">
        <f t="array" ref="AF142">Vega($E142,100,AF$128,0.01,0.1,0)</f>
        <v>2.107651658597795E-2</v>
      </c>
      <c r="AG142" s="1" cm="1">
        <f t="array" ref="AG142">Vega($E142,100,AG$128,0.01,0.1,0)</f>
        <v>2.9263550912716752E-2</v>
      </c>
      <c r="AH142" s="1" cm="1">
        <f t="array" ref="AH142">Vega($E142,100,AH$128,0.01,0.1,0)</f>
        <v>0.14209451688873281</v>
      </c>
      <c r="AI142" s="1" cm="1">
        <f t="array" ref="AI142">Vega($E142,100,AI$128,0.01,0.1,0)</f>
        <v>0.26058185632494107</v>
      </c>
      <c r="AJ142" s="1" cm="1">
        <f t="array" ref="AJ142">Vega($E142,100,AJ$128,0.01,0.1,0)</f>
        <v>0.36612657044838837</v>
      </c>
      <c r="AK142" s="1" cm="1">
        <f t="array" ref="AK142">Vega($E142,100,AK$128,0.01,0.1,0)</f>
        <v>0.45841893964826841</v>
      </c>
      <c r="AO142" s="2">
        <f t="shared" si="35"/>
        <v>125</v>
      </c>
      <c r="AP142" s="1" cm="1">
        <f t="array" ref="AP142">Vega($E142,100,AP$128,0.01,0.3,0)</f>
        <v>8.6394717581212612E-3</v>
      </c>
      <c r="AQ142" s="1" cm="1">
        <f t="array" ref="AQ142">Vega($E142,100,AQ$128,0.01,0.3,0)</f>
        <v>4.8636515735941716E-2</v>
      </c>
      <c r="AR142" s="1" cm="1">
        <f t="array" ref="AR142">Vega($E142,100,AR$128,0.01,0.3,0)</f>
        <v>9.4299256777715695E-2</v>
      </c>
      <c r="AS142" s="1" cm="1">
        <f t="array" ref="AS142">Vega($E142,100,AS$128,0.01,0.3,0)</f>
        <v>0.13688718821788132</v>
      </c>
      <c r="AT142" s="1" cm="1">
        <f t="array" ref="AT142">Vega($E142,100,AT$128,0.01,0.3,0)</f>
        <v>0.17545145159162673</v>
      </c>
      <c r="AU142" s="1" cm="1">
        <f t="array" ref="AU142">Vega($E142,100,AU$128,0.01,0.3,0)</f>
        <v>0.21040872318836001</v>
      </c>
      <c r="AV142" s="1" cm="1">
        <f t="array" ref="AV142">Vega($E142,100,AV$128,0.01,0.3,0)</f>
        <v>0.24233244905687776</v>
      </c>
      <c r="AW142" s="1" cm="1">
        <f t="array" ref="AW142">Vega($E142,100,AW$128,0.01,0.3,0)</f>
        <v>0.27172581972973997</v>
      </c>
      <c r="AX142" s="1" cm="1">
        <f t="array" ref="AX142">Vega($E142,100,AX$128,0.01,0.3,0)</f>
        <v>0.29899446559453879</v>
      </c>
      <c r="AY142" s="1" cm="1">
        <f t="array" ref="AY142">Vega($E142,100,AY$128,0.01,0.3,0)</f>
        <v>0.32445965964527124</v>
      </c>
      <c r="AZ142" s="1" cm="1">
        <f t="array" ref="AZ142">Vega($E142,100,AZ$128,0.01,0.3,0)</f>
        <v>0.51813885189910813</v>
      </c>
      <c r="BA142" s="1" cm="1">
        <f t="array" ref="BA142">Vega($E142,100,BA$128,0.01,0.3,0)</f>
        <v>0.65345582257987467</v>
      </c>
      <c r="BB142" s="1" cm="1">
        <f t="array" ref="BB142">Vega($E142,100,BB$128,0.01,0.3,0)</f>
        <v>0.75927402432728763</v>
      </c>
      <c r="BC142" s="1" cm="1">
        <f t="array" ref="BC142">Vega($E142,100,BC$128,0.01,0.3,0)</f>
        <v>0.84637317449963978</v>
      </c>
    </row>
    <row r="143" spans="3:55" x14ac:dyDescent="0.3">
      <c r="E143" s="2">
        <f t="shared" si="33"/>
        <v>130</v>
      </c>
      <c r="F143" s="1" cm="1">
        <f t="array" ref="F143">Vega($E143,100,F$128,0.01,0.2,0)</f>
        <v>2.4664615253611668E-5</v>
      </c>
      <c r="G143" s="1" cm="1">
        <f t="array" ref="G143">Vega($E143,100,G$128,0.01,0.2,0)</f>
        <v>2.573458981873061E-3</v>
      </c>
      <c r="H143" s="1" cm="1">
        <f t="array" ref="H143">Vega($E143,100,H$128,0.01,0.2,0)</f>
        <v>1.3209299733984319E-2</v>
      </c>
      <c r="I143" s="1" cm="1">
        <f t="array" ref="I143">Vega($E143,100,I$128,0.01,0.2,0)</f>
        <v>3.120781264579725E-2</v>
      </c>
      <c r="J143" s="1" cm="1">
        <f t="array" ref="J143">Vega($E143,100,J$128,0.01,0.2,0)</f>
        <v>5.3588475727461456E-2</v>
      </c>
      <c r="K143" s="1" cm="1">
        <f t="array" ref="K143">Vega($E143,100,K$128,0.01,0.2,0)</f>
        <v>7.8115019427058494E-2</v>
      </c>
      <c r="L143" s="1" cm="1">
        <f t="array" ref="L143">Vega($E143,100,L$128,0.01,0.2,0)</f>
        <v>0.10344072895213412</v>
      </c>
      <c r="M143" s="1" cm="1">
        <f t="array" ref="M143">Vega($E143,100,M$128,0.01,0.2,0)</f>
        <v>0.12880363658795957</v>
      </c>
      <c r="N143" s="1" cm="1">
        <f t="array" ref="N143">Vega($E143,100,N$128,0.01,0.2,0)</f>
        <v>0.15378580943041786</v>
      </c>
      <c r="O143" s="1" cm="1">
        <f t="array" ref="O143">Vega($E143,100,O$128,0.01,0.2,0)</f>
        <v>0.17816680549913175</v>
      </c>
      <c r="P143" s="1" cm="1">
        <f t="array" ref="P143">Vega($E143,100,P$128,0.01,0.2,0)</f>
        <v>0.38308718744736653</v>
      </c>
      <c r="Q143" s="1" cm="1">
        <f t="array" ref="Q143">Vega($E143,100,Q$128,0.01,0.2,0)</f>
        <v>0.53547351271025068</v>
      </c>
      <c r="R143" s="1" cm="1">
        <f t="array" ref="R143">Vega($E143,100,R$128,0.01,0.2,0)</f>
        <v>0.6568433742701324</v>
      </c>
      <c r="S143" s="1" cm="1">
        <f t="array" ref="S143">Vega($E143,100,S$128,0.01,0.2,0)</f>
        <v>0.7580802493833807</v>
      </c>
      <c r="W143" s="2">
        <f t="shared" si="34"/>
        <v>130</v>
      </c>
      <c r="X143" s="1" cm="1">
        <f t="array" ref="X143">Vega($E143,100,X$128,0.01,0.1,0)</f>
        <v>1.247722190230733E-16</v>
      </c>
      <c r="Y143" s="1" cm="1">
        <f t="array" ref="Y143">Vega($E143,100,Y$128,0.01,0.1,0)</f>
        <v>5.2457823818334011E-9</v>
      </c>
      <c r="Z143" s="1" cm="1">
        <f t="array" ref="Z143">Vega($E143,100,Z$128,0.01,0.1,0)</f>
        <v>1.9887917206308642E-6</v>
      </c>
      <c r="AA143" s="1" cm="1">
        <f t="array" ref="AA143">Vega($E143,100,AA$128,0.01,0.1,0)</f>
        <v>4.038137314557552E-5</v>
      </c>
      <c r="AB143" s="1" cm="1">
        <f t="array" ref="AB143">Vega($E143,100,AB$128,0.01,0.1,0)</f>
        <v>2.5206590353609039E-4</v>
      </c>
      <c r="AC143" s="1" cm="1">
        <f t="array" ref="AC143">Vega($E143,100,AC$128,0.01,0.1,0)</f>
        <v>8.6868143918896585E-4</v>
      </c>
      <c r="AD143" s="1" cm="1">
        <f t="array" ref="AD143">Vega($E143,100,AD$128,0.01,0.1,0)</f>
        <v>2.1268370180966031E-3</v>
      </c>
      <c r="AE143" s="1" cm="1">
        <f t="array" ref="AE143">Vega($E143,100,AE$128,0.01,0.1,0)</f>
        <v>4.1991195969349748E-3</v>
      </c>
      <c r="AF143" s="1" cm="1">
        <f t="array" ref="AF143">Vega($E143,100,AF$128,0.01,0.1,0)</f>
        <v>7.1754270940931394E-3</v>
      </c>
      <c r="AG143" s="1" cm="1">
        <f t="array" ref="AG143">Vega($E143,100,AG$128,0.01,0.1,0)</f>
        <v>1.1074379087941739E-2</v>
      </c>
      <c r="AH143" s="1" cm="1">
        <f t="array" ref="AH143">Vega($E143,100,AH$128,0.01,0.1,0)</f>
        <v>8.6559585117731042E-2</v>
      </c>
      <c r="AI143" s="1" cm="1">
        <f t="array" ref="AI143">Vega($E143,100,AI$128,0.01,0.1,0)</f>
        <v>0.18603608061799032</v>
      </c>
      <c r="AJ143" s="1" cm="1">
        <f t="array" ref="AJ143">Vega($E143,100,AJ$128,0.01,0.1,0)</f>
        <v>0.28297093897443343</v>
      </c>
      <c r="AK143" s="1" cm="1">
        <f t="array" ref="AK143">Vega($E143,100,AK$128,0.01,0.1,0)</f>
        <v>0.37157602890379682</v>
      </c>
      <c r="AO143" s="2">
        <f t="shared" si="35"/>
        <v>130</v>
      </c>
      <c r="AP143" s="1" cm="1">
        <f t="array" ref="AP143">Vega($E143,100,AP$128,0.01,0.3,0)</f>
        <v>3.0456280025937246E-3</v>
      </c>
      <c r="AQ143" s="1" cm="1">
        <f t="array" ref="AQ143">Vega($E143,100,AQ$128,0.01,0.3,0)</f>
        <v>2.909841456749146E-2</v>
      </c>
      <c r="AR143" s="1" cm="1">
        <f t="array" ref="AR143">Vega($E143,100,AR$128,0.01,0.3,0)</f>
        <v>6.7295735384344552E-2</v>
      </c>
      <c r="AS143" s="1" cm="1">
        <f t="array" ref="AS143">Vega($E143,100,AS$128,0.01,0.3,0)</f>
        <v>0.10669112068562892</v>
      </c>
      <c r="AT143" s="1" cm="1">
        <f t="array" ref="AT143">Vega($E143,100,AT$128,0.01,0.3,0)</f>
        <v>0.1441763943815362</v>
      </c>
      <c r="AU143" s="1" cm="1">
        <f t="array" ref="AU143">Vega($E143,100,AU$128,0.01,0.3,0)</f>
        <v>0.17910817795815687</v>
      </c>
      <c r="AV143" s="1" cm="1">
        <f t="array" ref="AV143">Vega($E143,100,AV$128,0.01,0.3,0)</f>
        <v>0.21154470571896189</v>
      </c>
      <c r="AW143" s="1" cm="1">
        <f t="array" ref="AW143">Vega($E143,100,AW$128,0.01,0.3,0)</f>
        <v>0.24172728981926181</v>
      </c>
      <c r="AX143" s="1" cm="1">
        <f t="array" ref="AX143">Vega($E143,100,AX$128,0.01,0.3,0)</f>
        <v>0.26992241961759361</v>
      </c>
      <c r="AY143" s="1" cm="1">
        <f t="array" ref="AY143">Vega($E143,100,AY$128,0.01,0.3,0)</f>
        <v>0.29637484768584293</v>
      </c>
      <c r="AZ143" s="1" cm="1">
        <f t="array" ref="AZ143">Vega($E143,100,AZ$128,0.01,0.3,0)</f>
        <v>0.49899766616306857</v>
      </c>
      <c r="BA143" s="1" cm="1">
        <f t="array" ref="BA143">Vega($E143,100,BA$128,0.01,0.3,0)</f>
        <v>0.64050987256156355</v>
      </c>
      <c r="BB143" s="1" cm="1">
        <f t="array" ref="BB143">Vega($E143,100,BB$128,0.01,0.3,0)</f>
        <v>0.7508216007760149</v>
      </c>
      <c r="BC143" s="1" cm="1">
        <f t="array" ref="BC143">Vega($E143,100,BC$128,0.01,0.3,0)</f>
        <v>0.84138986871529853</v>
      </c>
    </row>
    <row r="144" spans="3:55" x14ac:dyDescent="0.3">
      <c r="E144" s="2">
        <f t="shared" si="33"/>
        <v>135</v>
      </c>
      <c r="F144" s="1" cm="1">
        <f t="array" ref="F144">Vega($E144,100,F$128,0.01,0.2,0)</f>
        <v>1.7530109023145043E-6</v>
      </c>
      <c r="G144" s="1" cm="1">
        <f t="array" ref="G144">Vega($E144,100,G$128,0.01,0.2,0)</f>
        <v>6.89320490541164E-4</v>
      </c>
      <c r="H144" s="1" cm="1">
        <f t="array" ref="H144">Vega($E144,100,H$128,0.01,0.2,0)</f>
        <v>5.5061531676659243E-3</v>
      </c>
      <c r="I144" s="1" cm="1">
        <f t="array" ref="I144">Vega($E144,100,I$128,0.01,0.2,0)</f>
        <v>1.6227966445448345E-2</v>
      </c>
      <c r="J144" s="1" cm="1">
        <f t="array" ref="J144">Vega($E144,100,J$128,0.01,0.2,0)</f>
        <v>3.1819367439192572E-2</v>
      </c>
      <c r="K144" s="1" cm="1">
        <f t="array" ref="K144">Vega($E144,100,K$128,0.01,0.2,0)</f>
        <v>5.0671947233936809E-2</v>
      </c>
      <c r="L144" s="1" cm="1">
        <f t="array" ref="L144">Vega($E144,100,L$128,0.01,0.2,0)</f>
        <v>7.147635788231986E-2</v>
      </c>
      <c r="M144" s="1" cm="1">
        <f t="array" ref="M144">Vega($E144,100,M$128,0.01,0.2,0)</f>
        <v>9.3320554875542944E-2</v>
      </c>
      <c r="N144" s="1" cm="1">
        <f t="array" ref="N144">Vega($E144,100,N$128,0.01,0.2,0)</f>
        <v>0.11560345928134991</v>
      </c>
      <c r="O144" s="1" cm="1">
        <f t="array" ref="O144">Vega($E144,100,O$128,0.01,0.2,0)</f>
        <v>0.1379385524327657</v>
      </c>
      <c r="P144" s="1" cm="1">
        <f t="array" ref="P144">Vega($E144,100,P$128,0.01,0.2,0)</f>
        <v>0.33866932678137185</v>
      </c>
      <c r="Q144" s="1" cm="1">
        <f t="array" ref="Q144">Vega($E144,100,Q$128,0.01,0.2,0)</f>
        <v>0.49479201943433782</v>
      </c>
      <c r="R144" s="1" cm="1">
        <f t="array" ref="R144">Vega($E144,100,R$128,0.01,0.2,0)</f>
        <v>0.62051137062691963</v>
      </c>
      <c r="S144" s="1" cm="1">
        <f t="array" ref="S144">Vega($E144,100,S$128,0.01,0.2,0)</f>
        <v>0.72571322803396565</v>
      </c>
      <c r="W144" s="2">
        <f t="shared" si="34"/>
        <v>135</v>
      </c>
      <c r="X144" s="1" cm="1">
        <f t="array" ref="X144">Vega($E144,100,X$128,0.01,0.1,0)</f>
        <v>3.0086617304103606E-21</v>
      </c>
      <c r="Y144" s="1" cm="1">
        <f t="array" ref="Y144">Vega($E144,100,Y$128,0.01,0.1,0)</f>
        <v>2.5517633623765736E-11</v>
      </c>
      <c r="Z144" s="1" cm="1">
        <f t="array" ref="Z144">Vega($E144,100,Z$128,0.01,0.1,0)</f>
        <v>5.673847415003263E-8</v>
      </c>
      <c r="AA144" s="1" cm="1">
        <f t="array" ref="AA144">Vega($E144,100,AA$128,0.01,0.1,0)</f>
        <v>2.7899636340967845E-6</v>
      </c>
      <c r="AB144" s="1" cm="1">
        <f t="array" ref="AB144">Vega($E144,100,AB$128,0.01,0.1,0)</f>
        <v>2.9607997104108362E-5</v>
      </c>
      <c r="AC144" s="1" cm="1">
        <f t="array" ref="AC144">Vega($E144,100,AC$128,0.01,0.1,0)</f>
        <v>1.4534734818581388E-4</v>
      </c>
      <c r="AD144" s="1" cm="1">
        <f t="array" ref="AD144">Vega($E144,100,AD$128,0.01,0.1,0)</f>
        <v>4.5817559828766953E-4</v>
      </c>
      <c r="AE144" s="1" cm="1">
        <f t="array" ref="AE144">Vega($E144,100,AE$128,0.01,0.1,0)</f>
        <v>1.0933755800638383E-3</v>
      </c>
      <c r="AF144" s="1" cm="1">
        <f t="array" ref="AF144">Vega($E144,100,AF$128,0.01,0.1,0)</f>
        <v>2.1651121661498732E-3</v>
      </c>
      <c r="AG144" s="1" cm="1">
        <f t="array" ref="AG144">Vega($E144,100,AG$128,0.01,0.1,0)</f>
        <v>3.7598389688949037E-3</v>
      </c>
      <c r="AH144" s="1" cm="1">
        <f t="array" ref="AH144">Vega($E144,100,AH$128,0.01,0.1,0)</f>
        <v>4.9962307922047984E-2</v>
      </c>
      <c r="AI144" s="1" cm="1">
        <f t="array" ref="AI144">Vega($E144,100,AI$128,0.01,0.1,0)</f>
        <v>0.12815935968047906</v>
      </c>
      <c r="AJ144" s="1" cm="1">
        <f t="array" ref="AJ144">Vega($E144,100,AJ$128,0.01,0.1,0)</f>
        <v>0.21296483325512211</v>
      </c>
      <c r="AK144" s="1" cm="1">
        <f t="array" ref="AK144">Vega($E144,100,AK$128,0.01,0.1,0)</f>
        <v>0.29489098382107914</v>
      </c>
      <c r="AO144" s="2">
        <f t="shared" si="35"/>
        <v>135</v>
      </c>
      <c r="AP144" s="1" cm="1">
        <f t="array" ref="AP144">Vega($E144,100,AP$128,0.01,0.3,0)</f>
        <v>9.503394546450289E-4</v>
      </c>
      <c r="AQ144" s="1" cm="1">
        <f t="array" ref="AQ144">Vega($E144,100,AQ$128,0.01,0.3,0)</f>
        <v>1.6374094930515438E-2</v>
      </c>
      <c r="AR144" s="1" cm="1">
        <f t="array" ref="AR144">Vega($E144,100,AR$128,0.01,0.3,0)</f>
        <v>4.6093272696781797E-2</v>
      </c>
      <c r="AS144" s="1" cm="1">
        <f t="array" ref="AS144">Vega($E144,100,AS$128,0.01,0.3,0)</f>
        <v>8.062306246902104E-2</v>
      </c>
      <c r="AT144" s="1" cm="1">
        <f t="array" ref="AT144">Vega($E144,100,AT$128,0.01,0.3,0)</f>
        <v>0.11556698455080515</v>
      </c>
      <c r="AU144" s="1" cm="1">
        <f t="array" ref="AU144">Vega($E144,100,AU$128,0.01,0.3,0)</f>
        <v>0.14932325285649345</v>
      </c>
      <c r="AV144" s="1" cm="1">
        <f t="array" ref="AV144">Vega($E144,100,AV$128,0.01,0.3,0)</f>
        <v>0.18138808755412689</v>
      </c>
      <c r="AW144" s="1" cm="1">
        <f t="array" ref="AW144">Vega($E144,100,AW$128,0.01,0.3,0)</f>
        <v>0.2116792144510537</v>
      </c>
      <c r="AX144" s="1" cm="1">
        <f t="array" ref="AX144">Vega($E144,100,AX$128,0.01,0.3,0)</f>
        <v>0.24027301202528756</v>
      </c>
      <c r="AY144" s="1" cm="1">
        <f t="array" ref="AY144">Vega($E144,100,AY$128,0.01,0.3,0)</f>
        <v>0.26729952054680556</v>
      </c>
      <c r="AZ144" s="1" cm="1">
        <f t="array" ref="AZ144">Vega($E144,100,AZ$128,0.01,0.3,0)</f>
        <v>0.47737971160509779</v>
      </c>
      <c r="BA144" s="1" cm="1">
        <f t="array" ref="BA144">Vega($E144,100,BA$128,0.01,0.3,0)</f>
        <v>0.62492438861032051</v>
      </c>
      <c r="BB144" s="1" cm="1">
        <f t="array" ref="BB144">Vega($E144,100,BB$128,0.01,0.3,0)</f>
        <v>0.73978667680739474</v>
      </c>
      <c r="BC144" s="1" cm="1">
        <f t="array" ref="BC144">Vega($E144,100,BC$128,0.01,0.3,0)</f>
        <v>0.83392671372802984</v>
      </c>
    </row>
    <row r="145" spans="5:55" x14ac:dyDescent="0.3">
      <c r="E145" s="2">
        <f t="shared" si="33"/>
        <v>140</v>
      </c>
      <c r="F145" s="1" cm="1">
        <f t="array" ref="F145">Vega($E145,100,F$128,0.01,0.2,0)</f>
        <v>9.7937749170318701E-8</v>
      </c>
      <c r="G145" s="1" cm="1">
        <f t="array" ref="G145">Vega($E145,100,G$128,0.01,0.2,0)</f>
        <v>1.6367344465552199E-4</v>
      </c>
      <c r="H145" s="1" cm="1">
        <f t="array" ref="H145">Vega($E145,100,H$128,0.01,0.2,0)</f>
        <v>2.1177230646577455E-3</v>
      </c>
      <c r="I145" s="1" cm="1">
        <f t="array" ref="I145">Vega($E145,100,I$128,0.01,0.2,0)</f>
        <v>7.9435914841497809E-3</v>
      </c>
      <c r="J145" s="1" cm="1">
        <f t="array" ref="J145">Vega($E145,100,J$128,0.01,0.2,0)</f>
        <v>1.8000455519786449E-2</v>
      </c>
      <c r="K145" s="1" cm="1">
        <f t="array" ref="K145">Vega($E145,100,K$128,0.01,0.2,0)</f>
        <v>3.1568381504252209E-2</v>
      </c>
      <c r="L145" s="1" cm="1">
        <f t="array" ref="L145">Vega($E145,100,L$128,0.01,0.2,0)</f>
        <v>4.7705729750376964E-2</v>
      </c>
      <c r="M145" s="1" cm="1">
        <f t="array" ref="M145">Vega($E145,100,M$128,0.01,0.2,0)</f>
        <v>6.5588544899120957E-2</v>
      </c>
      <c r="N145" s="1" cm="1">
        <f t="array" ref="N145">Vega($E145,100,N$128,0.01,0.2,0)</f>
        <v>8.4581782621465387E-2</v>
      </c>
      <c r="O145" s="1" cm="1">
        <f t="array" ref="O145">Vega($E145,100,O$128,0.01,0.2,0)</f>
        <v>0.10422116521119737</v>
      </c>
      <c r="P145" s="1" cm="1">
        <f t="array" ref="P145">Vega($E145,100,P$128,0.01,0.2,0)</f>
        <v>0.2957231189511369</v>
      </c>
      <c r="Q145" s="1" cm="1">
        <f t="array" ref="Q145">Vega($E145,100,Q$128,0.01,0.2,0)</f>
        <v>0.45339683503257289</v>
      </c>
      <c r="R145" s="1" cm="1">
        <f t="array" ref="R145">Vega($E145,100,R$128,0.01,0.2,0)</f>
        <v>0.58247693709726134</v>
      </c>
      <c r="S145" s="1" cm="1">
        <f t="array" ref="S145">Vega($E145,100,S$128,0.01,0.2,0)</f>
        <v>0.69115896371880403</v>
      </c>
      <c r="W145" s="2">
        <f t="shared" si="34"/>
        <v>140</v>
      </c>
      <c r="X145" s="1" cm="1">
        <f t="array" ref="X145">Vega($E145,100,X$128,0.01,0.1,0)</f>
        <v>2.7755174863825503E-26</v>
      </c>
      <c r="Y145" s="1" cm="1">
        <f t="array" ref="Y145">Vega($E145,100,Y$128,0.01,0.1,0)</f>
        <v>7.6802814218934899E-14</v>
      </c>
      <c r="Z145" s="1" cm="1">
        <f t="array" ref="Z145">Vega($E145,100,Z$128,0.01,0.1,0)</f>
        <v>1.1756275778131234E-9</v>
      </c>
      <c r="AA145" s="1" cm="1">
        <f t="array" ref="AA145">Vega($E145,100,AA$128,0.01,0.1,0)</f>
        <v>1.5167651578010655E-7</v>
      </c>
      <c r="AB145" s="1" cm="1">
        <f t="array" ref="AB145">Vega($E145,100,AB$128,0.01,0.1,0)</f>
        <v>2.8713454403848715E-6</v>
      </c>
      <c r="AC145" s="1" cm="1">
        <f t="array" ref="AC145">Vega($E145,100,AC$128,0.01,0.1,0)</f>
        <v>2.0732639788992961E-5</v>
      </c>
      <c r="AD145" s="1" cm="1">
        <f t="array" ref="AD145">Vega($E145,100,AD$128,0.01,0.1,0)</f>
        <v>8.6094036586961643E-5</v>
      </c>
      <c r="AE145" s="1" cm="1">
        <f t="array" ref="AE145">Vega($E145,100,AE$128,0.01,0.1,0)</f>
        <v>2.5262754622349385E-4</v>
      </c>
      <c r="AF145" s="1" cm="1">
        <f t="array" ref="AF145">Vega($E145,100,AF$128,0.01,0.1,0)</f>
        <v>5.8750695962988023E-4</v>
      </c>
      <c r="AG145" s="1" cm="1">
        <f t="array" ref="AG145">Vega($E145,100,AG$128,0.01,0.1,0)</f>
        <v>1.160269524252158E-3</v>
      </c>
      <c r="AH145" s="1" cm="1">
        <f t="array" ref="AH145">Vega($E145,100,AH$128,0.01,0.1,0)</f>
        <v>2.7503549451983314E-2</v>
      </c>
      <c r="AI145" s="1" cm="1">
        <f t="array" ref="AI145">Vega($E145,100,AI$128,0.01,0.1,0)</f>
        <v>8.5562234911034277E-2</v>
      </c>
      <c r="AJ145" s="1" cm="1">
        <f t="array" ref="AJ145">Vega($E145,100,AJ$128,0.01,0.1,0)</f>
        <v>0.15657861761389585</v>
      </c>
      <c r="AK145" s="1" cm="1">
        <f t="array" ref="AK145">Vega($E145,100,AK$128,0.01,0.1,0)</f>
        <v>0.22973211747964489</v>
      </c>
      <c r="AO145" s="2">
        <f t="shared" si="35"/>
        <v>140</v>
      </c>
      <c r="AP145" s="1" cm="1">
        <f t="array" ref="AP145">Vega($E145,100,AP$128,0.01,0.3,0)</f>
        <v>2.6634878733576307E-4</v>
      </c>
      <c r="AQ145" s="1" cm="1">
        <f t="array" ref="AQ145">Vega($E145,100,AQ$128,0.01,0.3,0)</f>
        <v>8.7300030082944971E-3</v>
      </c>
      <c r="AR145" s="1" cm="1">
        <f t="array" ref="AR145">Vega($E145,100,AR$128,0.01,0.3,0)</f>
        <v>3.0450166811719016E-2</v>
      </c>
      <c r="AS145" s="1" cm="1">
        <f t="array" ref="AS145">Vega($E145,100,AS$128,0.01,0.3,0)</f>
        <v>5.9286927376384899E-2</v>
      </c>
      <c r="AT145" s="1" cm="1">
        <f t="array" ref="AT145">Vega($E145,100,AT$128,0.01,0.3,0)</f>
        <v>9.0627906162675992E-2</v>
      </c>
      <c r="AU145" s="1" cm="1">
        <f t="array" ref="AU145">Vega($E145,100,AU$128,0.01,0.3,0)</f>
        <v>0.12222910034137176</v>
      </c>
      <c r="AV145" s="1" cm="1">
        <f t="array" ref="AV145">Vega($E145,100,AV$128,0.01,0.3,0)</f>
        <v>0.15309296235130823</v>
      </c>
      <c r="AW145" s="1" cm="1">
        <f t="array" ref="AW145">Vega($E145,100,AW$128,0.01,0.3,0)</f>
        <v>0.18280966330758441</v>
      </c>
      <c r="AX145" s="1" cm="1">
        <f t="array" ref="AX145">Vega($E145,100,AX$128,0.01,0.3,0)</f>
        <v>0.2112437392784553</v>
      </c>
      <c r="AY145" s="1" cm="1">
        <f t="array" ref="AY145">Vega($E145,100,AY$128,0.01,0.3,0)</f>
        <v>0.23838743989858852</v>
      </c>
      <c r="AZ145" s="1" cm="1">
        <f t="array" ref="AZ145">Vega($E145,100,AZ$128,0.01,0.3,0)</f>
        <v>0.45402279742050045</v>
      </c>
      <c r="BA145" s="1" cm="1">
        <f t="array" ref="BA145">Vega($E145,100,BA$128,0.01,0.3,0)</f>
        <v>0.6072264500392125</v>
      </c>
      <c r="BB145" s="1" cm="1">
        <f t="array" ref="BB145">Vega($E145,100,BB$128,0.01,0.3,0)</f>
        <v>0.72658171509209246</v>
      </c>
      <c r="BC145" s="1" cm="1">
        <f t="array" ref="BC145">Vega($E145,100,BC$128,0.01,0.3,0)</f>
        <v>0.82432542675759601</v>
      </c>
    </row>
    <row r="168" spans="3:55" x14ac:dyDescent="0.3">
      <c r="C168" t="s">
        <v>13</v>
      </c>
      <c r="E168" s="1"/>
      <c r="F168" s="2">
        <v>0.1</v>
      </c>
      <c r="G168" s="2">
        <f>F168+0.1</f>
        <v>0.2</v>
      </c>
      <c r="H168" s="2">
        <f t="shared" ref="H168" si="36">G168+0.1</f>
        <v>0.30000000000000004</v>
      </c>
      <c r="I168" s="2">
        <f t="shared" ref="I168" si="37">H168+0.1</f>
        <v>0.4</v>
      </c>
      <c r="J168" s="2">
        <f>I168+0.1</f>
        <v>0.5</v>
      </c>
      <c r="K168" s="2">
        <f t="shared" ref="K168" si="38">J168+0.1</f>
        <v>0.6</v>
      </c>
      <c r="L168" s="2">
        <f t="shared" ref="L168" si="39">K168+0.1</f>
        <v>0.7</v>
      </c>
      <c r="M168" s="2">
        <f t="shared" ref="M168" si="40">L168+0.1</f>
        <v>0.79999999999999993</v>
      </c>
      <c r="N168" s="2">
        <f t="shared" ref="N168" si="41">M168+0.1</f>
        <v>0.89999999999999991</v>
      </c>
      <c r="O168" s="2">
        <f>N168+0.1</f>
        <v>0.99999999999999989</v>
      </c>
      <c r="P168" s="2">
        <f>O168+1</f>
        <v>2</v>
      </c>
      <c r="Q168" s="2">
        <f t="shared" ref="Q168" si="42">P168+1</f>
        <v>3</v>
      </c>
      <c r="R168" s="2">
        <f t="shared" ref="R168" si="43">Q168+1</f>
        <v>4</v>
      </c>
      <c r="S168" s="2">
        <f t="shared" ref="S168" si="44">R168+1</f>
        <v>5</v>
      </c>
      <c r="U168" t="s">
        <v>13</v>
      </c>
      <c r="W168" s="1"/>
      <c r="X168" s="2">
        <v>0.1</v>
      </c>
      <c r="Y168" s="2">
        <f>X168+0.1</f>
        <v>0.2</v>
      </c>
      <c r="Z168" s="2">
        <f t="shared" ref="Z168" si="45">Y168+0.1</f>
        <v>0.30000000000000004</v>
      </c>
      <c r="AA168" s="2">
        <f t="shared" ref="AA168" si="46">Z168+0.1</f>
        <v>0.4</v>
      </c>
      <c r="AB168" s="2">
        <f t="shared" ref="AB168" si="47">AA168+0.1</f>
        <v>0.5</v>
      </c>
      <c r="AC168" s="2">
        <f t="shared" ref="AC168" si="48">AB168+0.1</f>
        <v>0.6</v>
      </c>
      <c r="AD168" s="2">
        <f t="shared" ref="AD168" si="49">AC168+0.1</f>
        <v>0.7</v>
      </c>
      <c r="AE168" s="2">
        <f t="shared" ref="AE168" si="50">AD168+0.1</f>
        <v>0.79999999999999993</v>
      </c>
      <c r="AF168" s="2">
        <f t="shared" ref="AF168" si="51">AE168+0.1</f>
        <v>0.89999999999999991</v>
      </c>
      <c r="AG168" s="2">
        <f>AF168+0.1</f>
        <v>0.99999999999999989</v>
      </c>
      <c r="AH168" s="2">
        <f>AG168+1</f>
        <v>2</v>
      </c>
      <c r="AI168" s="2">
        <f t="shared" ref="AI168" si="52">AH168+1</f>
        <v>3</v>
      </c>
      <c r="AJ168" s="2">
        <f t="shared" ref="AJ168" si="53">AI168+1</f>
        <v>4</v>
      </c>
      <c r="AK168" s="2">
        <f t="shared" ref="AK168" si="54">AJ168+1</f>
        <v>5</v>
      </c>
      <c r="AM168" t="s">
        <v>14</v>
      </c>
      <c r="AO168" s="1"/>
      <c r="AP168" s="2">
        <v>0.1</v>
      </c>
      <c r="AQ168" s="2">
        <f>AP168+0.1</f>
        <v>0.2</v>
      </c>
      <c r="AR168" s="2">
        <f t="shared" ref="AR168" si="55">AQ168+0.1</f>
        <v>0.30000000000000004</v>
      </c>
      <c r="AS168" s="2">
        <f t="shared" ref="AS168" si="56">AR168+0.1</f>
        <v>0.4</v>
      </c>
      <c r="AT168" s="2">
        <f t="shared" ref="AT168" si="57">AS168+0.1</f>
        <v>0.5</v>
      </c>
      <c r="AU168" s="2">
        <f t="shared" ref="AU168" si="58">AT168+0.1</f>
        <v>0.6</v>
      </c>
      <c r="AV168" s="2">
        <f t="shared" ref="AV168" si="59">AU168+0.1</f>
        <v>0.7</v>
      </c>
      <c r="AW168" s="2">
        <f t="shared" ref="AW168" si="60">AV168+0.1</f>
        <v>0.79999999999999993</v>
      </c>
      <c r="AX168" s="2">
        <f t="shared" ref="AX168" si="61">AW168+0.1</f>
        <v>0.89999999999999991</v>
      </c>
      <c r="AY168" s="2">
        <f>AX168+0.1</f>
        <v>0.99999999999999989</v>
      </c>
      <c r="AZ168" s="2">
        <f>AY168+1</f>
        <v>2</v>
      </c>
      <c r="BA168" s="2">
        <f t="shared" ref="BA168" si="62">AZ168+1</f>
        <v>3</v>
      </c>
      <c r="BB168" s="2">
        <f t="shared" ref="BB168" si="63">BA168+1</f>
        <v>4</v>
      </c>
      <c r="BC168" s="2">
        <f t="shared" ref="BC168" si="64">BB168+1</f>
        <v>5</v>
      </c>
    </row>
    <row r="169" spans="3:55" x14ac:dyDescent="0.3">
      <c r="C169" t="s">
        <v>6</v>
      </c>
      <c r="E169" s="2">
        <v>60</v>
      </c>
      <c r="F169" s="1" cm="1">
        <f t="array" ref="F169">GreekGamma($E169,100,F$168,0.01,0.2,0)</f>
        <v>1.0516556577990479E-15</v>
      </c>
      <c r="G169" s="1" cm="1">
        <f t="array" ref="G169">GreekGamma($E169,100,G$168,0.01,0.2,0)</f>
        <v>8.9897290546272933E-9</v>
      </c>
      <c r="H169" s="1" cm="1">
        <f t="array" ref="H169">GreekGamma($E169,100,H$168,0.01,0.2,0)</f>
        <v>1.6833377571562756E-6</v>
      </c>
      <c r="I169" s="1" cm="1">
        <f t="array" ref="I169">GreekGamma($E169,100,I$168,0.01,0.2,0)</f>
        <v>2.2064431982817092E-5</v>
      </c>
      <c r="J169" s="1" cm="1">
        <f t="array" ref="J169">GreekGamma($E169,100,J$168,0.01,0.2,0)</f>
        <v>1.0070170546498096E-4</v>
      </c>
      <c r="K169" s="1" cm="1">
        <f t="array" ref="K169">GreekGamma($E169,100,K$168,0.01,0.2,0)</f>
        <v>2.7236380704730449E-4</v>
      </c>
      <c r="L169" s="1" cm="1">
        <f t="array" ref="L169">GreekGamma($E169,100,L$168,0.01,0.2,0)</f>
        <v>5.476048159651799E-4</v>
      </c>
      <c r="M169" s="1" cm="1">
        <f t="array" ref="M169">GreekGamma($E169,100,M$168,0.01,0.2,0)</f>
        <v>9.1609936771568209E-4</v>
      </c>
      <c r="N169" s="1" cm="1">
        <f t="array" ref="N169">GreekGamma($E169,100,N$168,0.01,0.2,0)</f>
        <v>1.3571389458380512E-3</v>
      </c>
      <c r="O169" s="1" cm="1">
        <f t="array" ref="O169">GreekGamma($E169,100,O$168,0.01,0.2,0)</f>
        <v>1.8477969471792114E-3</v>
      </c>
      <c r="P169" s="1" cm="1">
        <f t="array" ref="P169">GreekGamma($E169,100,P$168,0.01,0.2,0)</f>
        <v>6.5999568536451924E-3</v>
      </c>
      <c r="Q169" s="1" cm="1">
        <f t="array" ref="Q169">GreekGamma($E169,100,Q$168,0.01,0.2,0)</f>
        <v>9.1771016304238069E-3</v>
      </c>
      <c r="R169" s="1" cm="1">
        <f t="array" ref="R169">GreekGamma($E169,100,R$168,0.01,0.2,0)</f>
        <v>1.0313315500073911E-2</v>
      </c>
      <c r="S169" s="1" cm="1">
        <f t="array" ref="S169">GreekGamma($E169,100,S$168,0.01,0.2,0)</f>
        <v>1.073708151996329E-2</v>
      </c>
      <c r="U169" t="s">
        <v>8</v>
      </c>
      <c r="W169" s="2">
        <v>60</v>
      </c>
      <c r="X169" s="1" cm="1">
        <f t="array" ref="X169">GreekGamma($E169,100,X$168,0.01,0.1,0)</f>
        <v>9.8181668070309793E-58</v>
      </c>
      <c r="Y169" s="1" cm="1">
        <f t="array" ref="Y169">GreekGamma($E169,100,Y$168,0.01,0.1,0)</f>
        <v>1.4877614568192042E-29</v>
      </c>
      <c r="Z169" s="1" cm="1">
        <f t="array" ref="Z169">GreekGamma($E169,100,Z$168,0.01,0.1,0)</f>
        <v>3.37158866065404E-20</v>
      </c>
      <c r="AA169" s="1" cm="1">
        <f t="array" ref="AA169">GreekGamma($E169,100,AA$168,0.01,0.1,0)</f>
        <v>1.5374265651823462E-15</v>
      </c>
      <c r="AB169" s="1" cm="1">
        <f t="array" ref="AB169">GreekGamma($E169,100,AB$168,0.01,0.1,0)</f>
        <v>9.3540877738932821E-13</v>
      </c>
      <c r="AC169" s="1" cm="1">
        <f t="array" ref="AC169">GreekGamma($E169,100,AC$168,0.01,0.1,0)</f>
        <v>6.6022100125859387E-11</v>
      </c>
      <c r="AD169" s="1" cm="1">
        <f t="array" ref="AD169">GreekGamma($E169,100,AD$168,0.01,0.1,0)</f>
        <v>1.3641015888556874E-9</v>
      </c>
      <c r="AE169" s="1" cm="1">
        <f t="array" ref="AE169">GreekGamma($E169,100,AE$168,0.01,0.1,0)</f>
        <v>1.309790020055326E-8</v>
      </c>
      <c r="AF169" s="1" cm="1">
        <f t="array" ref="AF169">GreekGamma($E169,100,AF$168,0.01,0.1,0)</f>
        <v>7.5530633187758507E-8</v>
      </c>
      <c r="AG169" s="1" cm="1">
        <f t="array" ref="AG169">GreekGamma($E169,100,AG$168,0.01,0.1,0)</f>
        <v>3.0503159925846618E-7</v>
      </c>
      <c r="AH169" s="1" cm="1">
        <f t="array" ref="AH169">GreekGamma($E169,100,AH$168,0.01,0.1,0)</f>
        <v>1.4524281869372614E-4</v>
      </c>
      <c r="AI169" s="1" cm="1">
        <f t="array" ref="AI169">GreekGamma($E169,100,AI$168,0.01,0.1,0)</f>
        <v>1.0316841901525141E-3</v>
      </c>
      <c r="AJ169" s="1" cm="1">
        <f t="array" ref="AJ169">GreekGamma($E169,100,AJ$168,0.01,0.1,0)</f>
        <v>2.6204952010288863E-3</v>
      </c>
      <c r="AK169" s="1" cm="1">
        <f t="array" ref="AK169">GreekGamma($E169,100,AK$168,0.01,0.1,0)</f>
        <v>4.4499754398238511E-3</v>
      </c>
      <c r="AM169" t="s">
        <v>7</v>
      </c>
      <c r="AO169" s="2">
        <v>60</v>
      </c>
      <c r="AP169" s="1" cm="1">
        <f t="array" ref="AP169">GreekGamma($E169,100,AP$168,0.01,0.3,0)</f>
        <v>4.8371729163416155E-8</v>
      </c>
      <c r="AQ169" s="1" cm="1">
        <f t="array" ref="AQ169">GreekGamma($E169,100,AQ$168,0.01,0.3,0)</f>
        <v>4.8005602280442924E-5</v>
      </c>
      <c r="AR169" s="1" cm="1">
        <f t="array" ref="AR169">GreekGamma($E169,100,AR$168,0.01,0.3,0)</f>
        <v>4.3836057898992084E-4</v>
      </c>
      <c r="AS169" s="1" cm="1">
        <f t="array" ref="AS169">GreekGamma($E169,100,AS$168,0.01,0.3,0)</f>
        <v>1.2684980236185482E-3</v>
      </c>
      <c r="AT169" s="1" cm="1">
        <f t="array" ref="AT169">GreekGamma($E169,100,AT$168,0.01,0.3,0)</f>
        <v>2.3382957957450985E-3</v>
      </c>
      <c r="AU169" s="1" cm="1">
        <f t="array" ref="AU169">GreekGamma($E169,100,AU$168,0.01,0.3,0)</f>
        <v>3.4549517028754717E-3</v>
      </c>
      <c r="AV169" s="1" cm="1">
        <f t="array" ref="AV169">GreekGamma($E169,100,AV$168,0.01,0.3,0)</f>
        <v>4.5096296845151063E-3</v>
      </c>
      <c r="AW169" s="1" cm="1">
        <f t="array" ref="AW169">GreekGamma($E169,100,AW$168,0.01,0.3,0)</f>
        <v>5.4555892387964204E-3</v>
      </c>
      <c r="AX169" s="1" cm="1">
        <f t="array" ref="AX169">GreekGamma($E169,100,AX$168,0.01,0.3,0)</f>
        <v>6.2802722099484769E-3</v>
      </c>
      <c r="AY169" s="1" cm="1">
        <f t="array" ref="AY169">GreekGamma($E169,100,AY$168,0.01,0.3,0)</f>
        <v>6.9875383385906865E-3</v>
      </c>
      <c r="AZ169" s="1" cm="1">
        <f t="array" ref="AZ169">GreekGamma($E169,100,AZ$168,0.01,0.3,0)</f>
        <v>1.0030097674802637E-2</v>
      </c>
      <c r="BA169" s="1" cm="1">
        <f t="array" ref="BA169">GreekGamma($E169,100,BA$168,0.01,0.3,0)</f>
        <v>1.025398028665004E-2</v>
      </c>
      <c r="BB169" s="1" cm="1">
        <f t="array" ref="BB169">GreekGamma($E169,100,BB$168,0.01,0.3,0)</f>
        <v>9.8534950455954461E-3</v>
      </c>
      <c r="BC169" s="1" cm="1">
        <f t="array" ref="BC169">GreekGamma($E169,100,BC$168,0.01,0.3,0)</f>
        <v>9.3178601442685666E-3</v>
      </c>
    </row>
    <row r="170" spans="3:55" x14ac:dyDescent="0.3">
      <c r="E170" s="2">
        <f>E169+5</f>
        <v>65</v>
      </c>
      <c r="F170" s="1" cm="1">
        <f t="array" ref="F170">GreekGamma($E170,100,F$168,0.01,0.2,0)</f>
        <v>1.1286957540817279E-11</v>
      </c>
      <c r="G170" s="1" cm="1">
        <f t="array" ref="G170">GreekGamma($E170,100,G$168,0.01,0.2,0)</f>
        <v>8.6832323834608022E-7</v>
      </c>
      <c r="H170" s="1" cm="1">
        <f t="array" ref="H170">GreekGamma($E170,100,H$168,0.01,0.2,0)</f>
        <v>3.382075125809169E-5</v>
      </c>
      <c r="I170" s="1" cm="1">
        <f t="array" ref="I170">GreekGamma($E170,100,I$168,0.01,0.2,0)</f>
        <v>2.0218238688417126E-4</v>
      </c>
      <c r="J170" s="1" cm="1">
        <f t="array" ref="J170">GreekGamma($E170,100,J$168,0.01,0.2,0)</f>
        <v>5.7611680391896742E-4</v>
      </c>
      <c r="K170" s="1" cm="1">
        <f t="array" ref="K170">GreekGamma($E170,100,K$168,0.01,0.2,0)</f>
        <v>1.1382523244176247E-3</v>
      </c>
      <c r="L170" s="1" cm="1">
        <f t="array" ref="L170">GreekGamma($E170,100,L$168,0.01,0.2,0)</f>
        <v>1.8286848240875091E-3</v>
      </c>
      <c r="M170" s="1" cm="1">
        <f t="array" ref="M170">GreekGamma($E170,100,M$168,0.01,0.2,0)</f>
        <v>2.585538590771336E-3</v>
      </c>
      <c r="N170" s="1" cm="1">
        <f t="array" ref="N170">GreekGamma($E170,100,N$168,0.01,0.2,0)</f>
        <v>3.3605151026574521E-3</v>
      </c>
      <c r="O170" s="1" cm="1">
        <f t="array" ref="O170">GreekGamma($E170,100,O$168,0.01,0.2,0)</f>
        <v>4.120730961321698E-3</v>
      </c>
      <c r="P170" s="1" cm="1">
        <f t="array" ref="P170">GreekGamma($E170,100,P$168,0.01,0.2,0)</f>
        <v>9.1893387459059377E-3</v>
      </c>
      <c r="Q170" s="1" cm="1">
        <f t="array" ref="Q170">GreekGamma($E170,100,Q$168,0.01,0.2,0)</f>
        <v>1.0920849507992854E-2</v>
      </c>
      <c r="R170" s="1" cm="1">
        <f t="array" ref="R170">GreekGamma($E170,100,R$168,0.01,0.2,0)</f>
        <v>1.1346268148064857E-2</v>
      </c>
      <c r="S170" s="1" cm="1">
        <f t="array" ref="S170">GreekGamma($E170,100,S$168,0.01,0.2,0)</f>
        <v>1.1268946181697022E-2</v>
      </c>
      <c r="W170" s="2">
        <f>W169+5</f>
        <v>65</v>
      </c>
      <c r="X170" s="1" cm="1">
        <f t="array" ref="X170">GreekGamma($E170,100,X$168,0.01,0.1,0)</f>
        <v>1.867554133449226E-41</v>
      </c>
      <c r="Y170" s="1" cm="1">
        <f t="array" ref="Y170">GreekGamma($E170,100,Y$168,0.01,0.1,0)</f>
        <v>1.8565304082520428E-21</v>
      </c>
      <c r="Z170" s="1" cm="1">
        <f t="array" ref="Z170">GreekGamma($E170,100,Z$168,0.01,0.1,0)</f>
        <v>7.8761142092033303E-15</v>
      </c>
      <c r="AA170" s="1" cm="1">
        <f t="array" ref="AA170">GreekGamma($E170,100,AA$168,0.01,0.1,0)</f>
        <v>1.5539109604002787E-11</v>
      </c>
      <c r="AB170" s="1" cm="1">
        <f t="array" ref="AB170">GreekGamma($E170,100,AB$168,0.01,0.1,0)</f>
        <v>1.4365666725428593E-9</v>
      </c>
      <c r="AC170" s="1" cm="1">
        <f t="array" ref="AC170">GreekGamma($E170,100,AC$168,0.01,0.1,0)</f>
        <v>2.8871903156587544E-8</v>
      </c>
      <c r="AD170" s="1" cm="1">
        <f t="array" ref="AD170">GreekGamma($E170,100,AD$168,0.01,0.1,0)</f>
        <v>2.4319945667214557E-7</v>
      </c>
      <c r="AE170" s="1" cm="1">
        <f t="array" ref="AE170">GreekGamma($E170,100,AE$168,0.01,0.1,0)</f>
        <v>1.191420089105155E-6</v>
      </c>
      <c r="AF170" s="1" cm="1">
        <f t="array" ref="AF170">GreekGamma($E170,100,AF$168,0.01,0.1,0)</f>
        <v>4.070790527191798E-6</v>
      </c>
      <c r="AG170" s="1" cm="1">
        <f t="array" ref="AG170">GreekGamma($E170,100,AG$168,0.01,0.1,0)</f>
        <v>1.0815693509621721E-5</v>
      </c>
      <c r="AH170" s="1" cm="1">
        <f t="array" ref="AH170">GreekGamma($E170,100,AH$168,0.01,0.1,0)</f>
        <v>7.8252244975754123E-4</v>
      </c>
      <c r="AI170" s="1" cm="1">
        <f t="array" ref="AI170">GreekGamma($E170,100,AI$168,0.01,0.1,0)</f>
        <v>2.966058949873731E-3</v>
      </c>
      <c r="AJ170" s="1" cm="1">
        <f t="array" ref="AJ170">GreekGamma($E170,100,AJ$168,0.01,0.1,0)</f>
        <v>5.5034091875470386E-3</v>
      </c>
      <c r="AK170" s="1" cm="1">
        <f t="array" ref="AK170">GreekGamma($E170,100,AK$168,0.01,0.1,0)</f>
        <v>7.7406121902881767E-3</v>
      </c>
      <c r="AO170" s="2">
        <f>AO169+5</f>
        <v>65</v>
      </c>
      <c r="AP170" s="1" cm="1">
        <f t="array" ref="AP170">GreekGamma($E170,100,AP$168,0.01,0.3,0)</f>
        <v>2.7992835519207707E-6</v>
      </c>
      <c r="AQ170" s="1" cm="1">
        <f t="array" ref="AQ170">GreekGamma($E170,100,AQ$168,0.01,0.3,0)</f>
        <v>3.4238659642402488E-4</v>
      </c>
      <c r="AR170" s="1" cm="1">
        <f t="array" ref="AR170">GreekGamma($E170,100,AR$168,0.01,0.3,0)</f>
        <v>1.5558922158995416E-3</v>
      </c>
      <c r="AS170" s="1" cm="1">
        <f t="array" ref="AS170">GreekGamma($E170,100,AS$168,0.01,0.3,0)</f>
        <v>3.1761382873591237E-3</v>
      </c>
      <c r="AT170" s="1" cm="1">
        <f t="array" ref="AT170">GreekGamma($E170,100,AT$168,0.01,0.3,0)</f>
        <v>4.7488233231175484E-3</v>
      </c>
      <c r="AU170" s="1" cm="1">
        <f t="array" ref="AU170">GreekGamma($E170,100,AU$168,0.01,0.3,0)</f>
        <v>6.1025757786037126E-3</v>
      </c>
      <c r="AV170" s="1" cm="1">
        <f t="array" ref="AV170">GreekGamma($E170,100,AV$168,0.01,0.3,0)</f>
        <v>7.2096701015754924E-3</v>
      </c>
      <c r="AW170" s="1" cm="1">
        <f t="array" ref="AW170">GreekGamma($E170,100,AW$168,0.01,0.3,0)</f>
        <v>8.0936358441935641E-3</v>
      </c>
      <c r="AX170" s="1" cm="1">
        <f t="array" ref="AX170">GreekGamma($E170,100,AX$168,0.01,0.3,0)</f>
        <v>8.7907122230331206E-3</v>
      </c>
      <c r="AY170" s="1" cm="1">
        <f t="array" ref="AY170">GreekGamma($E170,100,AY$168,0.01,0.3,0)</f>
        <v>9.336082432746199E-3</v>
      </c>
      <c r="AZ170" s="1" cm="1">
        <f t="array" ref="AZ170">GreekGamma($E170,100,AZ$168,0.01,0.3,0)</f>
        <v>1.0869825982032193E-2</v>
      </c>
      <c r="BA170" s="1" cm="1">
        <f t="array" ref="BA170">GreekGamma($E170,100,BA$168,0.01,0.3,0)</f>
        <v>1.0363399155444456E-2</v>
      </c>
      <c r="BB170" s="1" cm="1">
        <f t="array" ref="BB170">GreekGamma($E170,100,BB$168,0.01,0.3,0)</f>
        <v>9.6171460019162294E-3</v>
      </c>
      <c r="BC170" s="1" cm="1">
        <f t="array" ref="BC170">GreekGamma($E170,100,BC$168,0.01,0.3,0)</f>
        <v>8.9059405124312912E-3</v>
      </c>
    </row>
    <row r="171" spans="3:55" x14ac:dyDescent="0.3">
      <c r="E171" s="2">
        <f t="shared" ref="E171:E185" si="65">E170+5</f>
        <v>70</v>
      </c>
      <c r="F171" s="1" cm="1">
        <f t="array" ref="F171">GreekGamma($E171,100,F$168,0.01,0.2,0)</f>
        <v>1.4597010892531745E-8</v>
      </c>
      <c r="G171" s="1" cm="1">
        <f t="array" ref="G171">GreekGamma($E171,100,G$168,0.01,0.2,0)</f>
        <v>2.9265998523210969E-5</v>
      </c>
      <c r="H171" s="1" cm="1">
        <f t="array" ref="H171">GreekGamma($E171,100,H$168,0.01,0.2,0)</f>
        <v>3.3795857220289099E-4</v>
      </c>
      <c r="I171" s="1" cm="1">
        <f t="array" ref="I171">GreekGamma($E171,100,I$168,0.01,0.2,0)</f>
        <v>1.1000759814895978E-3</v>
      </c>
      <c r="J171" s="1" cm="1">
        <f t="array" ref="J171">GreekGamma($E171,100,J$168,0.01,0.2,0)</f>
        <v>2.1766539744157011E-3</v>
      </c>
      <c r="K171" s="1" cm="1">
        <f t="array" ref="K171">GreekGamma($E171,100,K$168,0.01,0.2,0)</f>
        <v>3.3722289783455592E-3</v>
      </c>
      <c r="L171" s="1" cm="1">
        <f t="array" ref="L171">GreekGamma($E171,100,L$168,0.01,0.2,0)</f>
        <v>4.5539531232495038E-3</v>
      </c>
      <c r="M171" s="1" cm="1">
        <f t="array" ref="M171">GreekGamma($E171,100,M$168,0.01,0.2,0)</f>
        <v>5.6523508060789462E-3</v>
      </c>
      <c r="N171" s="1" cm="1">
        <f t="array" ref="N171">GreekGamma($E171,100,N$168,0.01,0.2,0)</f>
        <v>6.6387114573764538E-3</v>
      </c>
      <c r="O171" s="1" cm="1">
        <f t="array" ref="O171">GreekGamma($E171,100,O$168,0.01,0.2,0)</f>
        <v>7.5067523489369846E-3</v>
      </c>
      <c r="P171" s="1" cm="1">
        <f t="array" ref="P171">GreekGamma($E171,100,P$168,0.01,0.2,0)</f>
        <v>1.1624159945686186E-2</v>
      </c>
      <c r="Q171" s="1" cm="1">
        <f t="array" ref="Q171">GreekGamma($E171,100,Q$168,0.01,0.2,0)</f>
        <v>1.2233016676571298E-2</v>
      </c>
      <c r="R171" s="1" cm="1">
        <f t="array" ref="R171">GreekGamma($E171,100,R$168,0.01,0.2,0)</f>
        <v>1.1959970353331821E-2</v>
      </c>
      <c r="S171" s="1" cm="1">
        <f t="array" ref="S171">GreekGamma($E171,100,S$168,0.01,0.2,0)</f>
        <v>1.1453027766679769E-2</v>
      </c>
      <c r="W171" s="2">
        <f t="shared" ref="W171:W185" si="66">W170+5</f>
        <v>70</v>
      </c>
      <c r="X171" s="1" cm="1">
        <f t="array" ref="X171">GreekGamma($E171,100,X$168,0.01,0.1,0)</f>
        <v>7.2920970083606921E-29</v>
      </c>
      <c r="Y171" s="1" cm="1">
        <f t="array" ref="Y171">GreekGamma($E171,100,Y$168,0.01,0.1,0)</f>
        <v>3.3439581371571196E-15</v>
      </c>
      <c r="Z171" s="1" cm="1">
        <f t="array" ref="Z171">GreekGamma($E171,100,Z$168,0.01,0.1,0)</f>
        <v>1.0961347486332838E-10</v>
      </c>
      <c r="AA171" s="1" cm="1">
        <f t="array" ref="AA171">GreekGamma($E171,100,AA$168,0.01,0.1,0)</f>
        <v>1.9009673521623235E-8</v>
      </c>
      <c r="AB171" s="1" cm="1">
        <f t="array" ref="AB171">GreekGamma($E171,100,AB$168,0.01,0.1,0)</f>
        <v>4.0857545005606393E-7</v>
      </c>
      <c r="AC171" s="1" cm="1">
        <f t="array" ref="AC171">GreekGamma($E171,100,AC$168,0.01,0.1,0)</f>
        <v>3.1047063387496907E-6</v>
      </c>
      <c r="AD171" s="1" cm="1">
        <f t="array" ref="AD171">GreekGamma($E171,100,AD$168,0.01,0.1,0)</f>
        <v>1.3055468334454289E-5</v>
      </c>
      <c r="AE171" s="1" cm="1">
        <f t="array" ref="AE171">GreekGamma($E171,100,AE$168,0.01,0.1,0)</f>
        <v>3.7984667450688666E-5</v>
      </c>
      <c r="AF171" s="1" cm="1">
        <f t="array" ref="AF171">GreekGamma($E171,100,AF$168,0.01,0.1,0)</f>
        <v>8.6540937665519212E-5</v>
      </c>
      <c r="AG171" s="1" cm="1">
        <f t="array" ref="AG171">GreekGamma($E171,100,AG$168,0.01,0.1,0)</f>
        <v>1.6626343859570738E-4</v>
      </c>
      <c r="AH171" s="1" cm="1">
        <f t="array" ref="AH171">GreekGamma($E171,100,AH$168,0.01,0.1,0)</f>
        <v>2.7966437332461501E-3</v>
      </c>
      <c r="AI171" s="1" cm="1">
        <f t="array" ref="AI171">GreekGamma($E171,100,AI$168,0.01,0.1,0)</f>
        <v>6.5180762218454997E-3</v>
      </c>
      <c r="AJ171" s="1" cm="1">
        <f t="array" ref="AJ171">GreekGamma($E171,100,AJ$168,0.01,0.1,0)</f>
        <v>9.4835539632301003E-3</v>
      </c>
      <c r="AK171" s="1" cm="1">
        <f t="array" ref="AK171">GreekGamma($E171,100,AK$168,0.01,0.1,0)</f>
        <v>1.1528012005023357E-2</v>
      </c>
      <c r="AO171" s="2">
        <f t="shared" ref="AO171:AO185" si="67">AO170+5</f>
        <v>70</v>
      </c>
      <c r="AP171" s="1" cm="1">
        <f t="array" ref="AP171">GreekGamma($E171,100,AP$168,0.01,0.3,0)</f>
        <v>6.3562115182022813E-5</v>
      </c>
      <c r="AQ171" s="1" cm="1">
        <f t="array" ref="AQ171">GreekGamma($E171,100,AQ$168,0.01,0.3,0)</f>
        <v>1.5369719040112578E-3</v>
      </c>
      <c r="AR171" s="1" cm="1">
        <f t="array" ref="AR171">GreekGamma($E171,100,AR$168,0.01,0.3,0)</f>
        <v>4.068752351690158E-3</v>
      </c>
      <c r="AS171" s="1" cm="1">
        <f t="array" ref="AS171">GreekGamma($E171,100,AS$168,0.01,0.3,0)</f>
        <v>6.3393895489089105E-3</v>
      </c>
      <c r="AT171" s="1" cm="1">
        <f t="array" ref="AT171">GreekGamma($E171,100,AT$168,0.01,0.3,0)</f>
        <v>8.0599773466249677E-3</v>
      </c>
      <c r="AU171" s="1" cm="1">
        <f t="array" ref="AU171">GreekGamma($E171,100,AU$168,0.01,0.3,0)</f>
        <v>9.2966719191608007E-3</v>
      </c>
      <c r="AV171" s="1" cm="1">
        <f t="array" ref="AV171">GreekGamma($E171,100,AV$168,0.01,0.3,0)</f>
        <v>1.0167303762997196E-2</v>
      </c>
      <c r="AW171" s="1" cm="1">
        <f t="array" ref="AW171">GreekGamma($E171,100,AW$168,0.01,0.3,0)</f>
        <v>1.0771870609204376E-2</v>
      </c>
      <c r="AX171" s="1" cm="1">
        <f t="array" ref="AX171">GreekGamma($E171,100,AX$168,0.01,0.3,0)</f>
        <v>1.1184482954854207E-2</v>
      </c>
      <c r="AY171" s="1" cm="1">
        <f t="array" ref="AY171">GreekGamma($E171,100,AY$168,0.01,0.3,0)</f>
        <v>1.1458084787714838E-2</v>
      </c>
      <c r="AZ171" s="1" cm="1">
        <f t="array" ref="AZ171">GreekGamma($E171,100,AZ$168,0.01,0.3,0)</f>
        <v>1.1344091423781007E-2</v>
      </c>
      <c r="BA171" s="1" cm="1">
        <f t="array" ref="BA171">GreekGamma($E171,100,BA$168,0.01,0.3,0)</f>
        <v>1.0246666696571999E-2</v>
      </c>
      <c r="BB171" s="1" cm="1">
        <f t="array" ref="BB171">GreekGamma($E171,100,BB$168,0.01,0.3,0)</f>
        <v>9.2553580000514068E-3</v>
      </c>
      <c r="BC171" s="1" cm="1">
        <f t="array" ref="BC171">GreekGamma($E171,100,BC$168,0.01,0.3,0)</f>
        <v>8.4330908674948215E-3</v>
      </c>
    </row>
    <row r="172" spans="3:55" x14ac:dyDescent="0.3">
      <c r="E172" s="2">
        <f t="shared" si="65"/>
        <v>75</v>
      </c>
      <c r="F172" s="1" cm="1">
        <f t="array" ref="F172">GreekGamma($E172,100,F$168,0.01,0.2,0)</f>
        <v>3.3512354645083037E-6</v>
      </c>
      <c r="G172" s="1" cm="1">
        <f t="array" ref="G172">GreekGamma($E172,100,G$168,0.01,0.2,0)</f>
        <v>4.1746111765088789E-4</v>
      </c>
      <c r="H172" s="1" cm="1">
        <f t="array" ref="H172">GreekGamma($E172,100,H$168,0.01,0.2,0)</f>
        <v>1.9093551185000324E-3</v>
      </c>
      <c r="I172" s="1" cm="1">
        <f t="array" ref="I172">GreekGamma($E172,100,I$168,0.01,0.2,0)</f>
        <v>3.9113907532951544E-3</v>
      </c>
      <c r="J172" s="1" cm="1">
        <f t="array" ref="J172">GreekGamma($E172,100,J$168,0.01,0.2,0)</f>
        <v>5.8617741810673696E-3</v>
      </c>
      <c r="K172" s="1" cm="1">
        <f t="array" ref="K172">GreekGamma($E172,100,K$168,0.01,0.2,0)</f>
        <v>7.5458967272333394E-3</v>
      </c>
      <c r="L172" s="1" cm="1">
        <f t="array" ref="L172">GreekGamma($E172,100,L$168,0.01,0.2,0)</f>
        <v>8.92731806222242E-3</v>
      </c>
      <c r="M172" s="1" cm="1">
        <f t="array" ref="M172">GreekGamma($E172,100,M$168,0.01,0.2,0)</f>
        <v>1.0033802504733588E-2</v>
      </c>
      <c r="N172" s="1" cm="1">
        <f t="array" ref="N172">GreekGamma($E172,100,N$168,0.01,0.2,0)</f>
        <v>1.090940622330224E-2</v>
      </c>
      <c r="O172" s="1" cm="1">
        <f t="array" ref="O172">GreekGamma($E172,100,O$168,0.01,0.2,0)</f>
        <v>1.1597225794774835E-2</v>
      </c>
      <c r="P172" s="1" cm="1">
        <f t="array" ref="P172">GreekGamma($E172,100,P$168,0.01,0.2,0)</f>
        <v>1.3601749391133745E-2</v>
      </c>
      <c r="Q172" s="1" cm="1">
        <f t="array" ref="Q172">GreekGamma($E172,100,Q$168,0.01,0.2,0)</f>
        <v>1.3047996011475228E-2</v>
      </c>
      <c r="R172" s="1" cm="1">
        <f t="array" ref="R172">GreekGamma($E172,100,R$168,0.01,0.2,0)</f>
        <v>1.2179483699411454E-2</v>
      </c>
      <c r="S172" s="1" cm="1">
        <f t="array" ref="S172">GreekGamma($E172,100,S$168,0.01,0.2,0)</f>
        <v>1.1343634002882847E-2</v>
      </c>
      <c r="W172" s="2">
        <f t="shared" si="66"/>
        <v>75</v>
      </c>
      <c r="X172" s="1" cm="1">
        <f t="array" ref="X172">GreekGamma($E172,100,X$168,0.01,0.1,0)</f>
        <v>2.7634460319906583E-19</v>
      </c>
      <c r="Y172" s="1" cm="1">
        <f t="array" ref="Y172">GreekGamma($E172,100,Y$168,0.01,0.1,0)</f>
        <v>1.8884525527510619E-10</v>
      </c>
      <c r="Z172" s="1" cm="1">
        <f t="array" ref="Z172">GreekGamma($E172,100,Z$168,0.01,0.1,0)</f>
        <v>1.523320979336045E-7</v>
      </c>
      <c r="AA172" s="1" cm="1">
        <f t="array" ref="AA172">GreekGamma($E172,100,AA$168,0.01,0.1,0)</f>
        <v>4.1442242901485517E-6</v>
      </c>
      <c r="AB172" s="1" cm="1">
        <f t="array" ref="AB172">GreekGamma($E172,100,AB$168,0.01,0.1,0)</f>
        <v>2.9313355232607553E-5</v>
      </c>
      <c r="AC172" s="1" cm="1">
        <f t="array" ref="AC172">GreekGamma($E172,100,AC$168,0.01,0.1,0)</f>
        <v>1.0617694808839046E-4</v>
      </c>
      <c r="AD172" s="1" cm="1">
        <f t="array" ref="AD172">GreekGamma($E172,100,AD$168,0.01,0.1,0)</f>
        <v>2.630006185665992E-4</v>
      </c>
      <c r="AE172" s="1" cm="1">
        <f t="array" ref="AE172">GreekGamma($E172,100,AE$168,0.01,0.1,0)</f>
        <v>5.1450381124671068E-4</v>
      </c>
      <c r="AF172" s="1" cm="1">
        <f t="array" ref="AF172">GreekGamma($E172,100,AF$168,0.01,0.1,0)</f>
        <v>8.6084583659867776E-4</v>
      </c>
      <c r="AG172" s="1" cm="1">
        <f t="array" ref="AG172">GreekGamma($E172,100,AG$168,0.01,0.1,0)</f>
        <v>1.2919311227899835E-3</v>
      </c>
      <c r="AH172" s="1" cm="1">
        <f t="array" ref="AH172">GreekGamma($E172,100,AH$168,0.01,0.1,0)</f>
        <v>7.1516197776597054E-3</v>
      </c>
      <c r="AI172" s="1" cm="1">
        <f t="array" ref="AI172">GreekGamma($E172,100,AI$168,0.01,0.1,0)</f>
        <v>1.150786954283289E-2</v>
      </c>
      <c r="AJ172" s="1" cm="1">
        <f t="array" ref="AJ172">GreekGamma($E172,100,AJ$168,0.01,0.1,0)</f>
        <v>1.3912357420204602E-2</v>
      </c>
      <c r="AK172" s="1" cm="1">
        <f t="array" ref="AK172">GreekGamma($E172,100,AK$168,0.01,0.1,0)</f>
        <v>1.5132702486471092E-2</v>
      </c>
      <c r="AO172" s="2">
        <f t="shared" si="67"/>
        <v>75</v>
      </c>
      <c r="AP172" s="1" cm="1">
        <f t="array" ref="AP172">GreekGamma($E172,100,AP$168,0.01,0.3,0)</f>
        <v>6.7225819369320027E-4</v>
      </c>
      <c r="AQ172" s="1" cm="1">
        <f t="array" ref="AQ172">GreekGamma($E172,100,AQ$168,0.01,0.3,0)</f>
        <v>4.7282210181891805E-3</v>
      </c>
      <c r="AR172" s="1" cm="1">
        <f t="array" ref="AR172">GreekGamma($E172,100,AR$168,0.01,0.3,0)</f>
        <v>8.2932442565351976E-3</v>
      </c>
      <c r="AS172" s="1" cm="1">
        <f t="array" ref="AS172">GreekGamma($E172,100,AS$168,0.01,0.3,0)</f>
        <v>1.0517834159617734E-2</v>
      </c>
      <c r="AT172" s="1" cm="1">
        <f t="array" ref="AT172">GreekGamma($E172,100,AT$168,0.01,0.3,0)</f>
        <v>1.1819037433225307E-2</v>
      </c>
      <c r="AU172" s="1" cm="1">
        <f t="array" ref="AU172">GreekGamma($E172,100,AU$168,0.01,0.3,0)</f>
        <v>1.2555154567235544E-2</v>
      </c>
      <c r="AV172" s="1" cm="1">
        <f t="array" ref="AV172">GreekGamma($E172,100,AV$168,0.01,0.3,0)</f>
        <v>1.2946786325768763E-2</v>
      </c>
      <c r="AW172" s="1" cm="1">
        <f t="array" ref="AW172">GreekGamma($E172,100,AW$168,0.01,0.3,0)</f>
        <v>1.3124825156577539E-2</v>
      </c>
      <c r="AX172" s="1" cm="1">
        <f t="array" ref="AX172">GreekGamma($E172,100,AX$168,0.01,0.3,0)</f>
        <v>1.3168033532704496E-2</v>
      </c>
      <c r="AY172" s="1" cm="1">
        <f t="array" ref="AY172">GreekGamma($E172,100,AY$168,0.01,0.3,0)</f>
        <v>1.3124994619891275E-2</v>
      </c>
      <c r="AZ172" s="1" cm="1">
        <f t="array" ref="AZ172">GreekGamma($E172,100,AZ$168,0.01,0.3,0)</f>
        <v>1.1484873818246508E-2</v>
      </c>
      <c r="BA172" s="1" cm="1">
        <f t="array" ref="BA172">GreekGamma($E172,100,BA$168,0.01,0.3,0)</f>
        <v>9.9554811818721202E-3</v>
      </c>
      <c r="BB172" s="1" cm="1">
        <f t="array" ref="BB172">GreekGamma($E172,100,BB$168,0.01,0.3,0)</f>
        <v>8.8091587418353094E-3</v>
      </c>
      <c r="BC172" s="1" cm="1">
        <f t="array" ref="BC172">GreekGamma($E172,100,BC$168,0.01,0.3,0)</f>
        <v>7.9280236081079453E-3</v>
      </c>
    </row>
    <row r="173" spans="3:55" x14ac:dyDescent="0.3">
      <c r="E173" s="2">
        <f t="shared" si="65"/>
        <v>80</v>
      </c>
      <c r="F173" s="1" cm="1">
        <f t="array" ref="F173">GreekGamma($E173,100,F$168,0.01,0.2,0)</f>
        <v>1.8444991272199745E-4</v>
      </c>
      <c r="G173" s="1" cm="1">
        <f t="array" ref="G173">GreekGamma($E173,100,G$168,0.01,0.2,0)</f>
        <v>2.9270332354272232E-3</v>
      </c>
      <c r="H173" s="1" cm="1">
        <f t="array" ref="H173">GreekGamma($E173,100,H$168,0.01,0.2,0)</f>
        <v>6.7361389316554273E-3</v>
      </c>
      <c r="I173" s="1" cm="1">
        <f t="array" ref="I173">GreekGamma($E173,100,I$168,0.01,0.2,0)</f>
        <v>9.7884039294375211E-3</v>
      </c>
      <c r="J173" s="1" cm="1">
        <f t="array" ref="J173">GreekGamma($E173,100,J$168,0.01,0.2,0)</f>
        <v>1.1937780047109168E-2</v>
      </c>
      <c r="K173" s="1" cm="1">
        <f t="array" ref="K173">GreekGamma($E173,100,K$168,0.01,0.2,0)</f>
        <v>1.3395159432299533E-2</v>
      </c>
      <c r="L173" s="1" cm="1">
        <f t="array" ref="L173">GreekGamma($E173,100,L$168,0.01,0.2,0)</f>
        <v>1.4366321033900604E-2</v>
      </c>
      <c r="M173" s="1" cm="1">
        <f t="array" ref="M173">GreekGamma($E173,100,M$168,0.01,0.2,0)</f>
        <v>1.5001364182628533E-2</v>
      </c>
      <c r="N173" s="1" cm="1">
        <f t="array" ref="N173">GreekGamma($E173,100,N$168,0.01,0.2,0)</f>
        <v>1.5403132263133367E-2</v>
      </c>
      <c r="O173" s="1" cm="1">
        <f t="array" ref="O173">GreekGamma($E173,100,O$168,0.01,0.2,0)</f>
        <v>1.5641421674019225E-2</v>
      </c>
      <c r="P173" s="1" cm="1">
        <f t="array" ref="P173">GreekGamma($E173,100,P$168,0.01,0.2,0)</f>
        <v>1.4928999083209108E-2</v>
      </c>
      <c r="Q173" s="1" cm="1">
        <f t="array" ref="Q173">GreekGamma($E173,100,Q$168,0.01,0.2,0)</f>
        <v>1.3370603439876852E-2</v>
      </c>
      <c r="R173" s="1" cm="1">
        <f t="array" ref="R173">GreekGamma($E173,100,R$168,0.01,0.2,0)</f>
        <v>1.205928909750143E-2</v>
      </c>
      <c r="S173" s="1" cm="1">
        <f t="array" ref="S173">GreekGamma($E173,100,S$168,0.01,0.2,0)</f>
        <v>1.1002627628314172E-2</v>
      </c>
      <c r="W173" s="2">
        <f t="shared" si="66"/>
        <v>80</v>
      </c>
      <c r="X173" s="1" cm="1">
        <f t="array" ref="X173">GreekGamma($E173,100,X$168,0.01,0.1,0)</f>
        <v>3.3905822708430664E-12</v>
      </c>
      <c r="Y173" s="1" cm="1">
        <f t="array" ref="Y173">GreekGamma($E173,100,Y$168,0.01,0.1,0)</f>
        <v>6.1021351588952594E-7</v>
      </c>
      <c r="Z173" s="1" cm="1">
        <f t="array" ref="Z173">GreekGamma($E173,100,Z$168,0.01,0.1,0)</f>
        <v>3.1551352715495974E-5</v>
      </c>
      <c r="AA173" s="1" cm="1">
        <f t="array" ref="AA173">GreekGamma($E173,100,AA$168,0.01,0.1,0)</f>
        <v>2.1731776002153873E-4</v>
      </c>
      <c r="AB173" s="1" cm="1">
        <f t="array" ref="AB173">GreekGamma($E173,100,AB$168,0.01,0.1,0)</f>
        <v>6.7417515498728662E-4</v>
      </c>
      <c r="AC173" s="1" cm="1">
        <f t="array" ref="AC173">GreekGamma($E173,100,AC$168,0.01,0.1,0)</f>
        <v>1.4096380488958426E-3</v>
      </c>
      <c r="AD173" s="1" cm="1">
        <f t="array" ref="AD173">GreekGamma($E173,100,AD$168,0.01,0.1,0)</f>
        <v>2.3582196949555514E-3</v>
      </c>
      <c r="AE173" s="1" cm="1">
        <f t="array" ref="AE173">GreekGamma($E173,100,AE$168,0.01,0.1,0)</f>
        <v>3.4369932223750686E-3</v>
      </c>
      <c r="AF173" s="1" cm="1">
        <f t="array" ref="AF173">GreekGamma($E173,100,AF$168,0.01,0.1,0)</f>
        <v>4.5738968285542487E-3</v>
      </c>
      <c r="AG173" s="1" cm="1">
        <f t="array" ref="AG173">GreekGamma($E173,100,AG$168,0.01,0.1,0)</f>
        <v>5.7155372876400018E-3</v>
      </c>
      <c r="AH173" s="1" cm="1">
        <f t="array" ref="AH173">GreekGamma($E173,100,AH$168,0.01,0.1,0)</f>
        <v>1.3876417664915321E-2</v>
      </c>
      <c r="AI173" s="1" cm="1">
        <f t="array" ref="AI173">GreekGamma($E173,100,AI$168,0.01,0.1,0)</f>
        <v>1.6964964604488354E-2</v>
      </c>
      <c r="AJ173" s="1" cm="1">
        <f t="array" ref="AJ173">GreekGamma($E173,100,AJ$168,0.01,0.1,0)</f>
        <v>1.7877273947675215E-2</v>
      </c>
      <c r="AK173" s="1" cm="1">
        <f t="array" ref="AK173">GreekGamma($E173,100,AK$168,0.01,0.1,0)</f>
        <v>1.7906989830010489E-2</v>
      </c>
      <c r="AO173" s="2">
        <f t="shared" si="67"/>
        <v>80</v>
      </c>
      <c r="AP173" s="1" cm="1">
        <f t="array" ref="AP173">GreekGamma($E173,100,AP$168,0.01,0.3,0)</f>
        <v>3.7827836741325775E-3</v>
      </c>
      <c r="AQ173" s="1" cm="1">
        <f t="array" ref="AQ173">GreekGamma($E173,100,AQ$168,0.01,0.3,0)</f>
        <v>1.0647723775453427E-2</v>
      </c>
      <c r="AR173" s="1" cm="1">
        <f t="array" ref="AR173">GreekGamma($E173,100,AR$168,0.01,0.3,0)</f>
        <v>1.3762943653982111E-2</v>
      </c>
      <c r="AS173" s="1" cm="1">
        <f t="array" ref="AS173">GreekGamma($E173,100,AS$168,0.01,0.3,0)</f>
        <v>1.4983978051139487E-2</v>
      </c>
      <c r="AT173" s="1" cm="1">
        <f t="array" ref="AT173">GreekGamma($E173,100,AT$168,0.01,0.3,0)</f>
        <v>1.5364246918448029E-2</v>
      </c>
      <c r="AU173" s="1" cm="1">
        <f t="array" ref="AU173">GreekGamma($E173,100,AU$168,0.01,0.3,0)</f>
        <v>1.5354539900425004E-2</v>
      </c>
      <c r="AV173" s="1" cm="1">
        <f t="array" ref="AV173">GreekGamma($E173,100,AV$168,0.01,0.3,0)</f>
        <v>1.5157858484034765E-2</v>
      </c>
      <c r="AW173" s="1" cm="1">
        <f t="array" ref="AW173">GreekGamma($E173,100,AW$168,0.01,0.3,0)</f>
        <v>1.4871858249720597E-2</v>
      </c>
      <c r="AX173" s="1" cm="1">
        <f t="array" ref="AX173">GreekGamma($E173,100,AX$168,0.01,0.3,0)</f>
        <v>1.4546046008012571E-2</v>
      </c>
      <c r="AY173" s="1" cm="1">
        <f t="array" ref="AY173">GreekGamma($E173,100,AY$168,0.01,0.3,0)</f>
        <v>1.4206432265572274E-2</v>
      </c>
      <c r="AZ173" s="1" cm="1">
        <f t="array" ref="AZ173">GreekGamma($E173,100,AZ$168,0.01,0.3,0)</f>
        <v>1.1343327721716881E-2</v>
      </c>
      <c r="BA173" s="1" cm="1">
        <f t="array" ref="BA173">GreekGamma($E173,100,BA$168,0.01,0.3,0)</f>
        <v>9.5371649510801234E-3</v>
      </c>
      <c r="BB173" s="1" cm="1">
        <f t="array" ref="BB173">GreekGamma($E173,100,BB$168,0.01,0.3,0)</f>
        <v>8.3111834375704362E-3</v>
      </c>
      <c r="BC173" s="1" cm="1">
        <f t="array" ref="BC173">GreekGamma($E173,100,BC$168,0.01,0.3,0)</f>
        <v>7.4116721863495584E-3</v>
      </c>
    </row>
    <row r="174" spans="3:55" x14ac:dyDescent="0.3">
      <c r="E174" s="2">
        <f t="shared" si="65"/>
        <v>85</v>
      </c>
      <c r="F174" s="1" cm="1">
        <f t="array" ref="F174">GreekGamma($E174,100,F$168,0.01,0.2,0)</f>
        <v>3.0836372935947143E-3</v>
      </c>
      <c r="G174" s="1" cm="1">
        <f t="array" ref="G174">GreekGamma($E174,100,G$168,0.01,0.2,0)</f>
        <v>1.134964427745312E-2</v>
      </c>
      <c r="H174" s="1" cm="1">
        <f t="array" ref="H174">GreekGamma($E174,100,H$168,0.01,0.2,0)</f>
        <v>1.6048048164004219E-2</v>
      </c>
      <c r="I174" s="1" cm="1">
        <f t="array" ref="I174">GreekGamma($E174,100,I$168,0.01,0.2,0)</f>
        <v>1.827895482236909E-2</v>
      </c>
      <c r="J174" s="1" cm="1">
        <f t="array" ref="J174">GreekGamma($E174,100,J$168,0.01,0.2,0)</f>
        <v>1.926193999623425E-2</v>
      </c>
      <c r="K174" s="1" cm="1">
        <f t="array" ref="K174">GreekGamma($E174,100,K$168,0.01,0.2,0)</f>
        <v>1.9607203543702149E-2</v>
      </c>
      <c r="L174" s="1" cm="1">
        <f t="array" ref="L174">GreekGamma($E174,100,L$168,0.01,0.2,0)</f>
        <v>1.9615204928584505E-2</v>
      </c>
      <c r="M174" s="1" cm="1">
        <f t="array" ref="M174">GreekGamma($E174,100,M$168,0.01,0.2,0)</f>
        <v>1.944073459830415E-2</v>
      </c>
      <c r="N174" s="1" cm="1">
        <f t="array" ref="N174">GreekGamma($E174,100,N$168,0.01,0.2,0)</f>
        <v>1.9167361944162006E-2</v>
      </c>
      <c r="O174" s="1" cm="1">
        <f t="array" ref="O174">GreekGamma($E174,100,O$168,0.01,0.2,0)</f>
        <v>1.8841983940109528E-2</v>
      </c>
      <c r="P174" s="1" cm="1">
        <f t="array" ref="P174">GreekGamma($E174,100,P$168,0.01,0.2,0)</f>
        <v>1.5538821309956893E-2</v>
      </c>
      <c r="Q174" s="1" cm="1">
        <f t="array" ref="Q174">GreekGamma($E174,100,Q$168,0.01,0.2,0)</f>
        <v>1.3255131727717093E-2</v>
      </c>
      <c r="R174" s="1" cm="1">
        <f t="array" ref="R174">GreekGamma($E174,100,R$168,0.01,0.2,0)</f>
        <v>1.1667493720574828E-2</v>
      </c>
      <c r="S174" s="1" cm="1">
        <f t="array" ref="S174">GreekGamma($E174,100,S$168,0.01,0.2,0)</f>
        <v>1.0490736571836447E-2</v>
      </c>
      <c r="W174" s="2">
        <f t="shared" si="66"/>
        <v>85</v>
      </c>
      <c r="X174" s="1" cm="1">
        <f t="array" ref="X174">GreekGamma($E174,100,X$168,0.01,0.1,0)</f>
        <v>3.4793158250122268E-7</v>
      </c>
      <c r="Y174" s="1" cm="1">
        <f t="array" ref="Y174">GreekGamma($E174,100,Y$168,0.01,0.1,0)</f>
        <v>1.8120927891742718E-4</v>
      </c>
      <c r="Z174" s="1" cm="1">
        <f t="array" ref="Z174">GreekGamma($E174,100,Z$168,0.01,0.1,0)</f>
        <v>1.3351896003566946E-3</v>
      </c>
      <c r="AA174" s="1" cm="1">
        <f t="array" ref="AA174">GreekGamma($E174,100,AA$168,0.01,0.1,0)</f>
        <v>3.4716293491663338E-3</v>
      </c>
      <c r="AB174" s="1" cm="1">
        <f t="array" ref="AB174">GreekGamma($E174,100,AB$168,0.01,0.1,0)</f>
        <v>6.0028678035568004E-3</v>
      </c>
      <c r="AC174" s="1" cm="1">
        <f t="array" ref="AC174">GreekGamma($E174,100,AC$168,0.01,0.1,0)</f>
        <v>8.5007827825346483E-3</v>
      </c>
      <c r="AD174" s="1" cm="1">
        <f t="array" ref="AD174">GreekGamma($E174,100,AD$168,0.01,0.1,0)</f>
        <v>1.0765981199439559E-2</v>
      </c>
      <c r="AE174" s="1" cm="1">
        <f t="array" ref="AE174">GreekGamma($E174,100,AE$168,0.01,0.1,0)</f>
        <v>1.2734636942227625E-2</v>
      </c>
      <c r="AF174" s="1" cm="1">
        <f t="array" ref="AF174">GreekGamma($E174,100,AF$168,0.01,0.1,0)</f>
        <v>1.4407206646598534E-2</v>
      </c>
      <c r="AG174" s="1" cm="1">
        <f t="array" ref="AG174">GreekGamma($E174,100,AG$168,0.01,0.1,0)</f>
        <v>1.5810256172317034E-2</v>
      </c>
      <c r="AH174" s="1" cm="1">
        <f t="array" ref="AH174">GreekGamma($E174,100,AH$168,0.01,0.1,0)</f>
        <v>2.1394744871527756E-2</v>
      </c>
      <c r="AI174" s="1" cm="1">
        <f t="array" ref="AI174">GreekGamma($E174,100,AI$168,0.01,0.1,0)</f>
        <v>2.152609940586208E-2</v>
      </c>
      <c r="AJ174" s="1" cm="1">
        <f t="array" ref="AJ174">GreekGamma($E174,100,AJ$168,0.01,0.1,0)</f>
        <v>2.0578086869191912E-2</v>
      </c>
      <c r="AK174" s="1" cm="1">
        <f t="array" ref="AK174">GreekGamma($E174,100,AK$168,0.01,0.1,0)</f>
        <v>1.9442006249843845E-2</v>
      </c>
      <c r="AO174" s="2">
        <f t="shared" si="67"/>
        <v>85</v>
      </c>
      <c r="AP174" s="1" cm="1">
        <f t="array" ref="AP174">GreekGamma($E174,100,AP$168,0.01,0.3,0)</f>
        <v>1.257501258451457E-2</v>
      </c>
      <c r="AQ174" s="1" cm="1">
        <f t="array" ref="AQ174">GreekGamma($E174,100,AQ$168,0.01,0.3,0)</f>
        <v>1.8488250396357001E-2</v>
      </c>
      <c r="AR174" s="1" cm="1">
        <f t="array" ref="AR174">GreekGamma($E174,100,AR$168,0.01,0.3,0)</f>
        <v>1.9245583173855805E-2</v>
      </c>
      <c r="AS174" s="1" cm="1">
        <f t="array" ref="AS174">GreekGamma($E174,100,AS$168,0.01,0.3,0)</f>
        <v>1.8803436356655608E-2</v>
      </c>
      <c r="AT174" s="1" cm="1">
        <f t="array" ref="AT174">GreekGamma($E174,100,AT$168,0.01,0.3,0)</f>
        <v>1.8068228988525181E-2</v>
      </c>
      <c r="AU174" s="1" cm="1">
        <f t="array" ref="AU174">GreekGamma($E174,100,AU$168,0.01,0.3,0)</f>
        <v>1.7291682643531966E-2</v>
      </c>
      <c r="AV174" s="1" cm="1">
        <f t="array" ref="AV174">GreekGamma($E174,100,AV$168,0.01,0.3,0)</f>
        <v>1.6550341873979184E-2</v>
      </c>
      <c r="AW174" s="1" cm="1">
        <f t="array" ref="AW174">GreekGamma($E174,100,AW$168,0.01,0.3,0)</f>
        <v>1.5865759347980533E-2</v>
      </c>
      <c r="AX174" s="1" cm="1">
        <f t="array" ref="AX174">GreekGamma($E174,100,AX$168,0.01,0.3,0)</f>
        <v>1.5240725494598826E-2</v>
      </c>
      <c r="AY174" s="1" cm="1">
        <f t="array" ref="AY174">GreekGamma($E174,100,AY$168,0.01,0.3,0)</f>
        <v>1.4671609392337215E-2</v>
      </c>
      <c r="AZ174" s="1" cm="1">
        <f t="array" ref="AZ174">GreekGamma($E174,100,AZ$168,0.01,0.3,0)</f>
        <v>1.0978106060139997E-2</v>
      </c>
      <c r="BA174" s="1" cm="1">
        <f t="array" ref="BA174">GreekGamma($E174,100,BA$168,0.01,0.3,0)</f>
        <v>9.0324238181826739E-3</v>
      </c>
      <c r="BB174" s="1" cm="1">
        <f t="array" ref="BB174">GreekGamma($E174,100,BB$168,0.01,0.3,0)</f>
        <v>7.7865829825335157E-3</v>
      </c>
      <c r="BC174" s="1" cm="1">
        <f t="array" ref="BC174">GreekGamma($E174,100,BC$168,0.01,0.3,0)</f>
        <v>6.8988971767481684E-3</v>
      </c>
    </row>
    <row r="175" spans="3:55" x14ac:dyDescent="0.3">
      <c r="E175" s="2">
        <f t="shared" si="65"/>
        <v>90</v>
      </c>
      <c r="F175" s="1" cm="1">
        <f t="array" ref="F175">GreekGamma($E175,100,F$168,0.01,0.2,0)</f>
        <v>1.8916378586336522E-2</v>
      </c>
      <c r="G175" s="1" cm="1">
        <f t="array" ref="G175">GreekGamma($E175,100,G$168,0.01,0.2,0)</f>
        <v>2.6739234389615497E-2</v>
      </c>
      <c r="H175" s="1" cm="1">
        <f t="array" ref="H175">GreekGamma($E175,100,H$168,0.01,0.2,0)</f>
        <v>2.7482291431425852E-2</v>
      </c>
      <c r="I175" s="1" cm="1">
        <f t="array" ref="I175">GreekGamma($E175,100,I$168,0.01,0.2,0)</f>
        <v>2.6687880405210137E-2</v>
      </c>
      <c r="J175" s="1" cm="1">
        <f t="array" ref="J175">GreekGamma($E175,100,J$168,0.01,0.2,0)</f>
        <v>2.5556533759819561E-2</v>
      </c>
      <c r="K175" s="1" cm="1">
        <f t="array" ref="K175">GreekGamma($E175,100,K$168,0.01,0.2,0)</f>
        <v>2.4406774147524603E-2</v>
      </c>
      <c r="L175" s="1" cm="1">
        <f t="array" ref="L175">GreekGamma($E175,100,L$168,0.01,0.2,0)</f>
        <v>2.3329031963279279E-2</v>
      </c>
      <c r="M175" s="1" cm="1">
        <f t="array" ref="M175">GreekGamma($E175,100,M$168,0.01,0.2,0)</f>
        <v>2.2344641814505347E-2</v>
      </c>
      <c r="N175" s="1" cm="1">
        <f t="array" ref="N175">GreekGamma($E175,100,N$168,0.01,0.2,0)</f>
        <v>2.1452524339852525E-2</v>
      </c>
      <c r="O175" s="1" cm="1">
        <f t="array" ref="O175">GreekGamma($E175,100,O$168,0.01,0.2,0)</f>
        <v>2.0644622964645629E-2</v>
      </c>
      <c r="P175" s="1" cm="1">
        <f t="array" ref="P175">GreekGamma($E175,100,P$168,0.01,0.2,0)</f>
        <v>1.5471684475151492E-2</v>
      </c>
      <c r="Q175" s="1" cm="1">
        <f t="array" ref="Q175">GreekGamma($E175,100,Q$168,0.01,0.2,0)</f>
        <v>1.2783505889003443E-2</v>
      </c>
      <c r="R175" s="1" cm="1">
        <f t="array" ref="R175">GreekGamma($E175,100,R$168,0.01,0.2,0)</f>
        <v>1.1074310697636874E-2</v>
      </c>
      <c r="S175" s="1" cm="1">
        <f t="array" ref="S175">GreekGamma($E175,100,S$168,0.01,0.2,0)</f>
        <v>9.8625457284395694E-3</v>
      </c>
      <c r="W175" s="2">
        <f t="shared" si="66"/>
        <v>90</v>
      </c>
      <c r="X175" s="1" cm="1">
        <f t="array" ref="X175">GreekGamma($E175,100,X$168,0.01,0.1,0)</f>
        <v>6.3723381042931433E-4</v>
      </c>
      <c r="Y175" s="1" cm="1">
        <f t="array" ref="Y175">GreekGamma($E175,100,Y$168,0.01,0.1,0)</f>
        <v>7.2202698909513228E-3</v>
      </c>
      <c r="Z175" s="1" cm="1">
        <f t="array" ref="Z175">GreekGamma($E175,100,Z$168,0.01,0.1,0)</f>
        <v>1.4851555899595284E-2</v>
      </c>
      <c r="AA175" s="1" cm="1">
        <f t="array" ref="AA175">GreekGamma($E175,100,AA$168,0.01,0.1,0)</f>
        <v>2.0402828136932075E-2</v>
      </c>
      <c r="AB175" s="1" cm="1">
        <f t="array" ref="AB175">GreekGamma($E175,100,AB$168,0.01,0.1,0)</f>
        <v>2.4058724750173604E-2</v>
      </c>
      <c r="AC175" s="1" cm="1">
        <f t="array" ref="AC175">GreekGamma($E175,100,AC$168,0.01,0.1,0)</f>
        <v>2.6396354113062123E-2</v>
      </c>
      <c r="AD175" s="1" cm="1">
        <f t="array" ref="AD175">GreekGamma($E175,100,AD$168,0.01,0.1,0)</f>
        <v>2.7859621858699932E-2</v>
      </c>
      <c r="AE175" s="1" cm="1">
        <f t="array" ref="AE175">GreekGamma($E175,100,AE$168,0.01,0.1,0)</f>
        <v>2.8743231871235127E-2</v>
      </c>
      <c r="AF175" s="1" cm="1">
        <f t="array" ref="AF175">GreekGamma($E175,100,AF$168,0.01,0.1,0)</f>
        <v>2.92381675347584E-2</v>
      </c>
      <c r="AG175" s="1" cm="1">
        <f t="array" ref="AG175">GreekGamma($E175,100,AG$168,0.01,0.1,0)</f>
        <v>2.9469063817634214E-2</v>
      </c>
      <c r="AH175" s="1" cm="1">
        <f t="array" ref="AH175">GreekGamma($E175,100,AH$168,0.01,0.1,0)</f>
        <v>2.7195143108108635E-2</v>
      </c>
      <c r="AI175" s="1" cm="1">
        <f t="array" ref="AI175">GreekGamma($E175,100,AI$168,0.01,0.1,0)</f>
        <v>2.4084363839664259E-2</v>
      </c>
      <c r="AJ175" s="1" cm="1">
        <f t="array" ref="AJ175">GreekGamma($E175,100,AJ$168,0.01,0.1,0)</f>
        <v>2.1600690529166151E-2</v>
      </c>
      <c r="AK175" s="1" cm="1">
        <f t="array" ref="AK175">GreekGamma($E175,100,AK$168,0.01,0.1,0)</f>
        <v>1.9641714650531644E-2</v>
      </c>
      <c r="AO175" s="2">
        <f t="shared" si="67"/>
        <v>90</v>
      </c>
      <c r="AP175" s="1" cm="1">
        <f t="array" ref="AP175">GreekGamma($E175,100,AP$168,0.01,0.3,0)</f>
        <v>2.6849994493107564E-2</v>
      </c>
      <c r="AQ175" s="1" cm="1">
        <f t="array" ref="AQ175">GreekGamma($E175,100,AQ$168,0.01,0.3,0)</f>
        <v>2.5799834788109949E-2</v>
      </c>
      <c r="AR175" s="1" cm="1">
        <f t="array" ref="AR175">GreekGamma($E175,100,AR$168,0.01,0.3,0)</f>
        <v>2.3306691732956811E-2</v>
      </c>
      <c r="AS175" s="1" cm="1">
        <f t="array" ref="AS175">GreekGamma($E175,100,AS$168,0.01,0.3,0)</f>
        <v>2.1212946857819128E-2</v>
      </c>
      <c r="AT175" s="1" cm="1">
        <f t="array" ref="AT175">GreekGamma($E175,100,AT$168,0.01,0.3,0)</f>
        <v>1.9534751872486739E-2</v>
      </c>
      <c r="AU175" s="1" cm="1">
        <f t="array" ref="AU175">GreekGamma($E175,100,AU$168,0.01,0.3,0)</f>
        <v>1.8172524320191757E-2</v>
      </c>
      <c r="AV175" s="1" cm="1">
        <f t="array" ref="AV175">GreekGamma($E175,100,AV$168,0.01,0.3,0)</f>
        <v>1.7044687194816176E-2</v>
      </c>
      <c r="AW175" s="1" cm="1">
        <f t="array" ref="AW175">GreekGamma($E175,100,AW$168,0.01,0.3,0)</f>
        <v>1.6093332217008625E-2</v>
      </c>
      <c r="AX175" s="1" cm="1">
        <f t="array" ref="AX175">GreekGamma($E175,100,AX$168,0.01,0.3,0)</f>
        <v>1.5277763824001958E-2</v>
      </c>
      <c r="AY175" s="1" cm="1">
        <f t="array" ref="AY175">GreekGamma($E175,100,AY$168,0.01,0.3,0)</f>
        <v>1.4568912566910487E-2</v>
      </c>
      <c r="AZ175" s="1" cm="1">
        <f t="array" ref="AZ175">GreekGamma($E175,100,AZ$168,0.01,0.3,0)</f>
        <v>1.0447330574272131E-2</v>
      </c>
      <c r="BA175" s="1" cm="1">
        <f t="array" ref="BA175">GreekGamma($E175,100,BA$168,0.01,0.3,0)</f>
        <v>8.4747143075524275E-3</v>
      </c>
      <c r="BB175" s="1" cm="1">
        <f t="array" ref="BB175">GreekGamma($E175,100,BB$168,0.01,0.3,0)</f>
        <v>7.2541928646975579E-3</v>
      </c>
      <c r="BC175" s="1" cm="1">
        <f t="array" ref="BC175">GreekGamma($E175,100,BC$168,0.01,0.3,0)</f>
        <v>6.399922384282445E-3</v>
      </c>
    </row>
    <row r="176" spans="3:55" x14ac:dyDescent="0.3">
      <c r="E176" s="2">
        <f t="shared" si="65"/>
        <v>95</v>
      </c>
      <c r="F176" s="1" cm="1">
        <f t="array" ref="F176">GreekGamma($E176,100,F$168,0.01,0.2,0)</f>
        <v>4.960740057577824E-2</v>
      </c>
      <c r="G176" s="1" cm="1">
        <f t="array" ref="G176">GreekGamma($E176,100,G$168,0.01,0.2,0)</f>
        <v>4.1300684164172589E-2</v>
      </c>
      <c r="H176" s="1" cm="1">
        <f t="array" ref="H176">GreekGamma($E176,100,H$168,0.01,0.2,0)</f>
        <v>3.5581792279001198E-2</v>
      </c>
      <c r="I176" s="1" cm="1">
        <f t="array" ref="I176">GreekGamma($E176,100,I$168,0.01,0.2,0)</f>
        <v>3.1635322258043566E-2</v>
      </c>
      <c r="J176" s="1" cm="1">
        <f t="array" ref="J176">GreekGamma($E176,100,J$168,0.01,0.2,0)</f>
        <v>2.8732281352043244E-2</v>
      </c>
      <c r="K176" s="1" cm="1">
        <f t="array" ref="K176">GreekGamma($E176,100,K$168,0.01,0.2,0)</f>
        <v>2.64881643942976E-2</v>
      </c>
      <c r="L176" s="1" cm="1">
        <f t="array" ref="L176">GreekGamma($E176,100,L$168,0.01,0.2,0)</f>
        <v>2.4688265009858643E-2</v>
      </c>
      <c r="M176" s="1" cm="1">
        <f t="array" ref="M176">GreekGamma($E176,100,M$168,0.01,0.2,0)</f>
        <v>2.3203661883923712E-2</v>
      </c>
      <c r="N176" s="1" cm="1">
        <f t="array" ref="N176">GreekGamma($E176,100,N$168,0.01,0.2,0)</f>
        <v>2.1952066922098775E-2</v>
      </c>
      <c r="O176" s="1" cm="1">
        <f t="array" ref="O176">GreekGamma($E176,100,O$168,0.01,0.2,0)</f>
        <v>2.087829727981377E-2</v>
      </c>
      <c r="P176" s="1" cm="1">
        <f t="array" ref="P176">GreekGamma($E176,100,P$168,0.01,0.2,0)</f>
        <v>1.4840061535306964E-2</v>
      </c>
      <c r="Q176" s="1" cm="1">
        <f t="array" ref="Q176">GreekGamma($E176,100,Q$168,0.01,0.2,0)</f>
        <v>1.2047161650680642E-2</v>
      </c>
      <c r="R176" s="1" cm="1">
        <f t="array" ref="R176">GreekGamma($E176,100,R$168,0.01,0.2,0)</f>
        <v>1.034474514620942E-2</v>
      </c>
      <c r="S176" s="1" cm="1">
        <f t="array" ref="S176">GreekGamma($E176,100,S$168,0.01,0.2,0)</f>
        <v>9.1641696406864273E-3</v>
      </c>
      <c r="W176" s="2">
        <f t="shared" si="66"/>
        <v>95</v>
      </c>
      <c r="X176" s="1" cm="1">
        <f t="array" ref="X176">GreekGamma($E176,100,X$168,0.01,0.1,0)</f>
        <v>3.8441261874572009E-2</v>
      </c>
      <c r="Y176" s="1" cm="1">
        <f t="array" ref="Y176">GreekGamma($E176,100,Y$168,0.01,0.1,0)</f>
        <v>5.2414503254015789E-2</v>
      </c>
      <c r="Z176" s="1" cm="1">
        <f t="array" ref="Z176">GreekGamma($E176,100,Z$168,0.01,0.1,0)</f>
        <v>5.3227540948401555E-2</v>
      </c>
      <c r="AA176" s="1" cm="1">
        <f t="array" ref="AA176">GreekGamma($E176,100,AA$168,0.01,0.1,0)</f>
        <v>5.1379281037838447E-2</v>
      </c>
      <c r="AB176" s="1" cm="1">
        <f t="array" ref="AB176">GreekGamma($E176,100,AB$168,0.01,0.1,0)</f>
        <v>4.9024161779533067E-2</v>
      </c>
      <c r="AC176" s="1" cm="1">
        <f t="array" ref="AC176">GreekGamma($E176,100,AC$168,0.01,0.1,0)</f>
        <v>4.6706228570157653E-2</v>
      </c>
      <c r="AD176" s="1" cm="1">
        <f t="array" ref="AD176">GreekGamma($E176,100,AD$168,0.01,0.1,0)</f>
        <v>4.4567221413124178E-2</v>
      </c>
      <c r="AE176" s="1" cm="1">
        <f t="array" ref="AE176">GreekGamma($E176,100,AE$168,0.01,0.1,0)</f>
        <v>4.2631739576590874E-2</v>
      </c>
      <c r="AF176" s="1" cm="1">
        <f t="array" ref="AF176">GreekGamma($E176,100,AF$168,0.01,0.1,0)</f>
        <v>4.0888684659269078E-2</v>
      </c>
      <c r="AG176" s="1" cm="1">
        <f t="array" ref="AG176">GreekGamma($E176,100,AG$168,0.01,0.1,0)</f>
        <v>3.9317306319057527E-2</v>
      </c>
      <c r="AH176" s="1" cm="1">
        <f t="array" ref="AH176">GreekGamma($E176,100,AH$168,0.01,0.1,0)</f>
        <v>2.9359502161316497E-2</v>
      </c>
      <c r="AI176" s="1" cm="1">
        <f t="array" ref="AI176">GreekGamma($E176,100,AI$168,0.01,0.1,0)</f>
        <v>2.4229204673908024E-2</v>
      </c>
      <c r="AJ176" s="1" cm="1">
        <f t="array" ref="AJ176">GreekGamma($E176,100,AJ$168,0.01,0.1,0)</f>
        <v>2.0977075164115507E-2</v>
      </c>
      <c r="AK176" s="1" cm="1">
        <f t="array" ref="AK176">GreekGamma($E176,100,AK$168,0.01,0.1,0)</f>
        <v>1.8675003380643759E-2</v>
      </c>
      <c r="AO176" s="2">
        <f t="shared" si="67"/>
        <v>95</v>
      </c>
      <c r="AP176" s="1" cm="1">
        <f t="array" ref="AP176">GreekGamma($E176,100,AP$168,0.01,0.3,0)</f>
        <v>3.9397555493342631E-2</v>
      </c>
      <c r="AQ176" s="1" cm="1">
        <f t="array" ref="AQ176">GreekGamma($E176,100,AQ$168,0.01,0.3,0)</f>
        <v>2.9920175402764988E-2</v>
      </c>
      <c r="AR176" s="1" cm="1">
        <f t="array" ref="AR176">GreekGamma($E176,100,AR$168,0.01,0.3,0)</f>
        <v>2.4990132225163456E-2</v>
      </c>
      <c r="AS176" s="1" cm="1">
        <f t="array" ref="AS176">GreekGamma($E176,100,AS$168,0.01,0.3,0)</f>
        <v>2.187052870331763E-2</v>
      </c>
      <c r="AT176" s="1" cm="1">
        <f t="array" ref="AT176">GreekGamma($E176,100,AT$168,0.01,0.3,0)</f>
        <v>1.9671994336736283E-2</v>
      </c>
      <c r="AU176" s="1" cm="1">
        <f t="array" ref="AU176">GreekGamma($E176,100,AU$168,0.01,0.3,0)</f>
        <v>1.8015399304984771E-2</v>
      </c>
      <c r="AV176" s="1" cm="1">
        <f t="array" ref="AV176">GreekGamma($E176,100,AV$168,0.01,0.3,0)</f>
        <v>1.6709061466729101E-2</v>
      </c>
      <c r="AW176" s="1" cm="1">
        <f t="array" ref="AW176">GreekGamma($E176,100,AW$168,0.01,0.3,0)</f>
        <v>1.5644431582997612E-2</v>
      </c>
      <c r="AX176" s="1" cm="1">
        <f t="array" ref="AX176">GreekGamma($E176,100,AX$168,0.01,0.3,0)</f>
        <v>1.4754868041798963E-2</v>
      </c>
      <c r="AY176" s="1" cm="1">
        <f t="array" ref="AY176">GreekGamma($E176,100,AY$168,0.01,0.3,0)</f>
        <v>1.3996906305568681E-2</v>
      </c>
      <c r="AZ176" s="1" cm="1">
        <f t="array" ref="AZ176">GreekGamma($E176,100,AZ$168,0.01,0.3,0)</f>
        <v>9.8037554378220954E-3</v>
      </c>
      <c r="BA176" s="1" cm="1">
        <f t="array" ref="BA176">GreekGamma($E176,100,BA$168,0.01,0.3,0)</f>
        <v>7.8905317151781781E-3</v>
      </c>
      <c r="BB176" s="1" cm="1">
        <f t="array" ref="BB176">GreekGamma($E176,100,BB$168,0.01,0.3,0)</f>
        <v>6.727711143982254E-3</v>
      </c>
      <c r="BC176" s="1" cm="1">
        <f t="array" ref="BC176">GreekGamma($E176,100,BC$168,0.01,0.3,0)</f>
        <v>5.9214922774464777E-3</v>
      </c>
    </row>
    <row r="177" spans="5:55" x14ac:dyDescent="0.3">
      <c r="E177" s="2">
        <f t="shared" si="65"/>
        <v>100</v>
      </c>
      <c r="F177" s="1" cm="1">
        <f t="array" ref="F177">GreekGamma($E177,100,F$168,0.01,0.2,0)</f>
        <v>6.3007389850102583E-2</v>
      </c>
      <c r="G177" s="1" cm="1">
        <f t="array" ref="G177">GreekGamma($E177,100,G$168,0.01,0.2,0)</f>
        <v>4.4502858739261325E-2</v>
      </c>
      <c r="H177" s="1" cm="1">
        <f t="array" ref="H177">GreekGamma($E177,100,H$168,0.01,0.2,0)</f>
        <v>3.629557650164205E-2</v>
      </c>
      <c r="I177" s="1" cm="1">
        <f t="array" ref="I177">GreekGamma($E177,100,I$168,0.01,0.2,0)</f>
        <v>3.1397549176385632E-2</v>
      </c>
      <c r="J177" s="1" cm="1">
        <f t="array" ref="J177">GreekGamma($E177,100,J$168,0.01,0.2,0)</f>
        <v>2.8051246304186251E-2</v>
      </c>
      <c r="K177" s="1" cm="1">
        <f t="array" ref="K177">GreekGamma($E177,100,K$168,0.01,0.2,0)</f>
        <v>2.5578375413499596E-2</v>
      </c>
      <c r="L177" s="1" cm="1">
        <f t="array" ref="L177">GreekGamma($E177,100,L$168,0.01,0.2,0)</f>
        <v>2.3654347961507342E-2</v>
      </c>
      <c r="M177" s="1" cm="1">
        <f t="array" ref="M177">GreekGamma($E177,100,M$168,0.01,0.2,0)</f>
        <v>2.2101737998123483E-2</v>
      </c>
      <c r="N177" s="1" cm="1">
        <f t="array" ref="N177">GreekGamma($E177,100,N$168,0.01,0.2,0)</f>
        <v>2.0814289167512139E-2</v>
      </c>
      <c r="O177" s="1" cm="1">
        <f t="array" ref="O177">GreekGamma($E177,100,O$168,0.01,0.2,0)</f>
        <v>1.9723966545394447E-2</v>
      </c>
      <c r="P177" s="1" cm="1">
        <f t="array" ref="P177">GreekGamma($E177,100,P$168,0.01,0.2,0)</f>
        <v>1.3790926583135297E-2</v>
      </c>
      <c r="Q177" s="1" cm="1">
        <f t="array" ref="Q177">GreekGamma($E177,100,Q$168,0.01,0.2,0)</f>
        <v>1.1134276551152785E-2</v>
      </c>
      <c r="R177" s="1" cm="1">
        <f t="array" ref="R177">GreekGamma($E177,100,R$168,0.01,0.2,0)</f>
        <v>9.5346953865131021E-3</v>
      </c>
      <c r="S177" s="1" cm="1">
        <f t="array" ref="S177">GreekGamma($E177,100,S$168,0.01,0.2,0)</f>
        <v>8.4326874401380626E-3</v>
      </c>
      <c r="W177" s="2">
        <f t="shared" si="66"/>
        <v>100</v>
      </c>
      <c r="X177" s="1" cm="1">
        <f t="array" ref="X177">GreekGamma($E177,100,X$168,0.01,0.1,0)</f>
        <v>0.12601477970020517</v>
      </c>
      <c r="Y177" s="1" cm="1">
        <f t="array" ref="Y177">GreekGamma($E177,100,Y$168,0.01,0.1,0)</f>
        <v>8.900571747852265E-2</v>
      </c>
      <c r="Z177" s="1" cm="1">
        <f t="array" ref="Z177">GreekGamma($E177,100,Z$168,0.01,0.1,0)</f>
        <v>7.2591153003284101E-2</v>
      </c>
      <c r="AA177" s="1" cm="1">
        <f t="array" ref="AA177">GreekGamma($E177,100,AA$168,0.01,0.1,0)</f>
        <v>6.2795098352771264E-2</v>
      </c>
      <c r="AB177" s="1" cm="1">
        <f t="array" ref="AB177">GreekGamma($E177,100,AB$168,0.01,0.1,0)</f>
        <v>5.6102492608372502E-2</v>
      </c>
      <c r="AC177" s="1" cm="1">
        <f t="array" ref="AC177">GreekGamma($E177,100,AC$168,0.01,0.1,0)</f>
        <v>5.1156750826999192E-2</v>
      </c>
      <c r="AD177" s="1" cm="1">
        <f t="array" ref="AD177">GreekGamma($E177,100,AD$168,0.01,0.1,0)</f>
        <v>4.7308695923014683E-2</v>
      </c>
      <c r="AE177" s="1" cm="1">
        <f t="array" ref="AE177">GreekGamma($E177,100,AE$168,0.01,0.1,0)</f>
        <v>4.4203475996246966E-2</v>
      </c>
      <c r="AF177" s="1" cm="1">
        <f t="array" ref="AF177">GreekGamma($E177,100,AF$168,0.01,0.1,0)</f>
        <v>4.1628578335024279E-2</v>
      </c>
      <c r="AG177" s="1" cm="1">
        <f t="array" ref="AG177">GreekGamma($E177,100,AG$168,0.01,0.1,0)</f>
        <v>3.9447933090788895E-2</v>
      </c>
      <c r="AH177" s="1" cm="1">
        <f t="array" ref="AH177">GreekGamma($E177,100,AH$168,0.01,0.1,0)</f>
        <v>2.7581853166270594E-2</v>
      </c>
      <c r="AI177" s="1" cm="1">
        <f t="array" ref="AI177">GreekGamma($E177,100,AI$168,0.01,0.1,0)</f>
        <v>2.226855310230557E-2</v>
      </c>
      <c r="AJ177" s="1" cm="1">
        <f t="array" ref="AJ177">GreekGamma($E177,100,AJ$168,0.01,0.1,0)</f>
        <v>1.9069390773026208E-2</v>
      </c>
      <c r="AK177" s="1" cm="1">
        <f t="array" ref="AK177">GreekGamma($E177,100,AK$168,0.01,0.1,0)</f>
        <v>1.6865374880276125E-2</v>
      </c>
      <c r="AO177" s="2">
        <f t="shared" si="67"/>
        <v>100</v>
      </c>
      <c r="AP177" s="1" cm="1">
        <f t="array" ref="AP177">GreekGamma($E177,100,AP$168,0.01,0.3,0)</f>
        <v>4.1981596977461719E-2</v>
      </c>
      <c r="AQ177" s="1" cm="1">
        <f t="array" ref="AQ177">GreekGamma($E177,100,AQ$168,0.01,0.3,0)</f>
        <v>2.963562571944587E-2</v>
      </c>
      <c r="AR177" s="1" cm="1">
        <f t="array" ref="AR177">GreekGamma($E177,100,AR$168,0.01,0.3,0)</f>
        <v>2.4156756171112039E-2</v>
      </c>
      <c r="AS177" s="1" cm="1">
        <f t="array" ref="AS177">GreekGamma($E177,100,AS$168,0.01,0.3,0)</f>
        <v>2.0885236208200961E-2</v>
      </c>
      <c r="AT177" s="1" cm="1">
        <f t="array" ref="AT177">GreekGamma($E177,100,AT$168,0.01,0.3,0)</f>
        <v>1.8648956198552002E-2</v>
      </c>
      <c r="AU177" s="1" cm="1">
        <f t="array" ref="AU177">GreekGamma($E177,100,AU$168,0.01,0.3,0)</f>
        <v>1.6995504070964788E-2</v>
      </c>
      <c r="AV177" s="1" cm="1">
        <f t="array" ref="AV177">GreekGamma($E177,100,AV$168,0.01,0.3,0)</f>
        <v>1.5708358311106813E-2</v>
      </c>
      <c r="AW177" s="1" cm="1">
        <f t="array" ref="AW177">GreekGamma($E177,100,AW$168,0.01,0.3,0)</f>
        <v>1.4669150678135831E-2</v>
      </c>
      <c r="AX177" s="1" cm="1">
        <f t="array" ref="AX177">GreekGamma($E177,100,AX$168,0.01,0.3,0)</f>
        <v>1.38069849781331E-2</v>
      </c>
      <c r="AY177" s="1" cm="1">
        <f t="array" ref="AY177">GreekGamma($E177,100,AY$168,0.01,0.3,0)</f>
        <v>1.3076461848524425E-2</v>
      </c>
      <c r="AZ177" s="1" cm="1">
        <f t="array" ref="AZ177">GreekGamma($E177,100,AZ$168,0.01,0.3,0)</f>
        <v>9.092361475410371E-3</v>
      </c>
      <c r="BA177" s="1" cm="1">
        <f t="array" ref="BA177">GreekGamma($E177,100,BA$168,0.01,0.3,0)</f>
        <v>7.3001620980094519E-3</v>
      </c>
      <c r="BB177" s="1" cm="1">
        <f t="array" ref="BB177">GreekGamma($E177,100,BB$168,0.01,0.3,0)</f>
        <v>6.2167667801221425E-3</v>
      </c>
      <c r="BC177" s="1" cm="1">
        <f t="array" ref="BC177">GreekGamma($E177,100,BC$168,0.01,0.3,0)</f>
        <v>5.4677797056007201E-3</v>
      </c>
    </row>
    <row r="178" spans="5:55" x14ac:dyDescent="0.3">
      <c r="E178" s="2">
        <f t="shared" si="65"/>
        <v>105</v>
      </c>
      <c r="F178" s="1" cm="1">
        <f t="array" ref="F178">GreekGamma($E178,100,F$168,0.01,0.2,0)</f>
        <v>4.2961708392642108E-2</v>
      </c>
      <c r="G178" s="1" cm="1">
        <f t="array" ref="G178">GreekGamma($E178,100,G$168,0.01,0.2,0)</f>
        <v>3.5212130286942131E-2</v>
      </c>
      <c r="H178" s="1" cm="1">
        <f t="array" ref="H178">GreekGamma($E178,100,H$168,0.01,0.2,0)</f>
        <v>3.0178399358531959E-2</v>
      </c>
      <c r="I178" s="1" cm="1">
        <f t="array" ref="I178">GreekGamma($E178,100,I$168,0.01,0.2,0)</f>
        <v>2.6761306237360671E-2</v>
      </c>
      <c r="J178" s="1" cm="1">
        <f t="array" ref="J178">GreekGamma($E178,100,J$168,0.01,0.2,0)</f>
        <v>2.4267506445708333E-2</v>
      </c>
      <c r="K178" s="1" cm="1">
        <f t="array" ref="K178">GreekGamma($E178,100,K$168,0.01,0.2,0)</f>
        <v>2.234876720629585E-2</v>
      </c>
      <c r="L178" s="1" cm="1">
        <f t="array" ref="L178">GreekGamma($E178,100,L$168,0.01,0.2,0)</f>
        <v>2.0814619144845087E-2</v>
      </c>
      <c r="M178" s="1" cm="1">
        <f t="array" ref="M178">GreekGamma($E178,100,M$168,0.01,0.2,0)</f>
        <v>1.9552017122180455E-2</v>
      </c>
      <c r="N178" s="1" cm="1">
        <f t="array" ref="N178">GreekGamma($E178,100,N$168,0.01,0.2,0)</f>
        <v>1.8489346824041977E-2</v>
      </c>
      <c r="O178" s="1" cm="1">
        <f t="array" ref="O178">GreekGamma($E178,100,O$168,0.01,0.2,0)</f>
        <v>1.7578836087368842E-2</v>
      </c>
      <c r="P178" s="1" cm="1">
        <f t="array" ref="P178">GreekGamma($E178,100,P$168,0.01,0.2,0)</f>
        <v>1.2475292570391813E-2</v>
      </c>
      <c r="Q178" s="1" cm="1">
        <f t="array" ref="Q178">GreekGamma($E178,100,Q$168,0.01,0.2,0)</f>
        <v>1.0122157910866229E-2</v>
      </c>
      <c r="R178" s="1" cm="1">
        <f t="array" ref="R178">GreekGamma($E178,100,R$168,0.01,0.2,0)</f>
        <v>8.6895009017126795E-3</v>
      </c>
      <c r="S178" s="1" cm="1">
        <f t="array" ref="S178">GreekGamma($E178,100,S$168,0.01,0.2,0)</f>
        <v>7.6966219777363501E-3</v>
      </c>
      <c r="W178" s="2">
        <f t="shared" si="66"/>
        <v>105</v>
      </c>
      <c r="X178" s="1" cm="1">
        <f t="array" ref="X178">GreekGamma($E178,100,X$168,0.01,0.1,0)</f>
        <v>3.3926069444668298E-2</v>
      </c>
      <c r="Y178" s="1" cm="1">
        <f t="array" ref="Y178">GreekGamma($E178,100,Y$168,0.01,0.1,0)</f>
        <v>4.3449753071981678E-2</v>
      </c>
      <c r="Z178" s="1" cm="1">
        <f t="array" ref="Z178">GreekGamma($E178,100,Z$168,0.01,0.1,0)</f>
        <v>4.3212117686085322E-2</v>
      </c>
      <c r="AA178" s="1" cm="1">
        <f t="array" ref="AA178">GreekGamma($E178,100,AA$168,0.01,0.1,0)</f>
        <v>4.1278492158452369E-2</v>
      </c>
      <c r="AB178" s="1" cm="1">
        <f t="array" ref="AB178">GreekGamma($E178,100,AB$168,0.01,0.1,0)</f>
        <v>3.9140464152421513E-2</v>
      </c>
      <c r="AC178" s="1" cm="1">
        <f t="array" ref="AC178">GreekGamma($E178,100,AC$168,0.01,0.1,0)</f>
        <v>3.7134472308525492E-2</v>
      </c>
      <c r="AD178" s="1" cm="1">
        <f t="array" ref="AD178">GreekGamma($E178,100,AD$168,0.01,0.1,0)</f>
        <v>3.5328302741473985E-2</v>
      </c>
      <c r="AE178" s="1" cm="1">
        <f t="array" ref="AE178">GreekGamma($E178,100,AE$168,0.01,0.1,0)</f>
        <v>3.3718545937390321E-2</v>
      </c>
      <c r="AF178" s="1" cm="1">
        <f t="array" ref="AF178">GreekGamma($E178,100,AF$168,0.01,0.1,0)</f>
        <v>3.2283704705699037E-2</v>
      </c>
      <c r="AG178" s="1" cm="1">
        <f t="array" ref="AG178">GreekGamma($E178,100,AG$168,0.01,0.1,0)</f>
        <v>3.0999845988993836E-2</v>
      </c>
      <c r="AH178" s="1" cm="1">
        <f t="array" ref="AH178">GreekGamma($E178,100,AH$168,0.01,0.1,0)</f>
        <v>2.3004058320651034E-2</v>
      </c>
      <c r="AI178" s="1" cm="1">
        <f t="array" ref="AI178">GreekGamma($E178,100,AI$168,0.01,0.1,0)</f>
        <v>1.8944723118837964E-2</v>
      </c>
      <c r="AJ178" s="1" cm="1">
        <f t="array" ref="AJ178">GreekGamma($E178,100,AJ$168,0.01,0.1,0)</f>
        <v>1.6384783361470954E-2</v>
      </c>
      <c r="AK178" s="1" cm="1">
        <f t="array" ref="AK178">GreekGamma($E178,100,AK$168,0.01,0.1,0)</f>
        <v>1.4577547243302307E-2</v>
      </c>
      <c r="AO178" s="2">
        <f t="shared" si="67"/>
        <v>105</v>
      </c>
      <c r="AP178" s="1" cm="1">
        <f t="array" ref="AP178">GreekGamma($E178,100,AP$168,0.01,0.3,0)</f>
        <v>3.4000529020197359E-2</v>
      </c>
      <c r="AQ178" s="1" cm="1">
        <f t="array" ref="AQ178">GreekGamma($E178,100,AQ$168,0.01,0.3,0)</f>
        <v>2.5642378317564656E-2</v>
      </c>
      <c r="AR178" s="1" cm="1">
        <f t="array" ref="AR178">GreekGamma($E178,100,AR$168,0.01,0.3,0)</f>
        <v>2.1367578691690259E-2</v>
      </c>
      <c r="AS178" s="1" cm="1">
        <f t="array" ref="AS178">GreekGamma($E178,100,AS$168,0.01,0.3,0)</f>
        <v>1.8678514542129088E-2</v>
      </c>
      <c r="AT178" s="1" cm="1">
        <f t="array" ref="AT178">GreekGamma($E178,100,AT$168,0.01,0.3,0)</f>
        <v>1.6789169768697557E-2</v>
      </c>
      <c r="AU178" s="1" cm="1">
        <f t="array" ref="AU178">GreekGamma($E178,100,AU$168,0.01,0.3,0)</f>
        <v>1.5368208376167369E-2</v>
      </c>
      <c r="AV178" s="1" cm="1">
        <f t="array" ref="AV178">GreekGamma($E178,100,AV$168,0.01,0.3,0)</f>
        <v>1.4249101786859477E-2</v>
      </c>
      <c r="AW178" s="1" cm="1">
        <f t="array" ref="AW178">GreekGamma($E178,100,AW$168,0.01,0.3,0)</f>
        <v>1.3337894677823489E-2</v>
      </c>
      <c r="AX178" s="1" cm="1">
        <f t="array" ref="AX178">GreekGamma($E178,100,AX$168,0.01,0.3,0)</f>
        <v>1.2577052515957671E-2</v>
      </c>
      <c r="AY178" s="1" cm="1">
        <f t="array" ref="AY178">GreekGamma($E178,100,AY$168,0.01,0.3,0)</f>
        <v>1.1929120878360656E-2</v>
      </c>
      <c r="AZ178" s="1" cm="1">
        <f t="array" ref="AZ178">GreekGamma($E178,100,AZ$168,0.01,0.3,0)</f>
        <v>8.3496184427614972E-3</v>
      </c>
      <c r="BA178" s="1" cm="1">
        <f t="array" ref="BA178">GreekGamma($E178,100,BA$168,0.01,0.3,0)</f>
        <v>6.7186139847336453E-3</v>
      </c>
      <c r="BB178" s="1" cm="1">
        <f t="array" ref="BB178">GreekGamma($E178,100,BB$168,0.01,0.3,0)</f>
        <v>5.7278335105389287E-3</v>
      </c>
      <c r="BC178" s="1" cm="1">
        <f t="array" ref="BC178">GreekGamma($E178,100,BC$168,0.01,0.3,0)</f>
        <v>5.0410846970877594E-3</v>
      </c>
    </row>
    <row r="179" spans="5:55" x14ac:dyDescent="0.3">
      <c r="E179" s="2">
        <f t="shared" si="65"/>
        <v>110</v>
      </c>
      <c r="F179" s="1" cm="1">
        <f t="array" ref="F179">GreekGamma($E179,100,F$168,0.01,0.2,0)</f>
        <v>1.7132125878144413E-2</v>
      </c>
      <c r="G179" s="1" cm="1">
        <f t="array" ref="G179">GreekGamma($E179,100,G$168,0.01,0.2,0)</f>
        <v>2.1349081451222499E-2</v>
      </c>
      <c r="H179" s="1" cm="1">
        <f t="array" ref="H179">GreekGamma($E179,100,H$168,0.01,0.2,0)</f>
        <v>2.1039503593612032E-2</v>
      </c>
      <c r="I179" s="1" cm="1">
        <f t="array" ref="I179">GreekGamma($E179,100,I$168,0.01,0.2,0)</f>
        <v>2.0006577096239694E-2</v>
      </c>
      <c r="J179" s="1" cm="1">
        <f t="array" ref="J179">GreekGamma($E179,100,J$168,0.01,0.2,0)</f>
        <v>1.8918485039079756E-2</v>
      </c>
      <c r="K179" s="1" cm="1">
        <f t="array" ref="K179">GreekGamma($E179,100,K$168,0.01,0.2,0)</f>
        <v>1.7916173218194179E-2</v>
      </c>
      <c r="L179" s="1" cm="1">
        <f t="array" ref="L179">GreekGamma($E179,100,L$168,0.01,0.2,0)</f>
        <v>1.7022556226213847E-2</v>
      </c>
      <c r="M179" s="1" cm="1">
        <f t="array" ref="M179">GreekGamma($E179,100,M$168,0.01,0.2,0)</f>
        <v>1.6231040004613291E-2</v>
      </c>
      <c r="N179" s="1" cm="1">
        <f t="array" ref="N179">GreekGamma($E179,100,N$168,0.01,0.2,0)</f>
        <v>1.5528543194402063E-2</v>
      </c>
      <c r="O179" s="1" cm="1">
        <f t="array" ref="O179">GreekGamma($E179,100,O$168,0.01,0.2,0)</f>
        <v>1.4901938093572724E-2</v>
      </c>
      <c r="P179" s="1" cm="1">
        <f t="array" ref="P179">GreekGamma($E179,100,P$168,0.01,0.2,0)</f>
        <v>1.1028059378052651E-2</v>
      </c>
      <c r="Q179" s="1" cm="1">
        <f t="array" ref="Q179">GreekGamma($E179,100,Q$168,0.01,0.2,0)</f>
        <v>9.0737477955800411E-3</v>
      </c>
      <c r="R179" s="1" cm="1">
        <f t="array" ref="R179">GreekGamma($E179,100,R$168,0.01,0.2,0)</f>
        <v>7.8440625463605997E-3</v>
      </c>
      <c r="S179" s="1" cm="1">
        <f t="array" ref="S179">GreekGamma($E179,100,S$168,0.01,0.2,0)</f>
        <v>6.9769553505238452E-3</v>
      </c>
      <c r="W179" s="2">
        <f t="shared" si="66"/>
        <v>110</v>
      </c>
      <c r="X179" s="1" cm="1">
        <f t="array" ref="X179">GreekGamma($E179,100,X$168,0.01,0.1,0)</f>
        <v>1.0577125055269182E-3</v>
      </c>
      <c r="Y179" s="1" cm="1">
        <f t="array" ref="Y179">GreekGamma($E179,100,Y$168,0.01,0.1,0)</f>
        <v>7.2385257929532482E-3</v>
      </c>
      <c r="Z179" s="1" cm="1">
        <f t="array" ref="Z179">GreekGamma($E179,100,Z$168,0.01,0.1,0)</f>
        <v>1.2585716288856262E-2</v>
      </c>
      <c r="AA179" s="1" cm="1">
        <f t="array" ref="AA179">GreekGamma($E179,100,AA$168,0.01,0.1,0)</f>
        <v>1.5896481134192911E-2</v>
      </c>
      <c r="AB179" s="1" cm="1">
        <f t="array" ref="AB179">GreekGamma($E179,100,AB$168,0.01,0.1,0)</f>
        <v>1.7823213843019738E-2</v>
      </c>
      <c r="AC179" s="1" cm="1">
        <f t="array" ref="AC179">GreekGamma($E179,100,AC$168,0.01,0.1,0)</f>
        <v>1.8908593172743498E-2</v>
      </c>
      <c r="AD179" s="1" cm="1">
        <f t="array" ref="AD179">GreekGamma($E179,100,AD$168,0.01,0.1,0)</f>
        <v>1.9483332622964505E-2</v>
      </c>
      <c r="AE179" s="1" cm="1">
        <f t="array" ref="AE179">GreekGamma($E179,100,AE$168,0.01,0.1,0)</f>
        <v>1.9742547542846399E-2</v>
      </c>
      <c r="AF179" s="1" cm="1">
        <f t="array" ref="AF179">GreekGamma($E179,100,AF$168,0.01,0.1,0)</f>
        <v>1.9803191408745976E-2</v>
      </c>
      <c r="AG179" s="1" cm="1">
        <f t="array" ref="AG179">GreekGamma($E179,100,AG$168,0.01,0.1,0)</f>
        <v>1.9737190221859439E-2</v>
      </c>
      <c r="AH179" s="1" cm="1">
        <f t="array" ref="AH179">GreekGamma($E179,100,AH$168,0.01,0.1,0)</f>
        <v>1.7318613598151577E-2</v>
      </c>
      <c r="AI179" s="1" cm="1">
        <f t="array" ref="AI179">GreekGamma($E179,100,AI$168,0.01,0.1,0)</f>
        <v>1.5081963394812057E-2</v>
      </c>
      <c r="AJ179" s="1" cm="1">
        <f t="array" ref="AJ179">GreekGamma($E179,100,AJ$168,0.01,0.1,0)</f>
        <v>1.3413459498534529E-2</v>
      </c>
      <c r="AK179" s="1" cm="1">
        <f t="array" ref="AK179">GreekGamma($E179,100,AK$168,0.01,0.1,0)</f>
        <v>1.2135644435772964E-2</v>
      </c>
      <c r="AO179" s="2">
        <f t="shared" si="67"/>
        <v>110</v>
      </c>
      <c r="AP179" s="1" cm="1">
        <f t="array" ref="AP179">GreekGamma($E179,100,AP$168,0.01,0.3,0)</f>
        <v>2.1736822486638243E-2</v>
      </c>
      <c r="AQ179" s="1" cm="1">
        <f t="array" ref="AQ179">GreekGamma($E179,100,AQ$168,0.01,0.3,0)</f>
        <v>1.9748701502398165E-2</v>
      </c>
      <c r="AR179" s="1" cm="1">
        <f t="array" ref="AR179">GreekGamma($E179,100,AR$168,0.01,0.3,0)</f>
        <v>1.7510243021562302E-2</v>
      </c>
      <c r="AS179" s="1" cm="1">
        <f t="array" ref="AS179">GreekGamma($E179,100,AS$168,0.01,0.3,0)</f>
        <v>1.5789104753624824E-2</v>
      </c>
      <c r="AT179" s="1" cm="1">
        <f t="array" ref="AT179">GreekGamma($E179,100,AT$168,0.01,0.3,0)</f>
        <v>1.4458770943216178E-2</v>
      </c>
      <c r="AU179" s="1" cm="1">
        <f t="array" ref="AU179">GreekGamma($E179,100,AU$168,0.01,0.3,0)</f>
        <v>1.3400367884206782E-2</v>
      </c>
      <c r="AV179" s="1" cm="1">
        <f t="array" ref="AV179">GreekGamma($E179,100,AV$168,0.01,0.3,0)</f>
        <v>1.253521869678631E-2</v>
      </c>
      <c r="AW179" s="1" cm="1">
        <f t="array" ref="AW179">GreekGamma($E179,100,AW$168,0.01,0.3,0)</f>
        <v>1.1811904293602783E-2</v>
      </c>
      <c r="AX179" s="1" cm="1">
        <f t="array" ref="AX179">GreekGamma($E179,100,AX$168,0.01,0.3,0)</f>
        <v>1.1195871235951033E-2</v>
      </c>
      <c r="AY179" s="1" cm="1">
        <f t="array" ref="AY179">GreekGamma($E179,100,AY$168,0.01,0.3,0)</f>
        <v>1.0663126660408761E-2</v>
      </c>
      <c r="AZ179" s="1" cm="1">
        <f t="array" ref="AZ179">GreekGamma($E179,100,AZ$168,0.01,0.3,0)</f>
        <v>7.603783522576131E-3</v>
      </c>
      <c r="BA179" s="1" cm="1">
        <f t="array" ref="BA179">GreekGamma($E179,100,BA$168,0.01,0.3,0)</f>
        <v>6.1565649557768741E-3</v>
      </c>
      <c r="BB179" s="1" cm="1">
        <f t="array" ref="BB179">GreekGamma($E179,100,BB$168,0.01,0.3,0)</f>
        <v>5.2649832426331956E-3</v>
      </c>
      <c r="BC179" s="1" cm="1">
        <f t="array" ref="BC179">GreekGamma($E179,100,BC$168,0.01,0.3,0)</f>
        <v>4.6423651796185005E-3</v>
      </c>
    </row>
    <row r="180" spans="5:55" x14ac:dyDescent="0.3">
      <c r="E180" s="2">
        <f t="shared" si="65"/>
        <v>115</v>
      </c>
      <c r="F180" s="1" cm="1">
        <f t="array" ref="F180">GreekGamma($E180,100,F$168,0.01,0.2,0)</f>
        <v>4.2930333278127031E-3</v>
      </c>
      <c r="G180" s="1" cm="1">
        <f t="array" ref="G180">GreekGamma($E180,100,G$168,0.01,0.2,0)</f>
        <v>1.0279303406877476E-2</v>
      </c>
      <c r="H180" s="1" cm="1">
        <f t="array" ref="H180">GreekGamma($E180,100,H$168,0.01,0.2,0)</f>
        <v>1.2594003477751484E-2</v>
      </c>
      <c r="I180" s="1" cm="1">
        <f t="array" ref="I180">GreekGamma($E180,100,I$168,0.01,0.2,0)</f>
        <v>1.3352820984703351E-2</v>
      </c>
      <c r="J180" s="1" cm="1">
        <f t="array" ref="J180">GreekGamma($E180,100,J$168,0.01,0.2,0)</f>
        <v>1.3478753756809101E-2</v>
      </c>
      <c r="K180" s="1" cm="1">
        <f t="array" ref="K180">GreekGamma($E180,100,K$168,0.01,0.2,0)</f>
        <v>1.333267834934383E-2</v>
      </c>
      <c r="L180" s="1" cm="1">
        <f t="array" ref="L180">GreekGamma($E180,100,L$168,0.01,0.2,0)</f>
        <v>1.3067821328100538E-2</v>
      </c>
      <c r="M180" s="1" cm="1">
        <f t="array" ref="M180">GreekGamma($E180,100,M$168,0.01,0.2,0)</f>
        <v>1.2754236173725023E-2</v>
      </c>
      <c r="N180" s="1" cm="1">
        <f t="array" ref="N180">GreekGamma($E180,100,N$168,0.01,0.2,0)</f>
        <v>1.2425602990436631E-2</v>
      </c>
      <c r="O180" s="1" cm="1">
        <f t="array" ref="O180">GreekGamma($E180,100,O$168,0.01,0.2,0)</f>
        <v>1.2098525266351957E-2</v>
      </c>
      <c r="P180" s="1" cm="1">
        <f t="array" ref="P180">GreekGamma($E180,100,P$168,0.01,0.2,0)</f>
        <v>9.5576676672171137E-3</v>
      </c>
      <c r="Q180" s="1" cm="1">
        <f t="array" ref="Q180">GreekGamma($E180,100,Q$168,0.01,0.2,0)</f>
        <v>8.0369990403848391E-3</v>
      </c>
      <c r="R180" s="1" cm="1">
        <f t="array" ref="R180">GreekGamma($E180,100,R$168,0.01,0.2,0)</f>
        <v>7.0238536178371452E-3</v>
      </c>
      <c r="S180" s="1" cm="1">
        <f t="array" ref="S180">GreekGamma($E180,100,S$168,0.01,0.2,0)</f>
        <v>6.2883493733863101E-3</v>
      </c>
      <c r="W180" s="2">
        <f t="shared" si="66"/>
        <v>115</v>
      </c>
      <c r="X180" s="1" cm="1">
        <f t="array" ref="X180">GreekGamma($E180,100,X$168,0.01,0.1,0)</f>
        <v>5.0939285700327113E-6</v>
      </c>
      <c r="Y180" s="1" cm="1">
        <f t="array" ref="Y180">GreekGamma($E180,100,Y$168,0.01,0.1,0)</f>
        <v>4.751834300064429E-4</v>
      </c>
      <c r="Z180" s="1" cm="1">
        <f t="array" ref="Z180">GreekGamma($E180,100,Z$168,0.01,0.1,0)</f>
        <v>1.9736239926009705E-3</v>
      </c>
      <c r="AA180" s="1" cm="1">
        <f t="array" ref="AA180">GreekGamma($E180,100,AA$168,0.01,0.1,0)</f>
        <v>3.8527882067153165E-3</v>
      </c>
      <c r="AB180" s="1" cm="1">
        <f t="array" ref="AB180">GreekGamma($E180,100,AB$168,0.01,0.1,0)</f>
        <v>5.6093527215653792E-3</v>
      </c>
      <c r="AC180" s="1" cm="1">
        <f t="array" ref="AC180">GreekGamma($E180,100,AC$168,0.01,0.1,0)</f>
        <v>7.0830615084530833E-3</v>
      </c>
      <c r="AD180" s="1" cm="1">
        <f t="array" ref="AD180">GreekGamma($E180,100,AD$168,0.01,0.1,0)</f>
        <v>8.2651375479295131E-3</v>
      </c>
      <c r="AE180" s="1" cm="1">
        <f t="array" ref="AE180">GreekGamma($E180,100,AE$168,0.01,0.1,0)</f>
        <v>9.19409140342148E-3</v>
      </c>
      <c r="AF180" s="1" cm="1">
        <f t="array" ref="AF180">GreekGamma($E180,100,AF$168,0.01,0.1,0)</f>
        <v>9.9164315716425769E-3</v>
      </c>
      <c r="AG180" s="1" cm="1">
        <f t="array" ref="AG180">GreekGamma($E180,100,AG$168,0.01,0.1,0)</f>
        <v>1.0474112849205519E-2</v>
      </c>
      <c r="AH180" s="1" cm="1">
        <f t="array" ref="AH180">GreekGamma($E180,100,AH$168,0.01,0.1,0)</f>
        <v>1.193431892911874E-2</v>
      </c>
      <c r="AI180" s="1" cm="1">
        <f t="array" ref="AI180">GreekGamma($E180,100,AI$168,0.01,0.1,0)</f>
        <v>1.1338612960202372E-2</v>
      </c>
      <c r="AJ180" s="1" cm="1">
        <f t="array" ref="AJ180">GreekGamma($E180,100,AJ$168,0.01,0.1,0)</f>
        <v>1.053298866360371E-2</v>
      </c>
      <c r="AK180" s="1" cm="1">
        <f t="array" ref="AK180">GreekGamma($E180,100,AK$168,0.01,0.1,0)</f>
        <v>9.7818031211006871E-3</v>
      </c>
      <c r="AO180" s="2">
        <f t="shared" si="67"/>
        <v>115</v>
      </c>
      <c r="AP180" s="1" cm="1">
        <f t="array" ref="AP180">GreekGamma($E180,100,AP$168,0.01,0.3,0)</f>
        <v>1.132338909622355E-2</v>
      </c>
      <c r="AQ180" s="1" cm="1">
        <f t="array" ref="AQ180">GreekGamma($E180,100,AQ$168,0.01,0.3,0)</f>
        <v>1.3752363931184045E-2</v>
      </c>
      <c r="AR180" s="1" cm="1">
        <f t="array" ref="AR180">GreekGamma($E180,100,AR$168,0.01,0.3,0)</f>
        <v>1.3432302518922605E-2</v>
      </c>
      <c r="AS180" s="1" cm="1">
        <f t="array" ref="AS180">GreekGamma($E180,100,AS$168,0.01,0.3,0)</f>
        <v>1.2712341075815795E-2</v>
      </c>
      <c r="AT180" s="1" cm="1">
        <f t="array" ref="AT180">GreekGamma($E180,100,AT$168,0.01,0.3,0)</f>
        <v>1.1984095247208172E-2</v>
      </c>
      <c r="AU180" s="1" cm="1">
        <f t="array" ref="AU180">GreekGamma($E180,100,AU$168,0.01,0.3,0)</f>
        <v>1.132386000635301E-2</v>
      </c>
      <c r="AV180" s="1" cm="1">
        <f t="array" ref="AV180">GreekGamma($E180,100,AV$168,0.01,0.3,0)</f>
        <v>1.074020246658062E-2</v>
      </c>
      <c r="AW180" s="1" cm="1">
        <f t="array" ref="AW180">GreekGamma($E180,100,AW$168,0.01,0.3,0)</f>
        <v>1.022592397572397E-2</v>
      </c>
      <c r="AX180" s="1" cm="1">
        <f t="array" ref="AX180">GreekGamma($E180,100,AX$168,0.01,0.3,0)</f>
        <v>9.7710707636894881E-3</v>
      </c>
      <c r="AY180" s="1" cm="1">
        <f t="array" ref="AY180">GreekGamma($E180,100,AY$168,0.01,0.3,0)</f>
        <v>9.3663445595425308E-3</v>
      </c>
      <c r="AZ180" s="1" cm="1">
        <f t="array" ref="AZ180">GreekGamma($E180,100,AZ$168,0.01,0.3,0)</f>
        <v>6.8757669831697628E-3</v>
      </c>
      <c r="BA180" s="1" cm="1">
        <f t="array" ref="BA180">GreekGamma($E180,100,BA$168,0.01,0.3,0)</f>
        <v>5.6212360131347814E-3</v>
      </c>
      <c r="BB180" s="1" cm="1">
        <f t="array" ref="BB180">GreekGamma($E180,100,BB$168,0.01,0.3,0)</f>
        <v>4.8304914892427558E-3</v>
      </c>
      <c r="BC180" s="1" cm="1">
        <f t="array" ref="BC180">GreekGamma($E180,100,BC$168,0.01,0.3,0)</f>
        <v>4.2716357498546308E-3</v>
      </c>
    </row>
    <row r="181" spans="5:55" x14ac:dyDescent="0.3">
      <c r="E181" s="2">
        <f t="shared" si="65"/>
        <v>120</v>
      </c>
      <c r="F181" s="1" cm="1">
        <f t="array" ref="F181">GreekGamma($E181,100,F$168,0.01,0.2,0)</f>
        <v>7.1823787351586244E-4</v>
      </c>
      <c r="G181" s="1" cm="1">
        <f t="array" ref="G181">GreekGamma($E181,100,G$168,0.01,0.2,0)</f>
        <v>4.0508179535475647E-3</v>
      </c>
      <c r="H181" s="1" cm="1">
        <f t="array" ref="H181">GreekGamma($E181,100,H$168,0.01,0.2,0)</f>
        <v>6.6034037139998079E-3</v>
      </c>
      <c r="I181" s="1" cm="1">
        <f t="array" ref="I181">GreekGamma($E181,100,I$168,0.01,0.2,0)</f>
        <v>8.0758746095868535E-3</v>
      </c>
      <c r="J181" s="1" cm="1">
        <f t="array" ref="J181">GreekGamma($E181,100,J$168,0.01,0.2,0)</f>
        <v>8.881243547387634E-3</v>
      </c>
      <c r="K181" s="1" cm="1">
        <f t="array" ref="K181">GreekGamma($E181,100,K$168,0.01,0.2,0)</f>
        <v>9.3013597568778455E-3</v>
      </c>
      <c r="L181" s="1" cm="1">
        <f t="array" ref="L181">GreekGamma($E181,100,L$168,0.01,0.2,0)</f>
        <v>9.4962050866496343E-3</v>
      </c>
      <c r="M181" s="1" cm="1">
        <f t="array" ref="M181">GreekGamma($E181,100,M$168,0.01,0.2,0)</f>
        <v>9.5562993383245896E-3</v>
      </c>
      <c r="N181" s="1" cm="1">
        <f t="array" ref="N181">GreekGamma($E181,100,N$168,0.01,0.2,0)</f>
        <v>9.5342861100476319E-3</v>
      </c>
      <c r="O181" s="1" cm="1">
        <f t="array" ref="O181">GreekGamma($E181,100,O$168,0.01,0.2,0)</f>
        <v>9.46175015661453E-3</v>
      </c>
      <c r="P181" s="1" cm="1">
        <f t="array" ref="P181">GreekGamma($E181,100,P$168,0.01,0.2,0)</f>
        <v>8.1432630811320347E-3</v>
      </c>
      <c r="Q181" s="1" cm="1">
        <f t="array" ref="Q181">GreekGamma($E181,100,Q$168,0.01,0.2,0)</f>
        <v>7.0460051549628569E-3</v>
      </c>
      <c r="R181" s="1" cm="1">
        <f t="array" ref="R181">GreekGamma($E181,100,R$168,0.01,0.2,0)</f>
        <v>6.2463417557349936E-3</v>
      </c>
      <c r="S181" s="1" cm="1">
        <f t="array" ref="S181">GreekGamma($E181,100,S$168,0.01,0.2,0)</f>
        <v>5.6403714114604637E-3</v>
      </c>
      <c r="W181" s="2">
        <f t="shared" si="66"/>
        <v>120</v>
      </c>
      <c r="X181" s="1" cm="1">
        <f t="array" ref="X181">GreekGamma($E181,100,X$168,0.01,0.1,0)</f>
        <v>4.8333065983836828E-9</v>
      </c>
      <c r="Y181" s="1" cm="1">
        <f t="array" ref="Y181">GreekGamma($E181,100,Y$168,0.01,0.1,0)</f>
        <v>1.3878827508435486E-5</v>
      </c>
      <c r="Z181" s="1" cm="1">
        <f t="array" ref="Z181">GreekGamma($E181,100,Z$168,0.01,0.1,0)</f>
        <v>1.8065746203269195E-4</v>
      </c>
      <c r="AA181" s="1" cm="1">
        <f t="array" ref="AA181">GreekGamma($E181,100,AA$168,0.01,0.1,0)</f>
        <v>6.2433347878451597E-4</v>
      </c>
      <c r="AB181" s="1" cm="1">
        <f t="array" ref="AB181">GreekGamma($E181,100,AB$168,0.01,0.1,0)</f>
        <v>1.2805137235044073E-3</v>
      </c>
      <c r="AC181" s="1" cm="1">
        <f t="array" ref="AC181">GreekGamma($E181,100,AC$168,0.01,0.1,0)</f>
        <v>2.0319475824949751E-3</v>
      </c>
      <c r="AD181" s="1" cm="1">
        <f t="array" ref="AD181">GreekGamma($E181,100,AD$168,0.01,0.1,0)</f>
        <v>2.7913416838140047E-3</v>
      </c>
      <c r="AE181" s="1" cm="1">
        <f t="array" ref="AE181">GreekGamma($E181,100,AE$168,0.01,0.1,0)</f>
        <v>3.5093388466936421E-3</v>
      </c>
      <c r="AF181" s="1" cm="1">
        <f t="array" ref="AF181">GreekGamma($E181,100,AF$168,0.01,0.1,0)</f>
        <v>4.1630686520652081E-3</v>
      </c>
      <c r="AG181" s="1" cm="1">
        <f t="array" ref="AG181">GreekGamma($E181,100,AG$168,0.01,0.1,0)</f>
        <v>4.7451367772989453E-3</v>
      </c>
      <c r="AH181" s="1" cm="1">
        <f t="array" ref="AH181">GreekGamma($E181,100,AH$168,0.01,0.1,0)</f>
        <v>7.6165645282489083E-3</v>
      </c>
      <c r="AI181" s="1" cm="1">
        <f t="array" ref="AI181">GreekGamma($E181,100,AI$168,0.01,0.1,0)</f>
        <v>8.1120649104783824E-3</v>
      </c>
      <c r="AJ181" s="1" cm="1">
        <f t="array" ref="AJ181">GreekGamma($E181,100,AJ$168,0.01,0.1,0)</f>
        <v>7.978625905498065E-3</v>
      </c>
      <c r="AK181" s="1" cm="1">
        <f t="array" ref="AK181">GreekGamma($E181,100,AK$168,0.01,0.1,0)</f>
        <v>7.6679346587994893E-3</v>
      </c>
      <c r="AO181" s="2">
        <f t="shared" si="67"/>
        <v>120</v>
      </c>
      <c r="AP181" s="1" cm="1">
        <f t="array" ref="AP181">GreekGamma($E181,100,AP$168,0.01,0.3,0)</f>
        <v>4.9370130845059279E-3</v>
      </c>
      <c r="AQ181" s="1" cm="1">
        <f t="array" ref="AQ181">GreekGamma($E181,100,AQ$168,0.01,0.3,0)</f>
        <v>8.7746917760978451E-3</v>
      </c>
      <c r="AR181" s="1" cm="1">
        <f t="array" ref="AR181">GreekGamma($E181,100,AR$168,0.01,0.3,0)</f>
        <v>9.7303217208305585E-3</v>
      </c>
      <c r="AS181" s="1" cm="1">
        <f t="array" ref="AS181">GreekGamma($E181,100,AS$168,0.01,0.3,0)</f>
        <v>9.8121320272589463E-3</v>
      </c>
      <c r="AT181" s="1" cm="1">
        <f t="array" ref="AT181">GreekGamma($E181,100,AT$168,0.01,0.3,0)</f>
        <v>9.6090347795308416E-3</v>
      </c>
      <c r="AU181" s="1" cm="1">
        <f t="array" ref="AU181">GreekGamma($E181,100,AU$168,0.01,0.3,0)</f>
        <v>9.313082481780104E-3</v>
      </c>
      <c r="AV181" s="1" cm="1">
        <f t="array" ref="AV181">GreekGamma($E181,100,AV$168,0.01,0.3,0)</f>
        <v>8.9946864621100828E-3</v>
      </c>
      <c r="AW181" s="1" cm="1">
        <f t="array" ref="AW181">GreekGamma($E181,100,AW$168,0.01,0.3,0)</f>
        <v>8.6812461969082502E-3</v>
      </c>
      <c r="AX181" s="1" cm="1">
        <f t="array" ref="AX181">GreekGamma($E181,100,AX$168,0.01,0.3,0)</f>
        <v>8.3833035199653554E-3</v>
      </c>
      <c r="AY181" s="1" cm="1">
        <f t="array" ref="AY181">GreekGamma($E181,100,AY$168,0.01,0.3,0)</f>
        <v>8.1043460458643263E-3</v>
      </c>
      <c r="AZ181" s="1" cm="1">
        <f t="array" ref="AZ181">GreekGamma($E181,100,AZ$168,0.01,0.3,0)</f>
        <v>6.1802445927498402E-3</v>
      </c>
      <c r="BA181" s="1" cm="1">
        <f t="array" ref="BA181">GreekGamma($E181,100,BA$168,0.01,0.3,0)</f>
        <v>5.1171548019673802E-3</v>
      </c>
      <c r="BB181" s="1" cm="1">
        <f t="array" ref="BB181">GreekGamma($E181,100,BB$168,0.01,0.3,0)</f>
        <v>4.4253147744497462E-3</v>
      </c>
      <c r="BC181" s="1" cm="1">
        <f t="array" ref="BC181">GreekGamma($E181,100,BC$168,0.01,0.3,0)</f>
        <v>3.928264530213923E-3</v>
      </c>
    </row>
    <row r="182" spans="5:55" x14ac:dyDescent="0.3">
      <c r="E182" s="2">
        <f t="shared" si="65"/>
        <v>125</v>
      </c>
      <c r="F182" s="1" cm="1">
        <f t="array" ref="F182">GreekGamma($E182,100,F$168,0.01,0.2,0)</f>
        <v>8.4468232865850956E-5</v>
      </c>
      <c r="G182" s="1" cm="1">
        <f t="array" ref="G182">GreekGamma($E182,100,G$168,0.01,0.2,0)</f>
        <v>1.3404252747399995E-3</v>
      </c>
      <c r="H182" s="1" cm="1">
        <f t="array" ref="H182">GreekGamma($E182,100,H$168,0.01,0.2,0)</f>
        <v>3.0847927412867761E-3</v>
      </c>
      <c r="I182" s="1" cm="1">
        <f t="array" ref="I182">GreekGamma($E182,100,I$168,0.01,0.2,0)</f>
        <v>4.4825674910614188E-3</v>
      </c>
      <c r="J182" s="1" cm="1">
        <f t="array" ref="J182">GreekGamma($E182,100,J$168,0.01,0.2,0)</f>
        <v>5.466867238047071E-3</v>
      </c>
      <c r="K182" s="1" cm="1">
        <f t="array" ref="K182">GreekGamma($E182,100,K$168,0.01,0.2,0)</f>
        <v>6.1342693499021788E-3</v>
      </c>
      <c r="L182" s="1" cm="1">
        <f t="array" ref="L182">GreekGamma($E182,100,L$168,0.01,0.2,0)</f>
        <v>6.5790096216856182E-3</v>
      </c>
      <c r="M182" s="1" cm="1">
        <f t="array" ref="M182">GreekGamma($E182,100,M$168,0.01,0.2,0)</f>
        <v>6.8698255498420152E-3</v>
      </c>
      <c r="N182" s="1" cm="1">
        <f t="array" ref="N182">GreekGamma($E182,100,N$168,0.01,0.2,0)</f>
        <v>7.0538139252298484E-3</v>
      </c>
      <c r="O182" s="1" cm="1">
        <f t="array" ref="O182">GreekGamma($E182,100,O$168,0.01,0.2,0)</f>
        <v>7.162937779782763E-3</v>
      </c>
      <c r="P182" s="1" cm="1">
        <f t="array" ref="P182">GreekGamma($E182,100,P$168,0.01,0.2,0)</f>
        <v>6.8366861897907428E-3</v>
      </c>
      <c r="Q182" s="1" cm="1">
        <f t="array" ref="Q182">GreekGamma($E182,100,Q$168,0.01,0.2,0)</f>
        <v>6.1230240136718661E-3</v>
      </c>
      <c r="R182" s="1" cm="1">
        <f t="array" ref="R182">GreekGamma($E182,100,R$168,0.01,0.2,0)</f>
        <v>5.5225119093422646E-3</v>
      </c>
      <c r="S182" s="1" cm="1">
        <f t="array" ref="S182">GreekGamma($E182,100,S$168,0.01,0.2,0)</f>
        <v>5.0386172534840883E-3</v>
      </c>
      <c r="W182" s="2">
        <f t="shared" si="66"/>
        <v>125</v>
      </c>
      <c r="X182" s="1" cm="1">
        <f t="array" ref="X182">GreekGamma($E182,100,X$168,0.01,0.1,0)</f>
        <v>1.1110259985098475E-12</v>
      </c>
      <c r="Y182" s="1" cm="1">
        <f t="array" ref="Y182">GreekGamma($E182,100,Y$168,0.01,0.1,0)</f>
        <v>1.9995476488667826E-7</v>
      </c>
      <c r="Z182" s="1" cm="1">
        <f t="array" ref="Z182">GreekGamma($E182,100,Z$168,0.01,0.1,0)</f>
        <v>1.0338747257813656E-5</v>
      </c>
      <c r="AA182" s="1" cm="1">
        <f t="array" ref="AA182">GreekGamma($E182,100,AA$168,0.01,0.1,0)</f>
        <v>7.1210683603857566E-5</v>
      </c>
      <c r="AB182" s="1" cm="1">
        <f t="array" ref="AB182">GreekGamma($E182,100,AB$168,0.01,0.1,0)</f>
        <v>2.2091371478623331E-4</v>
      </c>
      <c r="AC182" s="1" cm="1">
        <f t="array" ref="AC182">GreekGamma($E182,100,AC$168,0.01,0.1,0)</f>
        <v>4.6191019586218834E-4</v>
      </c>
      <c r="AD182" s="1" cm="1">
        <f t="array" ref="AD182">GreekGamma($E182,100,AD$168,0.01,0.1,0)</f>
        <v>7.7274142964303314E-4</v>
      </c>
      <c r="AE182" s="1" cm="1">
        <f t="array" ref="AE182">GreekGamma($E182,100,AE$168,0.01,0.1,0)</f>
        <v>1.1262339391078598E-3</v>
      </c>
      <c r="AF182" s="1" cm="1">
        <f t="array" ref="AF182">GreekGamma($E182,100,AF$168,0.01,0.1,0)</f>
        <v>1.4987745127806541E-3</v>
      </c>
      <c r="AG182" s="1" cm="1">
        <f t="array" ref="AG182">GreekGamma($E182,100,AG$168,0.01,0.1,0)</f>
        <v>1.8728672584138728E-3</v>
      </c>
      <c r="AH182" s="1" cm="1">
        <f t="array" ref="AH182">GreekGamma($E182,100,AH$168,0.01,0.1,0)</f>
        <v>4.5470245404394486E-3</v>
      </c>
      <c r="AI182" s="1" cm="1">
        <f t="array" ref="AI182">GreekGamma($E182,100,AI$168,0.01,0.1,0)</f>
        <v>5.5590796015987437E-3</v>
      </c>
      <c r="AJ182" s="1" cm="1">
        <f t="array" ref="AJ182">GreekGamma($E182,100,AJ$168,0.01,0.1,0)</f>
        <v>5.8580251271742132E-3</v>
      </c>
      <c r="AK182" s="1" cm="1">
        <f t="array" ref="AK182">GreekGamma($E182,100,AK$168,0.01,0.1,0)</f>
        <v>5.8677624274978343E-3</v>
      </c>
      <c r="AO182" s="2">
        <f t="shared" si="67"/>
        <v>125</v>
      </c>
      <c r="AP182" s="1" cm="1">
        <f t="array" ref="AP182">GreekGamma($E182,100,AP$168,0.01,0.3,0)</f>
        <v>1.8430873083992024E-3</v>
      </c>
      <c r="AQ182" s="1" cm="1">
        <f t="array" ref="AQ182">GreekGamma($E182,100,AQ$168,0.01,0.3,0)</f>
        <v>5.1878950118337827E-3</v>
      </c>
      <c r="AR182" s="1" cm="1">
        <f t="array" ref="AR182">GreekGamma($E182,100,AR$168,0.01,0.3,0)</f>
        <v>6.7057249264153365E-3</v>
      </c>
      <c r="AS182" s="1" cm="1">
        <f t="array" ref="AS182">GreekGamma($E182,100,AS$168,0.01,0.3,0)</f>
        <v>7.3006500382870035E-3</v>
      </c>
      <c r="AT182" s="1" cm="1">
        <f t="array" ref="AT182">GreekGamma($E182,100,AT$168,0.01,0.3,0)</f>
        <v>7.4859286012427398E-3</v>
      </c>
      <c r="AU182" s="1" cm="1">
        <f t="array" ref="AU182">GreekGamma($E182,100,AU$168,0.01,0.3,0)</f>
        <v>7.4811990466972442E-3</v>
      </c>
      <c r="AV182" s="1" cm="1">
        <f t="array" ref="AV182">GreekGamma($E182,100,AV$168,0.01,0.3,0)</f>
        <v>7.3853698760191324E-3</v>
      </c>
      <c r="AW182" s="1" cm="1">
        <f t="array" ref="AW182">GreekGamma($E182,100,AW$168,0.01,0.3,0)</f>
        <v>7.2460218594597326E-3</v>
      </c>
      <c r="AX182" s="1" cm="1">
        <f t="array" ref="AX182">GreekGamma($E182,100,AX$168,0.01,0.3,0)</f>
        <v>7.0872762215001793E-3</v>
      </c>
      <c r="AY182" s="1" cm="1">
        <f t="array" ref="AY182">GreekGamma($E182,100,AY$168,0.01,0.3,0)</f>
        <v>6.9218060724324558E-3</v>
      </c>
      <c r="AZ182" s="1" cm="1">
        <f t="array" ref="AZ182">GreekGamma($E182,100,AZ$168,0.01,0.3,0)</f>
        <v>5.5268144202571534E-3</v>
      </c>
      <c r="BA182" s="1" cm="1">
        <f t="array" ref="BA182">GreekGamma($E182,100,BA$168,0.01,0.3,0)</f>
        <v>4.6467969605679992E-3</v>
      </c>
      <c r="BB182" s="1" cm="1">
        <f t="array" ref="BB182">GreekGamma($E182,100,BB$168,0.01,0.3,0)</f>
        <v>4.0494614630788676E-3</v>
      </c>
      <c r="BC182" s="1" cm="1">
        <f t="array" ref="BC182">GreekGamma($E182,100,BC$168,0.01,0.3,0)</f>
        <v>3.6111922111984628E-3</v>
      </c>
    </row>
    <row r="183" spans="5:55" x14ac:dyDescent="0.3">
      <c r="E183" s="2">
        <f t="shared" si="65"/>
        <v>130</v>
      </c>
      <c r="F183" s="1" cm="1">
        <f t="array" ref="F183">GreekGamma($E183,100,F$168,0.01,0.2,0)</f>
        <v>7.2972234478141014E-6</v>
      </c>
      <c r="G183" s="1" cm="1">
        <f t="array" ref="G183">GreekGamma($E183,100,G$168,0.01,0.2,0)</f>
        <v>3.8068919850193204E-4</v>
      </c>
      <c r="H183" s="1" cm="1">
        <f t="array" ref="H183">GreekGamma($E183,100,H$168,0.01,0.2,0)</f>
        <v>1.3026922814580193E-3</v>
      </c>
      <c r="I183" s="1" cm="1">
        <f t="array" ref="I183">GreekGamma($E183,100,I$168,0.01,0.2,0)</f>
        <v>2.3082701661092638E-3</v>
      </c>
      <c r="J183" s="1" cm="1">
        <f t="array" ref="J183">GreekGamma($E183,100,J$168,0.01,0.2,0)</f>
        <v>3.1709157235184286E-3</v>
      </c>
      <c r="K183" s="1" cm="1">
        <f t="array" ref="K183">GreekGamma($E183,100,K$168,0.01,0.2,0)</f>
        <v>3.8518254155354282E-3</v>
      </c>
      <c r="L183" s="1" cm="1">
        <f t="array" ref="L183">GreekGamma($E183,100,L$168,0.01,0.2,0)</f>
        <v>4.3719665660242645E-3</v>
      </c>
      <c r="M183" s="1" cm="1">
        <f t="array" ref="M183">GreekGamma($E183,100,M$168,0.01,0.2,0)</f>
        <v>4.763448098667143E-3</v>
      </c>
      <c r="N183" s="1" cm="1">
        <f t="array" ref="N183">GreekGamma($E183,100,N$168,0.01,0.2,0)</f>
        <v>5.0554177985015734E-3</v>
      </c>
      <c r="O183" s="1" cm="1">
        <f t="array" ref="O183">GreekGamma($E183,100,O$168,0.01,0.2,0)</f>
        <v>5.2712072632879236E-3</v>
      </c>
      <c r="P183" s="1" cm="1">
        <f t="array" ref="P183">GreekGamma($E183,100,P$168,0.01,0.2,0)</f>
        <v>5.6669702285113378E-3</v>
      </c>
      <c r="Q183" s="1" cm="1">
        <f t="array" ref="Q183">GreekGamma($E183,100,Q$168,0.01,0.2,0)</f>
        <v>5.2808038728821569E-3</v>
      </c>
      <c r="R183" s="1" cm="1">
        <f t="array" ref="R183">GreekGamma($E183,100,R$168,0.01,0.2,0)</f>
        <v>4.858308981287961E-3</v>
      </c>
      <c r="S183" s="1" cm="1">
        <f t="array" ref="S183">GreekGamma($E183,100,S$168,0.01,0.2,0)</f>
        <v>4.4856819490140861E-3</v>
      </c>
      <c r="W183" s="2">
        <f t="shared" si="66"/>
        <v>130</v>
      </c>
      <c r="X183" s="1" cm="1">
        <f t="array" ref="X183">GreekGamma($E183,100,X$168,0.01,0.1,0)</f>
        <v>7.382971539826821E-17</v>
      </c>
      <c r="Y183" s="1" cm="1">
        <f t="array" ref="Y183">GreekGamma($E183,100,Y$168,0.01,0.1,0)</f>
        <v>1.5520066218442012E-9</v>
      </c>
      <c r="Z183" s="1" cm="1">
        <f t="array" ref="Z183">GreekGamma($E183,100,Z$168,0.01,0.1,0)</f>
        <v>3.9226661156427291E-7</v>
      </c>
      <c r="AA183" s="1" cm="1">
        <f t="array" ref="AA183">GreekGamma($E183,100,AA$168,0.01,0.1,0)</f>
        <v>5.9735759091088035E-6</v>
      </c>
      <c r="AB183" s="1" cm="1">
        <f t="array" ref="AB183">GreekGamma($E183,100,AB$168,0.01,0.1,0)</f>
        <v>2.9830284442140869E-5</v>
      </c>
      <c r="AC183" s="1" cm="1">
        <f t="array" ref="AC183">GreekGamma($E183,100,AC$168,0.01,0.1,0)</f>
        <v>8.5668780985105099E-5</v>
      </c>
      <c r="AD183" s="1" cm="1">
        <f t="array" ref="AD183">GreekGamma($E183,100,AD$168,0.01,0.1,0)</f>
        <v>1.7978334895153025E-4</v>
      </c>
      <c r="AE183" s="1" cm="1">
        <f t="array" ref="AE183">GreekGamma($E183,100,AE$168,0.01,0.1,0)</f>
        <v>3.1058576900406615E-4</v>
      </c>
      <c r="AF183" s="1" cm="1">
        <f t="array" ref="AF183">GreekGamma($E183,100,AF$168,0.01,0.1,0)</f>
        <v>4.7175720539731353E-4</v>
      </c>
      <c r="AG183" s="1" cm="1">
        <f t="array" ref="AG183">GreekGamma($E183,100,AG$168,0.01,0.1,0)</f>
        <v>6.552887034285054E-4</v>
      </c>
      <c r="AH183" s="1" cm="1">
        <f t="array" ref="AH183">GreekGamma($E183,100,AH$168,0.01,0.1,0)</f>
        <v>2.5609344709387875E-3</v>
      </c>
      <c r="AI183" s="1" cm="1">
        <f t="array" ref="AI183">GreekGamma($E183,100,AI$168,0.01,0.1,0)</f>
        <v>3.669350702524464E-3</v>
      </c>
      <c r="AJ183" s="1" cm="1">
        <f t="array" ref="AJ183">GreekGamma($E183,100,AJ$168,0.01,0.1,0)</f>
        <v>4.1859606357164706E-3</v>
      </c>
      <c r="AK183" s="1" cm="1">
        <f t="array" ref="AK183">GreekGamma($E183,100,AK$168,0.01,0.1,0)</f>
        <v>4.3973494544828021E-3</v>
      </c>
      <c r="AO183" s="2">
        <f t="shared" si="67"/>
        <v>130</v>
      </c>
      <c r="AP183" s="1" cm="1">
        <f t="array" ref="AP183">GreekGamma($E183,100,AP$168,0.01,0.3,0)</f>
        <v>6.0071558236562614E-4</v>
      </c>
      <c r="AQ183" s="1" cm="1">
        <f t="array" ref="AQ183">GreekGamma($E183,100,AQ$168,0.01,0.3,0)</f>
        <v>2.8696661309163176E-3</v>
      </c>
      <c r="AR183" s="1" cm="1">
        <f t="array" ref="AR183">GreekGamma($E183,100,AR$168,0.01,0.3,0)</f>
        <v>4.4244401962093716E-3</v>
      </c>
      <c r="AS183" s="1" cm="1">
        <f t="array" ref="AS183">GreekGamma($E183,100,AS$168,0.01,0.3,0)</f>
        <v>5.2609033868653314E-3</v>
      </c>
      <c r="AT183" s="1" cm="1">
        <f t="array" ref="AT183">GreekGamma($E183,100,AT$168,0.01,0.3,0)</f>
        <v>5.6874317310270693E-3</v>
      </c>
      <c r="AU183" s="1" cm="1">
        <f t="array" ref="AU183">GreekGamma($E183,100,AU$168,0.01,0.3,0)</f>
        <v>5.8878427994134399E-3</v>
      </c>
      <c r="AV183" s="1" cm="1">
        <f t="array" ref="AV183">GreekGamma($E183,100,AV$168,0.01,0.3,0)</f>
        <v>5.9606848610583791E-3</v>
      </c>
      <c r="AW183" s="1" cm="1">
        <f t="array" ref="AW183">GreekGamma($E183,100,AW$168,0.01,0.3,0)</f>
        <v>5.9597458042224315E-3</v>
      </c>
      <c r="AX183" s="1" cm="1">
        <f t="array" ref="AX183">GreekGamma($E183,100,AX$168,0.01,0.3,0)</f>
        <v>5.91545955769436E-3</v>
      </c>
      <c r="AY183" s="1" cm="1">
        <f t="array" ref="AY183">GreekGamma($E183,100,AY$168,0.01,0.3,0)</f>
        <v>5.8456577452828994E-3</v>
      </c>
      <c r="AZ183" s="1" cm="1">
        <f t="array" ref="AZ183">GreekGamma($E183,100,AZ$168,0.01,0.3,0)</f>
        <v>4.9210815203458436E-3</v>
      </c>
      <c r="BA183" s="1" cm="1">
        <f t="array" ref="BA183">GreekGamma($E183,100,BA$168,0.01,0.3,0)</f>
        <v>4.2111102732515695E-3</v>
      </c>
      <c r="BB183" s="1" cm="1">
        <f t="array" ref="BB183">GreekGamma($E183,100,BB$168,0.01,0.3,0)</f>
        <v>3.7022761379487913E-3</v>
      </c>
      <c r="BC183" s="1" cm="1">
        <f t="array" ref="BC183">GreekGamma($E183,100,BC$168,0.01,0.3,0)</f>
        <v>3.3190921842812561E-3</v>
      </c>
    </row>
    <row r="184" spans="5:55" x14ac:dyDescent="0.3">
      <c r="E184" s="2">
        <f t="shared" si="65"/>
        <v>135</v>
      </c>
      <c r="F184" s="1" cm="1">
        <f t="array" ref="F184">GreekGamma($E184,100,F$168,0.01,0.2,0)</f>
        <v>4.8093577566927407E-7</v>
      </c>
      <c r="G184" s="1" cm="1">
        <f t="array" ref="G184">GreekGamma($E184,100,G$168,0.01,0.2,0)</f>
        <v>9.4556994587265296E-5</v>
      </c>
      <c r="H184" s="1" cm="1">
        <f t="array" ref="H184">GreekGamma($E184,100,H$168,0.01,0.2,0)</f>
        <v>5.0353481185788044E-4</v>
      </c>
      <c r="I184" s="1" cm="1">
        <f t="array" ref="I184">GreekGamma($E184,100,I$168,0.01,0.2,0)</f>
        <v>1.1130292486590083E-3</v>
      </c>
      <c r="J184" s="1" cm="1">
        <f t="array" ref="J184">GreekGamma($E184,100,J$168,0.01,0.2,0)</f>
        <v>1.7459186523562447E-3</v>
      </c>
      <c r="K184" s="1" cm="1">
        <f t="array" ref="K184">GreekGamma($E184,100,K$168,0.01,0.2,0)</f>
        <v>2.3169614647433373E-3</v>
      </c>
      <c r="L184" s="1" cm="1">
        <f t="array" ref="L184">GreekGamma($E184,100,L$168,0.01,0.2,0)</f>
        <v>2.8013465758306814E-3</v>
      </c>
      <c r="M184" s="1" cm="1">
        <f t="array" ref="M184">GreekGamma($E184,100,M$168,0.01,0.2,0)</f>
        <v>3.2002933770762325E-3</v>
      </c>
      <c r="N184" s="1" cm="1">
        <f t="array" ref="N184">GreekGamma($E184,100,N$168,0.01,0.2,0)</f>
        <v>3.5239585209983202E-3</v>
      </c>
      <c r="O184" s="1" cm="1">
        <f t="array" ref="O184">GreekGamma($E184,100,O$168,0.01,0.2,0)</f>
        <v>3.7843224261389775E-3</v>
      </c>
      <c r="P184" s="1" cm="1">
        <f t="array" ref="P184">GreekGamma($E184,100,P$168,0.01,0.2,0)</f>
        <v>4.6456697775222452E-3</v>
      </c>
      <c r="Q184" s="1" cm="1">
        <f t="array" ref="Q184">GreekGamma($E184,100,Q$168,0.01,0.2,0)</f>
        <v>4.5248469998567693E-3</v>
      </c>
      <c r="R184" s="1" cm="1">
        <f t="array" ref="R184">GreekGamma($E184,100,R$168,0.01,0.2,0)</f>
        <v>4.2559078918170063E-3</v>
      </c>
      <c r="S184" s="1" cm="1">
        <f t="array" ref="S184">GreekGamma($E184,100,S$168,0.01,0.2,0)</f>
        <v>3.9819655859202495E-3</v>
      </c>
      <c r="W184" s="2">
        <f t="shared" si="66"/>
        <v>135</v>
      </c>
      <c r="X184" s="1" cm="1">
        <f t="array" ref="X184">GreekGamma($E184,100,X$168,0.01,0.1,0)</f>
        <v>1.6508431991277696E-21</v>
      </c>
      <c r="Y184" s="1" cm="1">
        <f t="array" ref="Y184">GreekGamma($E184,100,Y$168,0.01,0.1,0)</f>
        <v>7.0007225305255789E-12</v>
      </c>
      <c r="Z184" s="1" cm="1">
        <f t="array" ref="Z184">GreekGamma($E184,100,Z$168,0.01,0.1,0)</f>
        <v>1.0377407251949267E-8</v>
      </c>
      <c r="AA184" s="1" cm="1">
        <f t="array" ref="AA184">GreekGamma($E184,100,AA$168,0.01,0.1,0)</f>
        <v>3.8271106091862608E-7</v>
      </c>
      <c r="AB184" s="1" cm="1">
        <f t="array" ref="AB184">GreekGamma($E184,100,AB$168,0.01,0.1,0)</f>
        <v>3.2491629195180632E-6</v>
      </c>
      <c r="AC184" s="1" cm="1">
        <f t="array" ref="AC184">GreekGamma($E184,100,AC$168,0.01,0.1,0)</f>
        <v>1.3291938562945936E-5</v>
      </c>
      <c r="AD184" s="1" cm="1">
        <f t="array" ref="AD184">GreekGamma($E184,100,AD$168,0.01,0.1,0)</f>
        <v>3.591421503332701E-5</v>
      </c>
      <c r="AE184" s="1" cm="1">
        <f t="array" ref="AE184">GreekGamma($E184,100,AE$168,0.01,0.1,0)</f>
        <v>7.4991466396696723E-5</v>
      </c>
      <c r="AF184" s="1" cm="1">
        <f t="array" ref="AF184">GreekGamma($E184,100,AF$168,0.01,0.1,0)</f>
        <v>1.3199891273585568E-4</v>
      </c>
      <c r="AG184" s="1" cm="1">
        <f t="array" ref="AG184">GreekGamma($E184,100,AG$168,0.01,0.1,0)</f>
        <v>2.0630117799148997E-4</v>
      </c>
      <c r="AH184" s="1" cm="1">
        <f t="array" ref="AH184">GreekGamma($E184,100,AH$168,0.01,0.1,0)</f>
        <v>1.3707080362701774E-3</v>
      </c>
      <c r="AI184" s="1" cm="1">
        <f t="array" ref="AI184">GreekGamma($E184,100,AI$168,0.01,0.1,0)</f>
        <v>2.3440212104340022E-3</v>
      </c>
      <c r="AJ184" s="1" cm="1">
        <f t="array" ref="AJ184">GreekGamma($E184,100,AJ$168,0.01,0.1,0)</f>
        <v>2.9213283025393976E-3</v>
      </c>
      <c r="AK184" s="1" cm="1">
        <f t="array" ref="AK184">GreekGamma($E184,100,AK$168,0.01,0.1,0)</f>
        <v>3.2361150487909911E-3</v>
      </c>
      <c r="AO184" s="2">
        <f t="shared" si="67"/>
        <v>135</v>
      </c>
      <c r="AP184" s="1" cm="1">
        <f t="array" ref="AP184">GreekGamma($E184,100,AP$168,0.01,0.3,0)</f>
        <v>1.7381608681207663E-4</v>
      </c>
      <c r="AQ184" s="1" cm="1">
        <f t="array" ref="AQ184">GreekGamma($E184,100,AQ$168,0.01,0.3,0)</f>
        <v>1.4974023713320017E-3</v>
      </c>
      <c r="AR184" s="1" cm="1">
        <f t="array" ref="AR184">GreekGamma($E184,100,AR$168,0.01,0.3,0)</f>
        <v>2.810137033792519E-3</v>
      </c>
      <c r="AS184" s="1" cm="1">
        <f t="array" ref="AS184">GreekGamma($E184,100,AS$168,0.01,0.3,0)</f>
        <v>3.6864683342030654E-3</v>
      </c>
      <c r="AT184" s="1" cm="1">
        <f t="array" ref="AT184">GreekGamma($E184,100,AT$168,0.01,0.3,0)</f>
        <v>4.2274159872265253E-3</v>
      </c>
      <c r="AU184" s="1" cm="1">
        <f t="array" ref="AU184">GreekGamma($E184,100,AU$168,0.01,0.3,0)</f>
        <v>4.5518443181372789E-3</v>
      </c>
      <c r="AV184" s="1" cm="1">
        <f t="array" ref="AV184">GreekGamma($E184,100,AV$168,0.01,0.3,0)</f>
        <v>4.7393843504899566E-3</v>
      </c>
      <c r="AW184" s="1" cm="1">
        <f t="array" ref="AW184">GreekGamma($E184,100,AW$168,0.01,0.3,0)</f>
        <v>4.8394882133299885E-3</v>
      </c>
      <c r="AX184" s="1" cm="1">
        <f t="array" ref="AX184">GreekGamma($E184,100,AX$168,0.01,0.3,0)</f>
        <v>4.8828534679731259E-3</v>
      </c>
      <c r="AY184" s="1" cm="1">
        <f t="array" ref="AY184">GreekGamma($E184,100,AY$168,0.01,0.3,0)</f>
        <v>4.8888801197403868E-3</v>
      </c>
      <c r="AZ184" s="1" cm="1">
        <f t="array" ref="AZ184">GreekGamma($E184,100,AZ$168,0.01,0.3,0)</f>
        <v>4.3656123603575472E-3</v>
      </c>
      <c r="BA184" s="1" cm="1">
        <f t="array" ref="BA184">GreekGamma($E184,100,BA$168,0.01,0.3,0)</f>
        <v>3.8099337821083405E-3</v>
      </c>
      <c r="BB184" s="1" cm="1">
        <f t="array" ref="BB184">GreekGamma($E184,100,BB$168,0.01,0.3,0)</f>
        <v>3.3826551294348179E-3</v>
      </c>
      <c r="BC184" s="1" cm="1">
        <f t="array" ref="BC184">GreekGamma($E184,100,BC$168,0.01,0.3,0)</f>
        <v>3.0504863785204566E-3</v>
      </c>
    </row>
    <row r="185" spans="5:55" x14ac:dyDescent="0.3">
      <c r="E185" s="2">
        <f t="shared" si="65"/>
        <v>140</v>
      </c>
      <c r="F185" s="1" cm="1">
        <f t="array" ref="F185">GreekGamma($E185,100,F$168,0.01,0.2,0)</f>
        <v>2.4984119686305784E-8</v>
      </c>
      <c r="G185" s="1" cm="1">
        <f t="array" ref="G185">GreekGamma($E185,100,G$168,0.01,0.2,0)</f>
        <v>2.0876714879530865E-5</v>
      </c>
      <c r="H185" s="1" cm="1">
        <f t="array" ref="H185">GreekGamma($E185,100,H$168,0.01,0.2,0)</f>
        <v>1.8007849189266537E-4</v>
      </c>
      <c r="I185" s="1" cm="1">
        <f t="array" ref="I185">GreekGamma($E185,100,I$168,0.01,0.2,0)</f>
        <v>5.0660659975445015E-4</v>
      </c>
      <c r="J185" s="1" cm="1">
        <f t="array" ref="J185">GreekGamma($E185,100,J$168,0.01,0.2,0)</f>
        <v>9.1839058774420622E-4</v>
      </c>
      <c r="K185" s="1" cm="1">
        <f t="array" ref="K185">GreekGamma($E185,100,K$168,0.01,0.2,0)</f>
        <v>1.3421930911671853E-3</v>
      </c>
      <c r="L185" s="1" cm="1">
        <f t="array" ref="L185">GreekGamma($E185,100,L$168,0.01,0.2,0)</f>
        <v>1.7385470025647579E-3</v>
      </c>
      <c r="M185" s="1" cm="1">
        <f t="array" ref="M185">GreekGamma($E185,100,M$168,0.01,0.2,0)</f>
        <v>2.0914714572423773E-3</v>
      </c>
      <c r="N185" s="1" cm="1">
        <f t="array" ref="N185">GreekGamma($E185,100,N$168,0.01,0.2,0)</f>
        <v>2.3974428180687469E-3</v>
      </c>
      <c r="O185" s="1" cm="1">
        <f t="array" ref="O185">GreekGamma($E185,100,O$168,0.01,0.2,0)</f>
        <v>2.6587031941631986E-3</v>
      </c>
      <c r="P185" s="1" cm="1">
        <f t="array" ref="P185">GreekGamma($E185,100,P$168,0.01,0.2,0)</f>
        <v>3.7719785580502142E-3</v>
      </c>
      <c r="Q185" s="1" cm="1">
        <f t="array" ref="Q185">GreekGamma($E185,100,Q$168,0.01,0.2,0)</f>
        <v>3.855415263882422E-3</v>
      </c>
      <c r="R185" s="1" cm="1">
        <f t="array" ref="R185">GreekGamma($E185,100,R$168,0.01,0.2,0)</f>
        <v>3.7147763845488606E-3</v>
      </c>
      <c r="S185" s="1" cm="1">
        <f t="array" ref="S185">GreekGamma($E185,100,S$168,0.01,0.2,0)</f>
        <v>3.5263212434632854E-3</v>
      </c>
      <c r="W185" s="2">
        <f t="shared" si="66"/>
        <v>140</v>
      </c>
      <c r="X185" s="1" cm="1">
        <f t="array" ref="X185">GreekGamma($E185,100,X$168,0.01,0.1,0)</f>
        <v>1.4160803501951785E-26</v>
      </c>
      <c r="Y185" s="1" cm="1">
        <f t="array" ref="Y185">GreekGamma($E185,100,Y$168,0.01,0.1,0)</f>
        <v>1.9592554647687471E-14</v>
      </c>
      <c r="Z185" s="1" cm="1">
        <f t="array" ref="Z185">GreekGamma($E185,100,Z$168,0.01,0.1,0)</f>
        <v>1.9993666289338829E-10</v>
      </c>
      <c r="AA185" s="1" cm="1">
        <f t="array" ref="AA185">GreekGamma($E185,100,AA$168,0.01,0.1,0)</f>
        <v>1.9346494359707462E-8</v>
      </c>
      <c r="AB185" s="1" cm="1">
        <f t="array" ref="AB185">GreekGamma($E185,100,AB$168,0.01,0.1,0)</f>
        <v>2.9299443269233372E-7</v>
      </c>
      <c r="AC185" s="1" cm="1">
        <f t="array" ref="AC185">GreekGamma($E185,100,AC$168,0.01,0.1,0)</f>
        <v>1.7629795738939588E-6</v>
      </c>
      <c r="AD185" s="1" cm="1">
        <f t="array" ref="AD185">GreekGamma($E185,100,AD$168,0.01,0.1,0)</f>
        <v>6.2750755529855403E-6</v>
      </c>
      <c r="AE185" s="1" cm="1">
        <f t="array" ref="AE185">GreekGamma($E185,100,AE$168,0.01,0.1,0)</f>
        <v>1.6111450652008537E-5</v>
      </c>
      <c r="AF185" s="1" cm="1">
        <f t="array" ref="AF185">GreekGamma($E185,100,AF$168,0.01,0.1,0)</f>
        <v>3.3305383198972798E-5</v>
      </c>
      <c r="AG185" s="1" cm="1">
        <f t="array" ref="AG185">GreekGamma($E185,100,AG$168,0.01,0.1,0)</f>
        <v>5.9197424706742759E-5</v>
      </c>
      <c r="AH185" s="1" cm="1">
        <f t="array" ref="AH185">GreekGamma($E185,100,AH$168,0.01,0.1,0)</f>
        <v>7.016211594893701E-4</v>
      </c>
      <c r="AI185" s="1" cm="1">
        <f t="array" ref="AI185">GreekGamma($E185,100,AI$168,0.01,0.1,0)</f>
        <v>1.4551400495073856E-3</v>
      </c>
      <c r="AJ185" s="1" cm="1">
        <f t="array" ref="AJ185">GreekGamma($E185,100,AJ$168,0.01,0.1,0)</f>
        <v>1.9971762450752021E-3</v>
      </c>
      <c r="AK185" s="1" cm="1">
        <f t="array" ref="AK185">GreekGamma($E185,100,AK$168,0.01,0.1,0)</f>
        <v>2.3442052804045392E-3</v>
      </c>
      <c r="AO185" s="2">
        <f t="shared" si="67"/>
        <v>140</v>
      </c>
      <c r="AP185" s="1" cm="1">
        <f t="array" ref="AP185">GreekGamma($E185,100,AP$168,0.01,0.3,0)</f>
        <v>4.5297412812204596E-5</v>
      </c>
      <c r="AQ185" s="1" cm="1">
        <f t="array" ref="AQ185">GreekGamma($E185,100,AQ$168,0.01,0.3,0)</f>
        <v>7.4234719458286542E-4</v>
      </c>
      <c r="AR185" s="1" cm="1">
        <f t="array" ref="AR185">GreekGamma($E185,100,AR$168,0.01,0.3,0)</f>
        <v>1.7261999326371321E-3</v>
      </c>
      <c r="AS185" s="1" cm="1">
        <f t="array" ref="AS185">GreekGamma($E185,100,AS$168,0.01,0.3,0)</f>
        <v>2.5207026945741878E-3</v>
      </c>
      <c r="AT185" s="1" cm="1">
        <f t="array" ref="AT185">GreekGamma($E185,100,AT$168,0.01,0.3,0)</f>
        <v>3.0825818422678905E-3</v>
      </c>
      <c r="AU185" s="1" cm="1">
        <f t="array" ref="AU185">GreekGamma($E185,100,AU$168,0.01,0.3,0)</f>
        <v>3.4645436604697206E-3</v>
      </c>
      <c r="AV185" s="1" cm="1">
        <f t="array" ref="AV185">GreekGamma($E185,100,AV$168,0.01,0.3,0)</f>
        <v>3.7194597267081694E-3</v>
      </c>
      <c r="AW185" s="1" cm="1">
        <f t="array" ref="AW185">GreekGamma($E185,100,AW$168,0.01,0.3,0)</f>
        <v>3.8862598492258598E-3</v>
      </c>
      <c r="AX185" s="1" cm="1">
        <f t="array" ref="AX185">GreekGamma($E185,100,AX$168,0.01,0.3,0)</f>
        <v>3.9917562221930339E-3</v>
      </c>
      <c r="AY185" s="1" cm="1">
        <f t="array" ref="AY185">GreekGamma($E185,100,AY$168,0.01,0.3,0)</f>
        <v>4.0542081615406221E-3</v>
      </c>
      <c r="AZ185" s="1" cm="1">
        <f t="array" ref="AZ185">GreekGamma($E185,100,AZ$168,0.01,0.3,0)</f>
        <v>3.8607380733035749E-3</v>
      </c>
      <c r="BA185" s="1" cm="1">
        <f t="array" ref="BA185">GreekGamma($E185,100,BA$168,0.01,0.3,0)</f>
        <v>3.4423268142812504E-3</v>
      </c>
      <c r="BB185" s="1" cm="1">
        <f t="array" ref="BB185">GreekGamma($E185,100,BB$168,0.01,0.3,0)</f>
        <v>3.0892079723303248E-3</v>
      </c>
      <c r="BC185" s="1" cm="1">
        <f t="array" ref="BC185">GreekGamma($E185,100,BC$168,0.01,0.3,0)</f>
        <v>2.8038279821686937E-3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7AA4F-57EE-45B4-9F60-4845EEDA701A}">
  <sheetPr codeName="Foglio2"/>
  <dimension ref="C3:BC106"/>
  <sheetViews>
    <sheetView topLeftCell="G6" workbookViewId="0">
      <selection activeCell="I7" sqref="I7"/>
    </sheetView>
  </sheetViews>
  <sheetFormatPr defaultRowHeight="14.4" x14ac:dyDescent="0.3"/>
  <cols>
    <col min="3" max="3" width="10.88671875" customWidth="1"/>
    <col min="6" max="6" width="12.6640625" bestFit="1" customWidth="1"/>
    <col min="24" max="24" width="12.6640625" bestFit="1" customWidth="1"/>
    <col min="42" max="42" width="12" bestFit="1" customWidth="1"/>
  </cols>
  <sheetData>
    <row r="3" spans="3:55" x14ac:dyDescent="0.3">
      <c r="C3" t="s">
        <v>15</v>
      </c>
    </row>
    <row r="4" spans="3:55" x14ac:dyDescent="0.3">
      <c r="C4" s="2" t="s">
        <v>0</v>
      </c>
      <c r="D4" s="1">
        <v>100</v>
      </c>
    </row>
    <row r="5" spans="3:55" x14ac:dyDescent="0.3">
      <c r="C5" s="2" t="s">
        <v>1</v>
      </c>
      <c r="D5" s="1">
        <v>0.01</v>
      </c>
    </row>
    <row r="6" spans="3:55" x14ac:dyDescent="0.3">
      <c r="C6" s="2" t="s">
        <v>3</v>
      </c>
      <c r="D6" s="1">
        <v>0.2</v>
      </c>
    </row>
    <row r="7" spans="3:55" x14ac:dyDescent="0.3">
      <c r="C7" s="2" t="s">
        <v>4</v>
      </c>
      <c r="D7" s="1">
        <v>0.1</v>
      </c>
    </row>
    <row r="8" spans="3:55" x14ac:dyDescent="0.3">
      <c r="C8" s="2" t="s">
        <v>5</v>
      </c>
      <c r="D8" s="1">
        <v>0.3</v>
      </c>
    </row>
    <row r="10" spans="3:55" x14ac:dyDescent="0.3">
      <c r="C10" t="s">
        <v>2</v>
      </c>
      <c r="E10" s="1"/>
      <c r="F10" s="2">
        <v>0.1</v>
      </c>
      <c r="G10" s="2">
        <f>F10+0.1</f>
        <v>0.2</v>
      </c>
      <c r="H10" s="2">
        <f t="shared" ref="H10:N10" si="0">G10+0.1</f>
        <v>0.30000000000000004</v>
      </c>
      <c r="I10" s="2">
        <f t="shared" si="0"/>
        <v>0.4</v>
      </c>
      <c r="J10" s="2">
        <f t="shared" si="0"/>
        <v>0.5</v>
      </c>
      <c r="K10" s="2">
        <f t="shared" si="0"/>
        <v>0.6</v>
      </c>
      <c r="L10" s="2">
        <f t="shared" si="0"/>
        <v>0.7</v>
      </c>
      <c r="M10" s="2">
        <f t="shared" si="0"/>
        <v>0.79999999999999993</v>
      </c>
      <c r="N10" s="2">
        <f t="shared" si="0"/>
        <v>0.89999999999999991</v>
      </c>
      <c r="O10" s="2">
        <f>N10+0.1</f>
        <v>0.99999999999999989</v>
      </c>
      <c r="P10" s="2">
        <f>O10+1</f>
        <v>2</v>
      </c>
      <c r="Q10" s="2">
        <f t="shared" ref="Q10:S10" si="1">P10+1</f>
        <v>3</v>
      </c>
      <c r="R10" s="2">
        <f t="shared" si="1"/>
        <v>4</v>
      </c>
      <c r="S10" s="2">
        <f t="shared" si="1"/>
        <v>5</v>
      </c>
      <c r="U10" t="s">
        <v>2</v>
      </c>
      <c r="W10" s="1"/>
      <c r="X10" s="2">
        <v>0.1</v>
      </c>
      <c r="Y10" s="2">
        <f>X10+0.1</f>
        <v>0.2</v>
      </c>
      <c r="Z10" s="2">
        <f t="shared" ref="Z10:AF10" si="2">Y10+0.1</f>
        <v>0.30000000000000004</v>
      </c>
      <c r="AA10" s="2">
        <f t="shared" si="2"/>
        <v>0.4</v>
      </c>
      <c r="AB10" s="2">
        <f t="shared" si="2"/>
        <v>0.5</v>
      </c>
      <c r="AC10" s="2">
        <f t="shared" si="2"/>
        <v>0.6</v>
      </c>
      <c r="AD10" s="2">
        <f t="shared" si="2"/>
        <v>0.7</v>
      </c>
      <c r="AE10" s="2">
        <f t="shared" si="2"/>
        <v>0.79999999999999993</v>
      </c>
      <c r="AF10" s="2">
        <f t="shared" si="2"/>
        <v>0.89999999999999991</v>
      </c>
      <c r="AG10" s="2">
        <f>AF10+0.1</f>
        <v>0.99999999999999989</v>
      </c>
      <c r="AH10" s="2">
        <f>AG10+1</f>
        <v>2</v>
      </c>
      <c r="AI10" s="2">
        <f t="shared" ref="AI10:AK10" si="3">AH10+1</f>
        <v>3</v>
      </c>
      <c r="AJ10" s="2">
        <f t="shared" si="3"/>
        <v>4</v>
      </c>
      <c r="AK10" s="2">
        <f t="shared" si="3"/>
        <v>5</v>
      </c>
      <c r="AM10" t="s">
        <v>2</v>
      </c>
      <c r="AO10" s="1"/>
      <c r="AP10" s="2">
        <v>0.1</v>
      </c>
      <c r="AQ10" s="2">
        <f>AP10+0.1</f>
        <v>0.2</v>
      </c>
      <c r="AR10" s="2">
        <f t="shared" ref="AR10:AX10" si="4">AQ10+0.1</f>
        <v>0.30000000000000004</v>
      </c>
      <c r="AS10" s="2">
        <f t="shared" si="4"/>
        <v>0.4</v>
      </c>
      <c r="AT10" s="2">
        <f t="shared" si="4"/>
        <v>0.5</v>
      </c>
      <c r="AU10" s="2">
        <f t="shared" si="4"/>
        <v>0.6</v>
      </c>
      <c r="AV10" s="2">
        <f t="shared" si="4"/>
        <v>0.7</v>
      </c>
      <c r="AW10" s="2">
        <f t="shared" si="4"/>
        <v>0.79999999999999993</v>
      </c>
      <c r="AX10" s="2">
        <f t="shared" si="4"/>
        <v>0.89999999999999991</v>
      </c>
      <c r="AY10" s="2">
        <f>AX10+0.1</f>
        <v>0.99999999999999989</v>
      </c>
      <c r="AZ10" s="2">
        <f>AY10+1</f>
        <v>2</v>
      </c>
      <c r="BA10" s="2">
        <f t="shared" ref="BA10:BC10" si="5">AZ10+1</f>
        <v>3</v>
      </c>
      <c r="BB10" s="2">
        <f t="shared" si="5"/>
        <v>4</v>
      </c>
      <c r="BC10" s="2">
        <f t="shared" si="5"/>
        <v>5</v>
      </c>
    </row>
    <row r="11" spans="3:55" x14ac:dyDescent="0.3">
      <c r="C11" t="s">
        <v>6</v>
      </c>
      <c r="E11" s="2">
        <v>60</v>
      </c>
      <c r="F11" s="1" cm="1">
        <f t="array" ref="F11">OptionDelta("P",$E11,$D$4,F$10,$D$5,$D$6,0)</f>
        <v>-0.99999999999999956</v>
      </c>
      <c r="G11" s="1" cm="1">
        <f t="array" ref="G11">OptionDelta("P",$E11,$D$4,G$10,$D$5,$D$6,0)</f>
        <v>-0.99999999169868692</v>
      </c>
      <c r="H11" s="1" cm="1">
        <f t="array" ref="H11">OptionDelta("P",$E11,$D$4,H$10,$D$5,$D$6,0)</f>
        <v>-0.99999768643466735</v>
      </c>
      <c r="I11" s="1" cm="1">
        <f t="array" ref="I11">OptionDelta("P",$E11,$D$4,I$10,$D$5,$D$6,0)</f>
        <v>-0.99995986002457549</v>
      </c>
      <c r="J11" s="1" cm="1">
        <f t="array" ref="J11">OptionDelta("P",$E11,$D$4,J$10,$D$5,$D$6,0)</f>
        <v>-0.99977256658213121</v>
      </c>
      <c r="K11" s="1" cm="1">
        <f t="array" ref="K11">OptionDelta("P",$E11,$D$4,K$10,$D$5,$D$6,0)</f>
        <v>-0.99926660684650404</v>
      </c>
      <c r="L11" s="1" cm="1">
        <f t="array" ref="L11">OptionDelta("P",$E11,$D$4,L$10,$D$5,$D$6,0)</f>
        <v>-0.99829022958946334</v>
      </c>
      <c r="M11" s="1" cm="1">
        <f t="array" ref="M11">OptionDelta("P",$E11,$D$4,M$10,$D$5,$D$6,0)</f>
        <v>-0.99675007087750611</v>
      </c>
      <c r="N11" s="1" cm="1">
        <f t="array" ref="N11">OptionDelta("P",$E11,$D$4,N$10,$D$5,$D$6,0)</f>
        <v>-0.99461362130869291</v>
      </c>
      <c r="O11" s="1" cm="1">
        <f t="array" ref="O11">OptionDelta("P",$E11,$D$4,O$10,$D$5,$D$6,0)</f>
        <v>-0.9918944546456071</v>
      </c>
      <c r="P11" s="1" cm="1">
        <f t="array" ref="P11">OptionDelta("P",$E11,$D$4,P$10,$D$5,$D$6,0)</f>
        <v>-0.94452182202059942</v>
      </c>
      <c r="Q11" s="1" cm="1">
        <f t="array" ref="Q11">OptionDelta("P",$E11,$D$4,Q$10,$D$5,$D$6,0)</f>
        <v>-0.88778242147662834</v>
      </c>
      <c r="R11" s="1" cm="1">
        <f t="array" ref="R11">OptionDelta("P",$E11,$D$4,R$10,$D$5,$D$6,0)</f>
        <v>-0.83573128027159116</v>
      </c>
      <c r="S11" s="1" cm="1">
        <f t="array" ref="S11">OptionDelta("P",$E11,$D$4,S$10,$D$5,$D$6,0)</f>
        <v>-0.79011796313899829</v>
      </c>
      <c r="U11" t="s">
        <v>8</v>
      </c>
      <c r="W11" s="2">
        <v>60</v>
      </c>
      <c r="X11" s="1" cm="1">
        <f t="array" ref="X11">OptionDelta("P",$E11,$D$4,X$10,$D$5,$D$7,0)</f>
        <v>-1</v>
      </c>
      <c r="Y11" s="1" cm="1">
        <f t="array" ref="Y11">OptionDelta("P",$E11,$D$4,Y$10,$D$5,$D$7,0)</f>
        <v>-1</v>
      </c>
      <c r="Z11" s="1" cm="1">
        <f t="array" ref="Z11">OptionDelta("P",$E11,$D$4,Z$10,$D$5,$D$7,0)</f>
        <v>-1</v>
      </c>
      <c r="AA11" s="1" cm="1">
        <f t="array" ref="AA11">OptionDelta("P",$E11,$D$4,AA$10,$D$5,$D$7,0)</f>
        <v>-0.99999999999999933</v>
      </c>
      <c r="AB11" s="1" cm="1">
        <f t="array" ref="AB11">OptionDelta("P",$E11,$D$4,AB$10,$D$5,$D$7,0)</f>
        <v>-0.99999999999945288</v>
      </c>
      <c r="AC11" s="1" cm="1">
        <f t="array" ref="AC11">OptionDelta("P",$E11,$D$4,AC$10,$D$5,$D$7,0)</f>
        <v>-0.99999999995369315</v>
      </c>
      <c r="AD11" s="1" cm="1">
        <f t="array" ref="AD11">OptionDelta("P",$E11,$D$4,AD$10,$D$5,$D$7,0)</f>
        <v>-0.9999999988845516</v>
      </c>
      <c r="AE11" s="1" cm="1">
        <f t="array" ref="AE11">OptionDelta("P",$E11,$D$4,AE$10,$D$5,$D$7,0)</f>
        <v>-0.99999998776771981</v>
      </c>
      <c r="AF11" s="1" cm="1">
        <f t="array" ref="AF11">OptionDelta("P",$E11,$D$4,AF$10,$D$5,$D$7,0)</f>
        <v>-0.99999992069449628</v>
      </c>
      <c r="AG11" s="1" cm="1">
        <f t="array" ref="AG11">OptionDelta("P",$E11,$D$4,AG$10,$D$5,$D$7,0)</f>
        <v>-0.99999964435644462</v>
      </c>
      <c r="AH11" s="1" cm="1">
        <f t="array" ref="AH11">OptionDelta("P",$E11,$D$4,AH$10,$D$5,$D$7,0)</f>
        <v>-0.99966300984690104</v>
      </c>
      <c r="AI11" s="1" cm="1">
        <f t="array" ref="AI11">OptionDelta("P",$E11,$D$4,AI$10,$D$5,$D$7,0)</f>
        <v>-0.99642145828700812</v>
      </c>
      <c r="AJ11" s="1" cm="1">
        <f t="array" ref="AJ11">OptionDelta("P",$E11,$D$4,AJ$10,$D$5,$D$7,0)</f>
        <v>-0.98790594541152554</v>
      </c>
      <c r="AK11" s="1" cm="1">
        <f t="array" ref="AK11">OptionDelta("P",$E11,$D$4,AK$10,$D$5,$D$7,0)</f>
        <v>-0.974356553225038</v>
      </c>
      <c r="AM11" t="s">
        <v>7</v>
      </c>
      <c r="AO11" s="2">
        <v>60</v>
      </c>
      <c r="AP11" s="1" cm="1">
        <f t="array" ref="AP11">OptionDelta("P",$E11,$D$4,AP$10,$D$5,$D$8,0)</f>
        <v>-0.99999994996583763</v>
      </c>
      <c r="AQ11" s="1" cm="1">
        <f t="array" ref="AQ11">OptionDelta("P",$E11,$D$4,AQ$10,$D$5,$D$8,0)</f>
        <v>-0.99990252813746106</v>
      </c>
      <c r="AR11" s="1" cm="1">
        <f t="array" ref="AR11">OptionDelta("P",$E11,$D$4,AR$10,$D$5,$D$8,0)</f>
        <v>-0.99868673402053365</v>
      </c>
      <c r="AS11" s="1" cm="1">
        <f t="array" ref="AS11">OptionDelta("P",$E11,$D$4,AS$10,$D$5,$D$8,0)</f>
        <v>-0.99500733996609969</v>
      </c>
      <c r="AT11" s="1" cm="1">
        <f t="array" ref="AT11">OptionDelta("P",$E11,$D$4,AT$10,$D$5,$D$8,0)</f>
        <v>-0.98864918253526834</v>
      </c>
      <c r="AU11" s="1" cm="1">
        <f t="array" ref="AU11">OptionDelta("P",$E11,$D$4,AU$10,$D$5,$D$8,0)</f>
        <v>-0.9801200211979566</v>
      </c>
      <c r="AV11" s="1" cm="1">
        <f t="array" ref="AV11">OptionDelta("P",$E11,$D$4,AV$10,$D$5,$D$8,0)</f>
        <v>-0.97006775523526267</v>
      </c>
      <c r="AW11" s="1" cm="1">
        <f t="array" ref="AW11">OptionDelta("P",$E11,$D$4,AW$10,$D$5,$D$8,0)</f>
        <v>-0.95904909766423552</v>
      </c>
      <c r="AX11" s="1" cm="1">
        <f t="array" ref="AX11">OptionDelta("P",$E11,$D$4,AX$10,$D$5,$D$8,0)</f>
        <v>-0.94748399738581035</v>
      </c>
      <c r="AY11" s="1" cm="1">
        <f t="array" ref="AY11">OptionDelta("P",$E11,$D$4,AY$10,$D$5,$D$8,0)</f>
        <v>-0.93567143682162501</v>
      </c>
      <c r="AZ11" s="1" cm="1">
        <f t="array" ref="AZ11">OptionDelta("P",$E11,$D$4,AZ$10,$D$5,$D$8,0)</f>
        <v>-0.82760802885631146</v>
      </c>
      <c r="BA11" s="1" cm="1">
        <f t="array" ref="BA11">OptionDelta("P",$E11,$D$4,BA$10,$D$5,$D$8,0)</f>
        <v>-0.74714796680976803</v>
      </c>
      <c r="BB11" s="1" cm="1">
        <f t="array" ref="BB11">OptionDelta("P",$E11,$D$4,BB$10,$D$5,$D$8,0)</f>
        <v>-0.68605874158405855</v>
      </c>
      <c r="BC11" s="1" cm="1">
        <f t="array" ref="BC11">OptionDelta("P",$E11,$D$4,BC$10,$D$5,$D$8,0)</f>
        <v>-0.63741139706825356</v>
      </c>
    </row>
    <row r="12" spans="3:55" x14ac:dyDescent="0.3">
      <c r="E12" s="2">
        <f>E11+5</f>
        <v>65</v>
      </c>
      <c r="F12" s="1" cm="1">
        <f t="array" ref="F12">OptionDelta("P",$E12,$D$4,F$10,$D$5,$D$6,0)</f>
        <v>-0.99999999999328104</v>
      </c>
      <c r="G12" s="1" cm="1">
        <f t="array" ref="G12">OptionDelta("P",$E12,$D$4,G$10,$D$5,$D$6,0)</f>
        <v>-0.99999897897324108</v>
      </c>
      <c r="H12" s="1" cm="1">
        <f t="array" ref="H12">OptionDelta("P",$E12,$D$4,H$10,$D$5,$D$6,0)</f>
        <v>-0.99994102148184927</v>
      </c>
      <c r="I12" s="1" cm="1">
        <f t="array" ref="I12">OptionDelta("P",$E12,$D$4,I$10,$D$5,$D$6,0)</f>
        <v>-0.99953480118587623</v>
      </c>
      <c r="J12" s="1" cm="1">
        <f t="array" ref="J12">OptionDelta("P",$E12,$D$4,J$10,$D$5,$D$6,0)</f>
        <v>-0.99835909338440354</v>
      </c>
      <c r="K12" s="1" cm="1">
        <f t="array" ref="K12">OptionDelta("P",$E12,$D$4,K$10,$D$5,$D$6,0)</f>
        <v>-0.99614488265403034</v>
      </c>
      <c r="L12" s="1" cm="1">
        <f t="array" ref="L12">OptionDelta("P",$E12,$D$4,L$10,$D$5,$D$6,0)</f>
        <v>-0.99283576290387021</v>
      </c>
      <c r="M12" s="1" cm="1">
        <f t="array" ref="M12">OptionDelta("P",$E12,$D$4,M$10,$D$5,$D$6,0)</f>
        <v>-0.98851657476804122</v>
      </c>
      <c r="N12" s="1" cm="1">
        <f t="array" ref="N12">OptionDelta("P",$E12,$D$4,N$10,$D$5,$D$6,0)</f>
        <v>-0.9833365493457592</v>
      </c>
      <c r="O12" s="1" cm="1">
        <f t="array" ref="O12">OptionDelta("P",$E12,$D$4,O$10,$D$5,$D$6,0)</f>
        <v>-0.97746039429844445</v>
      </c>
      <c r="P12" s="1" cm="1">
        <f t="array" ref="P12">OptionDelta("P",$E12,$D$4,P$10,$D$5,$D$6,0)</f>
        <v>-0.90505685531529534</v>
      </c>
      <c r="Q12" s="1" cm="1">
        <f t="array" ref="Q12">OptionDelta("P",$E12,$D$4,Q$10,$D$5,$D$6,0)</f>
        <v>-0.83738213822355212</v>
      </c>
      <c r="R12" s="1" cm="1">
        <f t="array" ref="R12">OptionDelta("P",$E12,$D$4,R$10,$D$5,$D$6,0)</f>
        <v>-0.78140801553503314</v>
      </c>
      <c r="S12" s="1" cm="1">
        <f t="array" ref="S12">OptionDelta("P",$E12,$D$4,S$10,$D$5,$D$6,0)</f>
        <v>-0.73494879354496201</v>
      </c>
      <c r="W12" s="2">
        <f>W11+5</f>
        <v>65</v>
      </c>
      <c r="X12" s="1" cm="1">
        <f t="array" ref="X12">OptionDelta("P",$E12,$D$4,X$10,$D$5,$D$7,0)</f>
        <v>-1</v>
      </c>
      <c r="Y12" s="1" cm="1">
        <f t="array" ref="Y12">OptionDelta("P",$E12,$D$4,Y$10,$D$5,$D$7,0)</f>
        <v>-1</v>
      </c>
      <c r="Z12" s="1" cm="1">
        <f t="array" ref="Z12">OptionDelta("P",$E12,$D$4,Z$10,$D$5,$D$7,0)</f>
        <v>-0.99999999999999645</v>
      </c>
      <c r="AA12" s="1" cm="1">
        <f t="array" ref="AA12">OptionDelta("P",$E12,$D$4,AA$10,$D$5,$D$7,0)</f>
        <v>-0.99999999999068701</v>
      </c>
      <c r="AB12" s="1" cm="1">
        <f t="array" ref="AB12">OptionDelta("P",$E12,$D$4,AB$10,$D$5,$D$7,0)</f>
        <v>-0.99999999892549984</v>
      </c>
      <c r="AC12" s="1" cm="1">
        <f t="array" ref="AC12">OptionDelta("P",$E12,$D$4,AC$10,$D$5,$D$7,0)</f>
        <v>-0.99999997412552788</v>
      </c>
      <c r="AD12" s="1" cm="1">
        <f t="array" ref="AD12">OptionDelta("P",$E12,$D$4,AD$10,$D$5,$D$7,0)</f>
        <v>-0.99999974609953168</v>
      </c>
      <c r="AE12" s="1" cm="1">
        <f t="array" ref="AE12">OptionDelta("P",$E12,$D$4,AE$10,$D$5,$D$7,0)</f>
        <v>-0.99999858049035051</v>
      </c>
      <c r="AF12" s="1" cm="1">
        <f t="array" ref="AF12">OptionDelta("P",$E12,$D$4,AF$10,$D$5,$D$7,0)</f>
        <v>-0.99999455112734237</v>
      </c>
      <c r="AG12" s="1" cm="1">
        <f t="array" ref="AG12">OptionDelta("P",$E12,$D$4,AG$10,$D$5,$D$7,0)</f>
        <v>-0.99998393569273369</v>
      </c>
      <c r="AH12" s="1" cm="1">
        <f t="array" ref="AH12">OptionDelta("P",$E12,$D$4,AH$10,$D$5,$D$7,0)</f>
        <v>-0.99770126854070174</v>
      </c>
      <c r="AI12" s="1" cm="1">
        <f t="array" ref="AI12">OptionDelta("P",$E12,$D$4,AI$10,$D$5,$D$7,0)</f>
        <v>-0.98703700934248551</v>
      </c>
      <c r="AJ12" s="1" cm="1">
        <f t="array" ref="AJ12">OptionDelta("P",$E12,$D$4,AJ$10,$D$5,$D$7,0)</f>
        <v>-0.96812430920432424</v>
      </c>
      <c r="AK12" s="1" cm="1">
        <f t="array" ref="AK12">OptionDelta("P",$E12,$D$4,AK$10,$D$5,$D$7,0)</f>
        <v>-0.94420754055435308</v>
      </c>
      <c r="AO12" s="2">
        <f>AO11+5</f>
        <v>65</v>
      </c>
      <c r="AP12" s="1" cm="1">
        <f t="array" ref="AP12">OptionDelta("P",$E12,$D$4,AP$10,$D$5,$D$8,0)</f>
        <v>-0.99999631780591081</v>
      </c>
      <c r="AQ12" s="1" cm="1">
        <f t="array" ref="AQ12">OptionDelta("P",$E12,$D$4,AQ$10,$D$5,$D$8,0)</f>
        <v>-0.99912262163087784</v>
      </c>
      <c r="AR12" s="1" cm="1">
        <f t="array" ref="AR12">OptionDelta("P",$E12,$D$4,AR$10,$D$5,$D$8,0)</f>
        <v>-0.99415298895596782</v>
      </c>
      <c r="AS12" s="1" cm="1">
        <f t="array" ref="AS12">OptionDelta("P",$E12,$D$4,AS$10,$D$5,$D$8,0)</f>
        <v>-0.98439853521310394</v>
      </c>
      <c r="AT12" s="1" cm="1">
        <f t="array" ref="AT12">OptionDelta("P",$E12,$D$4,AT$10,$D$5,$D$8,0)</f>
        <v>-0.97135514264148681</v>
      </c>
      <c r="AU12" s="1" cm="1">
        <f t="array" ref="AU12">OptionDelta("P",$E12,$D$4,AU$10,$D$5,$D$8,0)</f>
        <v>-0.95653186252639477</v>
      </c>
      <c r="AV12" s="1" cm="1">
        <f t="array" ref="AV12">OptionDelta("P",$E12,$D$4,AV$10,$D$5,$D$8,0)</f>
        <v>-0.94096106457413042</v>
      </c>
      <c r="AW12" s="1" cm="1">
        <f t="array" ref="AW12">OptionDelta("P",$E12,$D$4,AW$10,$D$5,$D$8,0)</f>
        <v>-0.92527188397817484</v>
      </c>
      <c r="AX12" s="1" cm="1">
        <f t="array" ref="AX12">OptionDelta("P",$E12,$D$4,AX$10,$D$5,$D$8,0)</f>
        <v>-0.90982718659992456</v>
      </c>
      <c r="AY12" s="1" cm="1">
        <f t="array" ref="AY12">OptionDelta("P",$E12,$D$4,AY$10,$D$5,$D$8,0)</f>
        <v>-0.89482611219229768</v>
      </c>
      <c r="AZ12" s="1" cm="1">
        <f t="array" ref="AZ12">OptionDelta("P",$E12,$D$4,AZ$10,$D$5,$D$8,0)</f>
        <v>-0.77520315606192436</v>
      </c>
      <c r="BA12" s="1" cm="1">
        <f t="array" ref="BA12">OptionDelta("P",$E12,$D$4,BA$10,$D$5,$D$8,0)</f>
        <v>-0.6954993169592607</v>
      </c>
      <c r="BB12" s="1" cm="1">
        <f t="array" ref="BB12">OptionDelta("P",$E12,$D$4,BB$10,$D$5,$D$8,0)</f>
        <v>-0.63732017542195851</v>
      </c>
      <c r="BC12" s="1" cm="1">
        <f t="array" ref="BC12">OptionDelta("P",$E12,$D$4,BC$10,$D$5,$D$8,0)</f>
        <v>-0.59181932468991505</v>
      </c>
    </row>
    <row r="13" spans="3:55" x14ac:dyDescent="0.3">
      <c r="E13" s="2">
        <f t="shared" ref="E13:E27" si="6">E12+5</f>
        <v>70</v>
      </c>
      <c r="F13" s="1" cm="1">
        <f t="array" ref="F13">OptionDelta("P",$E13,$D$4,F$10,$D$5,$D$6,0)</f>
        <v>-0.99999998878249752</v>
      </c>
      <c r="G13" s="1" cm="1">
        <f t="array" ref="G13">OptionDelta("P",$E13,$D$4,G$10,$D$5,$D$6,0)</f>
        <v>-0.99995584753698585</v>
      </c>
      <c r="H13" s="1" cm="1">
        <f t="array" ref="H13">OptionDelta("P",$E13,$D$4,H$10,$D$5,$D$6,0)</f>
        <v>-0.99924777425081568</v>
      </c>
      <c r="I13" s="1" cm="1">
        <f t="array" ref="I13">OptionDelta("P",$E13,$D$4,I$10,$D$5,$D$6,0)</f>
        <v>-0.99678390000441497</v>
      </c>
      <c r="J13" s="1" cm="1">
        <f t="array" ref="J13">OptionDelta("P",$E13,$D$4,J$10,$D$5,$D$6,0)</f>
        <v>-0.99215411365915518</v>
      </c>
      <c r="K13" s="1" cm="1">
        <f t="array" ref="K13">OptionDelta("P",$E13,$D$4,K$10,$D$5,$D$6,0)</f>
        <v>-0.98559722139706984</v>
      </c>
      <c r="L13" s="1" cm="1">
        <f t="array" ref="L13">OptionDelta("P",$E13,$D$4,L$10,$D$5,$D$6,0)</f>
        <v>-0.97757408881603791</v>
      </c>
      <c r="M13" s="1" cm="1">
        <f t="array" ref="M13">OptionDelta("P",$E13,$D$4,M$10,$D$5,$D$6,0)</f>
        <v>-0.96853667944616317</v>
      </c>
      <c r="N13" s="1" cm="1">
        <f t="array" ref="N13">OptionDelta("P",$E13,$D$4,N$10,$D$5,$D$6,0)</f>
        <v>-0.95885400744147464</v>
      </c>
      <c r="O13" s="1" cm="1">
        <f t="array" ref="O13">OptionDelta("P",$E13,$D$4,O$10,$D$5,$D$6,0)</f>
        <v>-0.94880489471011209</v>
      </c>
      <c r="P13" s="1" cm="1">
        <f t="array" ref="P13">OptionDelta("P",$E13,$D$4,P$10,$D$5,$D$6,0)</f>
        <v>-0.85288892223498691</v>
      </c>
      <c r="Q13" s="1" cm="1">
        <f t="array" ref="Q13">OptionDelta("P",$E13,$D$4,Q$10,$D$5,$D$6,0)</f>
        <v>-0.77929792459466751</v>
      </c>
      <c r="R13" s="1" cm="1">
        <f t="array" ref="R13">OptionDelta("P",$E13,$D$4,R$10,$D$5,$D$6,0)</f>
        <v>-0.72297001881272516</v>
      </c>
      <c r="S13" s="1" cm="1">
        <f t="array" ref="S13">OptionDelta("P",$E13,$D$4,S$10,$D$5,$D$6,0)</f>
        <v>-0.67800925822604985</v>
      </c>
      <c r="W13" s="2">
        <f t="shared" ref="W13:W27" si="7">W12+5</f>
        <v>70</v>
      </c>
      <c r="X13" s="1" cm="1">
        <f t="array" ref="X13">OptionDelta("P",$E13,$D$4,X$10,$D$5,$D$7,0)</f>
        <v>-1</v>
      </c>
      <c r="Y13" s="1" cm="1">
        <f t="array" ref="Y13">OptionDelta("P",$E13,$D$4,Y$10,$D$5,$D$7,0)</f>
        <v>-0.99999999999999867</v>
      </c>
      <c r="Z13" s="1" cm="1">
        <f t="array" ref="Z13">OptionDelta("P",$E13,$D$4,Z$10,$D$5,$D$7,0)</f>
        <v>-0.99999999993611632</v>
      </c>
      <c r="AA13" s="1" cm="1">
        <f t="array" ref="AA13">OptionDelta("P",$E13,$D$4,AA$10,$D$5,$D$7,0)</f>
        <v>-0.99999998527351153</v>
      </c>
      <c r="AB13" s="1" cm="1">
        <f t="array" ref="AB13">OptionDelta("P",$E13,$D$4,AB$10,$D$5,$D$7,0)</f>
        <v>-0.99999960552141942</v>
      </c>
      <c r="AC13" s="1" cm="1">
        <f t="array" ref="AC13">OptionDelta("P",$E13,$D$4,AC$10,$D$5,$D$7,0)</f>
        <v>-0.99999641307660381</v>
      </c>
      <c r="AD13" s="1" cm="1">
        <f t="array" ref="AD13">OptionDelta("P",$E13,$D$4,AD$10,$D$5,$D$7,0)</f>
        <v>-0.9999824507459707</v>
      </c>
      <c r="AE13" s="1" cm="1">
        <f t="array" ref="AE13">OptionDelta("P",$E13,$D$4,AE$10,$D$5,$D$7,0)</f>
        <v>-0.99994179911634218</v>
      </c>
      <c r="AF13" s="1" cm="1">
        <f t="array" ref="AF13">OptionDelta("P",$E13,$D$4,AF$10,$D$5,$D$7,0)</f>
        <v>-0.99985120076411815</v>
      </c>
      <c r="AG13" s="1" cm="1">
        <f t="array" ref="AG13">OptionDelta("P",$E13,$D$4,AG$10,$D$5,$D$7,0)</f>
        <v>-0.99968313211324389</v>
      </c>
      <c r="AH13" s="1" cm="1">
        <f t="array" ref="AH13">OptionDelta("P",$E13,$D$4,AH$10,$D$5,$D$7,0)</f>
        <v>-0.98955428078343977</v>
      </c>
      <c r="AI13" s="1" cm="1">
        <f t="array" ref="AI13">OptionDelta("P",$E13,$D$4,AI$10,$D$5,$D$7,0)</f>
        <v>-0.96402672107027587</v>
      </c>
      <c r="AJ13" s="1" cm="1">
        <f t="array" ref="AJ13">OptionDelta("P",$E13,$D$4,AJ$10,$D$5,$D$7,0)</f>
        <v>-0.93101255988538445</v>
      </c>
      <c r="AK13" s="1" cm="1">
        <f t="array" ref="AK13">OptionDelta("P",$E13,$D$4,AK$10,$D$5,$D$7,0)</f>
        <v>-0.89610914829245725</v>
      </c>
      <c r="AO13" s="2">
        <f t="shared" ref="AO13:AO27" si="8">AO12+5</f>
        <v>70</v>
      </c>
      <c r="AP13" s="1" cm="1">
        <f t="array" ref="AP13">OptionDelta("P",$E13,$D$4,AP$10,$D$5,$D$8,0)</f>
        <v>-0.99989292389718487</v>
      </c>
      <c r="AQ13" s="1" cm="1">
        <f t="array" ref="AQ13">OptionDelta("P",$E13,$D$4,AQ$10,$D$5,$D$8,0)</f>
        <v>-0.99500981832634638</v>
      </c>
      <c r="AR13" s="1" cm="1">
        <f t="array" ref="AR13">OptionDelta("P",$E13,$D$4,AR$10,$D$5,$D$8,0)</f>
        <v>-0.98078500536712698</v>
      </c>
      <c r="AS13" s="1" cm="1">
        <f t="array" ref="AS13">OptionDelta("P",$E13,$D$4,AS$10,$D$5,$D$8,0)</f>
        <v>-0.96112490376939341</v>
      </c>
      <c r="AT13" s="1" cm="1">
        <f t="array" ref="AT13">OptionDelta("P",$E13,$D$4,AT$10,$D$5,$D$8,0)</f>
        <v>-0.93963844251047635</v>
      </c>
      <c r="AU13" s="1" cm="1">
        <f t="array" ref="AU13">OptionDelta("P",$E13,$D$4,AU$10,$D$5,$D$8,0)</f>
        <v>-0.91817123136383305</v>
      </c>
      <c r="AV13" s="1" cm="1">
        <f t="array" ref="AV13">OptionDelta("P",$E13,$D$4,AV$10,$D$5,$D$8,0)</f>
        <v>-0.8975366081156535</v>
      </c>
      <c r="AW13" s="1" cm="1">
        <f t="array" ref="AW13">OptionDelta("P",$E13,$D$4,AW$10,$D$5,$D$8,0)</f>
        <v>-0.87804528554403938</v>
      </c>
      <c r="AX13" s="1" cm="1">
        <f t="array" ref="AX13">OptionDelta("P",$E13,$D$4,AX$10,$D$5,$D$8,0)</f>
        <v>-0.85977360332933828</v>
      </c>
      <c r="AY13" s="1" cm="1">
        <f t="array" ref="AY13">OptionDelta("P",$E13,$D$4,AY$10,$D$5,$D$8,0)</f>
        <v>-0.84269193278455323</v>
      </c>
      <c r="AZ13" s="1" cm="1">
        <f t="array" ref="AZ13">OptionDelta("P",$E13,$D$4,AZ$10,$D$5,$D$8,0)</f>
        <v>-0.71952075660120351</v>
      </c>
      <c r="BA13" s="1" cm="1">
        <f t="array" ref="BA13">OptionDelta("P",$E13,$D$4,BA$10,$D$5,$D$8,0)</f>
        <v>-0.64389089311574621</v>
      </c>
      <c r="BB13" s="1" cm="1">
        <f t="array" ref="BB13">OptionDelta("P",$E13,$D$4,BB$10,$D$5,$D$8,0)</f>
        <v>-0.59009586095973765</v>
      </c>
      <c r="BC13" s="1" cm="1">
        <f t="array" ref="BC13">OptionDelta("P",$E13,$D$4,BC$10,$D$5,$D$8,0)</f>
        <v>-0.54845300509914008</v>
      </c>
    </row>
    <row r="14" spans="3:55" x14ac:dyDescent="0.3">
      <c r="E14" s="2">
        <f t="shared" si="6"/>
        <v>75</v>
      </c>
      <c r="F14" s="1" cm="1">
        <f t="array" ref="F14">OptionDelta("P",$E14,$D$4,F$10,$D$5,$D$6,0)</f>
        <v>-0.99999662175436721</v>
      </c>
      <c r="G14" s="1" cm="1">
        <f t="array" ref="G14">OptionDelta("P",$E14,$D$4,G$10,$D$5,$D$6,0)</f>
        <v>-0.99918169321756944</v>
      </c>
      <c r="H14" s="1" cm="1">
        <f t="array" ref="H14">OptionDelta("P",$E14,$D$4,H$10,$D$5,$D$6,0)</f>
        <v>-0.99452056537245881</v>
      </c>
      <c r="I14" s="1" cm="1">
        <f t="array" ref="I14">OptionDelta("P",$E14,$D$4,I$10,$D$5,$D$6,0)</f>
        <v>-0.98535117473071088</v>
      </c>
      <c r="J14" s="1" cm="1">
        <f t="array" ref="J14">OptionDelta("P",$E14,$D$4,J$10,$D$5,$D$6,0)</f>
        <v>-0.9730819773171373</v>
      </c>
      <c r="K14" s="1" cm="1">
        <f t="array" ref="K14">OptionDelta("P",$E14,$D$4,K$10,$D$5,$D$6,0)</f>
        <v>-0.95913982788824037</v>
      </c>
      <c r="L14" s="1" cm="1">
        <f t="array" ref="L14">OptionDelta("P",$E14,$D$4,L$10,$D$5,$D$6,0)</f>
        <v>-0.94450176292646359</v>
      </c>
      <c r="M14" s="1" cm="1">
        <f t="array" ref="M14">OptionDelta("P",$E14,$D$4,M$10,$D$5,$D$6,0)</f>
        <v>-0.92976291941623557</v>
      </c>
      <c r="N14" s="1" cm="1">
        <f t="array" ref="N14">OptionDelta("P",$E14,$D$4,N$10,$D$5,$D$6,0)</f>
        <v>-0.91526598820601524</v>
      </c>
      <c r="O14" s="1" cm="1">
        <f t="array" ref="O14">OptionDelta("P",$E14,$D$4,O$10,$D$5,$D$6,0)</f>
        <v>-0.9011984232382525</v>
      </c>
      <c r="P14" s="1" cm="1">
        <f t="array" ref="P14">OptionDelta("P",$E14,$D$4,P$10,$D$5,$D$6,0)</f>
        <v>-0.78958372202412042</v>
      </c>
      <c r="Q14" s="1" cm="1">
        <f t="array" ref="Q14">OptionDelta("P",$E14,$D$4,Q$10,$D$5,$D$6,0)</f>
        <v>-0.7158845880678294</v>
      </c>
      <c r="R14" s="1" cm="1">
        <f t="array" ref="R14">OptionDelta("P",$E14,$D$4,R$10,$D$5,$D$6,0)</f>
        <v>-0.66246690705453493</v>
      </c>
      <c r="S14" s="1" cm="1">
        <f t="array" ref="S14">OptionDelta("P",$E14,$D$4,S$10,$D$5,$D$6,0)</f>
        <v>-0.62090803102434033</v>
      </c>
      <c r="W14" s="2">
        <f t="shared" si="7"/>
        <v>75</v>
      </c>
      <c r="X14" s="1" cm="1">
        <f t="array" ref="X14">OptionDelta("P",$E14,$D$4,X$10,$D$5,$D$7,0)</f>
        <v>-1</v>
      </c>
      <c r="Y14" s="1" cm="1">
        <f t="array" ref="Y14">OptionDelta("P",$E14,$D$4,Y$10,$D$5,$D$7,0)</f>
        <v>-0.99999999990278976</v>
      </c>
      <c r="Z14" s="1" cm="1">
        <f t="array" ref="Z14">OptionDelta("P",$E14,$D$4,Z$10,$D$5,$D$7,0)</f>
        <v>-0.99999988306170484</v>
      </c>
      <c r="AA14" s="1" cm="1">
        <f t="array" ref="AA14">OptionDelta("P",$E14,$D$4,AA$10,$D$5,$D$7,0)</f>
        <v>-0.9999957815132362</v>
      </c>
      <c r="AB14" s="1" cm="1">
        <f t="array" ref="AB14">OptionDelta("P",$E14,$D$4,AB$10,$D$5,$D$7,0)</f>
        <v>-0.99996289573776764</v>
      </c>
      <c r="AC14" s="1" cm="1">
        <f t="array" ref="AC14">OptionDelta("P",$E14,$D$4,AC$10,$D$5,$D$7,0)</f>
        <v>-0.99983952143013566</v>
      </c>
      <c r="AD14" s="1" cm="1">
        <f t="array" ref="AD14">OptionDelta("P",$E14,$D$4,AD$10,$D$5,$D$7,0)</f>
        <v>-0.99953842815149707</v>
      </c>
      <c r="AE14" s="1" cm="1">
        <f t="array" ref="AE14">OptionDelta("P",$E14,$D$4,AE$10,$D$5,$D$7,0)</f>
        <v>-0.99897268285935592</v>
      </c>
      <c r="AF14" s="1" cm="1">
        <f t="array" ref="AF14">OptionDelta("P",$E14,$D$4,AF$10,$D$5,$D$7,0)</f>
        <v>-0.99807460447904706</v>
      </c>
      <c r="AG14" s="1" cm="1">
        <f t="array" ref="AG14">OptionDelta("P",$E14,$D$4,AG$10,$D$5,$D$7,0)</f>
        <v>-0.99680261138352733</v>
      </c>
      <c r="AH14" s="1" cm="1">
        <f t="array" ref="AH14">OptionDelta("P",$E14,$D$4,AH$10,$D$5,$D$7,0)</f>
        <v>-0.9657791379984273</v>
      </c>
      <c r="AI14" s="1" cm="1">
        <f t="array" ref="AI14">OptionDelta("P",$E14,$D$4,AI$10,$D$5,$D$7,0)</f>
        <v>-0.91941174103204293</v>
      </c>
      <c r="AJ14" s="1" cm="1">
        <f t="array" ref="AJ14">OptionDelta("P",$E14,$D$4,AJ$10,$D$5,$D$7,0)</f>
        <v>-0.87252541543240303</v>
      </c>
      <c r="AK14" s="1" cm="1">
        <f t="array" ref="AK14">OptionDelta("P",$E14,$D$4,AK$10,$D$5,$D$7,0)</f>
        <v>-0.82923414186780242</v>
      </c>
      <c r="AO14" s="2">
        <f t="shared" si="8"/>
        <v>75</v>
      </c>
      <c r="AP14" s="1" cm="1">
        <f t="array" ref="AP14">OptionDelta("P",$E14,$D$4,AP$10,$D$5,$D$8,0)</f>
        <v>-0.99853247742148155</v>
      </c>
      <c r="AQ14" s="1" cm="1">
        <f t="array" ref="AQ14">OptionDelta("P",$E14,$D$4,AQ$10,$D$5,$D$8,0)</f>
        <v>-0.98040881029842508</v>
      </c>
      <c r="AR14" s="1" cm="1">
        <f t="array" ref="AR14">OptionDelta("P",$E14,$D$4,AR$10,$D$5,$D$8,0)</f>
        <v>-0.95056549342913066</v>
      </c>
      <c r="AS14" s="1" cm="1">
        <f t="array" ref="AS14">OptionDelta("P",$E14,$D$4,AS$10,$D$5,$D$8,0)</f>
        <v>-0.91928338097899298</v>
      </c>
      <c r="AT14" s="1" cm="1">
        <f t="array" ref="AT14">OptionDelta("P",$E14,$D$4,AT$10,$D$5,$D$8,0)</f>
        <v>-0.88999660249603174</v>
      </c>
      <c r="AU14" s="1" cm="1">
        <f t="array" ref="AU14">OptionDelta("P",$E14,$D$4,AU$10,$D$5,$D$8,0)</f>
        <v>-0.86345561048023245</v>
      </c>
      <c r="AV14" s="1" cm="1">
        <f t="array" ref="AV14">OptionDelta("P",$E14,$D$4,AV$10,$D$5,$D$8,0)</f>
        <v>-0.83958778898814013</v>
      </c>
      <c r="AW14" s="1" cm="1">
        <f t="array" ref="AW14">OptionDelta("P",$E14,$D$4,AW$10,$D$5,$D$8,0)</f>
        <v>-0.81810037029895166</v>
      </c>
      <c r="AX14" s="1" cm="1">
        <f t="array" ref="AX14">OptionDelta("P",$E14,$D$4,AX$10,$D$5,$D$8,0)</f>
        <v>-0.79867181429170175</v>
      </c>
      <c r="AY14" s="1" cm="1">
        <f t="array" ref="AY14">OptionDelta("P",$E14,$D$4,AY$10,$D$5,$D$8,0)</f>
        <v>-0.78100943988166782</v>
      </c>
      <c r="AZ14" s="1" cm="1">
        <f t="array" ref="AZ14">OptionDelta("P",$E14,$D$4,AZ$10,$D$5,$D$8,0)</f>
        <v>-0.66231908916757454</v>
      </c>
      <c r="BA14" s="1" cm="1">
        <f t="array" ref="BA14">OptionDelta("P",$E14,$D$4,BA$10,$D$5,$D$8,0)</f>
        <v>-0.59332314529799546</v>
      </c>
      <c r="BB14" s="1" cm="1">
        <f t="array" ref="BB14">OptionDelta("P",$E14,$D$4,BB$10,$D$5,$D$8,0)</f>
        <v>-0.54490681007005426</v>
      </c>
      <c r="BC14" s="1" cm="1">
        <f t="array" ref="BC14">OptionDelta("P",$E14,$D$4,BC$10,$D$5,$D$8,0)</f>
        <v>-0.50754168118532883</v>
      </c>
    </row>
    <row r="15" spans="3:55" x14ac:dyDescent="0.3">
      <c r="E15" s="2">
        <f t="shared" si="6"/>
        <v>80</v>
      </c>
      <c r="F15" s="1" cm="1">
        <f t="array" ref="F15">OptionDelta("P",$E15,$D$4,F$10,$D$5,$D$6,0)</f>
        <v>-0.99975001751527426</v>
      </c>
      <c r="G15" s="1" cm="1">
        <f t="array" ref="G15">OptionDelta("P",$E15,$D$4,G$10,$D$5,$D$6,0)</f>
        <v>-0.99240335756181086</v>
      </c>
      <c r="H15" s="1" cm="1">
        <f t="array" ref="H15">OptionDelta("P",$E15,$D$4,H$10,$D$5,$D$6,0)</f>
        <v>-0.9746998607162608</v>
      </c>
      <c r="I15" s="1" cm="1">
        <f t="array" ref="I15">OptionDelta("P",$E15,$D$4,I$10,$D$5,$D$6,0)</f>
        <v>-0.95246472444071939</v>
      </c>
      <c r="J15" s="1" cm="1">
        <f t="array" ref="J15">OptionDelta("P",$E15,$D$4,J$10,$D$5,$D$6,0)</f>
        <v>-0.9294621704192243</v>
      </c>
      <c r="K15" s="1" cm="1">
        <f t="array" ref="K15">OptionDelta("P",$E15,$D$4,K$10,$D$5,$D$6,0)</f>
        <v>-0.90728100884537732</v>
      </c>
      <c r="L15" s="1" cm="1">
        <f t="array" ref="L15">OptionDelta("P",$E15,$D$4,L$10,$D$5,$D$6,0)</f>
        <v>-0.88648382673497528</v>
      </c>
      <c r="M15" s="1" cm="1">
        <f t="array" ref="M15">OptionDelta("P",$E15,$D$4,M$10,$D$5,$D$6,0)</f>
        <v>-0.86719866762994358</v>
      </c>
      <c r="N15" s="1" cm="1">
        <f t="array" ref="N15">OptionDelta("P",$E15,$D$4,N$10,$D$5,$D$6,0)</f>
        <v>-0.8493775152454146</v>
      </c>
      <c r="O15" s="1" cm="1">
        <f t="array" ref="O15">OptionDelta("P",$E15,$D$4,O$10,$D$5,$D$6,0)</f>
        <v>-0.83290728409305792</v>
      </c>
      <c r="P15" s="1" cm="1">
        <f t="array" ref="P15">OptionDelta("P",$E15,$D$4,P$10,$D$5,$D$6,0)</f>
        <v>-0.7179625656379226</v>
      </c>
      <c r="Q15" s="1" cm="1">
        <f t="array" ref="Q15">OptionDelta("P",$E15,$D$4,Q$10,$D$5,$D$6,0)</f>
        <v>-0.64964133490352116</v>
      </c>
      <c r="R15" s="1" cm="1">
        <f t="array" ref="R15">OptionDelta("P",$E15,$D$4,R$10,$D$5,$D$6,0)</f>
        <v>-0.60174208889703951</v>
      </c>
      <c r="S15" s="1" cm="1">
        <f t="array" ref="S15">OptionDelta("P",$E15,$D$4,S$10,$D$5,$D$6,0)</f>
        <v>-0.5649588516263524</v>
      </c>
      <c r="W15" s="2">
        <f t="shared" si="7"/>
        <v>80</v>
      </c>
      <c r="X15" s="1" cm="1">
        <f t="array" ref="X15">OptionDelta("P",$E15,$D$4,X$10,$D$5,$D$7,0)</f>
        <v>-0.99999999999879974</v>
      </c>
      <c r="Y15" s="1" cm="1">
        <f t="array" ref="Y15">OptionDelta("P",$E15,$D$4,Y$10,$D$5,$D$7,0)</f>
        <v>-0.99999957290199704</v>
      </c>
      <c r="Z15" s="1" cm="1">
        <f t="array" ref="Z15">OptionDelta("P",$E15,$D$4,Z$10,$D$5,$D$7,0)</f>
        <v>-0.99996722240854641</v>
      </c>
      <c r="AA15" s="1" cm="1">
        <f t="array" ref="AA15">OptionDelta("P",$E15,$D$4,AA$10,$D$5,$D$7,0)</f>
        <v>-0.99970190412486359</v>
      </c>
      <c r="AB15" s="1" cm="1">
        <f t="array" ref="AB15">OptionDelta("P",$E15,$D$4,AB$10,$D$5,$D$7,0)</f>
        <v>-0.99885449850928076</v>
      </c>
      <c r="AC15" s="1" cm="1">
        <f t="array" ref="AC15">OptionDelta("P",$E15,$D$4,AC$10,$D$5,$D$7,0)</f>
        <v>-0.99715020541618327</v>
      </c>
      <c r="AD15" s="1" cm="1">
        <f t="array" ref="AD15">OptionDelta("P",$E15,$D$4,AD$10,$D$5,$D$7,0)</f>
        <v>-0.99448231126656217</v>
      </c>
      <c r="AE15" s="1" cm="1">
        <f t="array" ref="AE15">OptionDelta("P",$E15,$D$4,AE$10,$D$5,$D$7,0)</f>
        <v>-0.99087869452629052</v>
      </c>
      <c r="AF15" s="1" cm="1">
        <f t="array" ref="AF15">OptionDelta("P",$E15,$D$4,AF$10,$D$5,$D$7,0)</f>
        <v>-0.98644176377083581</v>
      </c>
      <c r="AG15" s="1" cm="1">
        <f t="array" ref="AG15">OptionDelta("P",$E15,$D$4,AG$10,$D$5,$D$7,0)</f>
        <v>-0.98130296953188956</v>
      </c>
      <c r="AH15" s="1" cm="1">
        <f t="array" ref="AH15">OptionDelta("P",$E15,$D$4,AH$10,$D$5,$D$7,0)</f>
        <v>-0.91398831809174919</v>
      </c>
      <c r="AI15" s="1" cm="1">
        <f t="array" ref="AI15">OptionDelta("P",$E15,$D$4,AI$10,$D$5,$D$7,0)</f>
        <v>-0.84814553967118989</v>
      </c>
      <c r="AJ15" s="1" cm="1">
        <f t="array" ref="AJ15">OptionDelta("P",$E15,$D$4,AJ$10,$D$5,$D$7,0)</f>
        <v>-0.79266920954781528</v>
      </c>
      <c r="AK15" s="1" cm="1">
        <f t="array" ref="AK15">OptionDelta("P",$E15,$D$4,AK$10,$D$5,$D$7,0)</f>
        <v>-0.74618038134057052</v>
      </c>
      <c r="AO15" s="2">
        <f t="shared" si="8"/>
        <v>80</v>
      </c>
      <c r="AP15" s="1" cm="1">
        <f t="array" ref="AP15">OptionDelta("P",$E15,$D$4,AP$10,$D$5,$D$8,0)</f>
        <v>-0.98910947326415422</v>
      </c>
      <c r="AQ15" s="1" cm="1">
        <f t="array" ref="AQ15">OptionDelta("P",$E15,$D$4,AQ$10,$D$5,$D$8,0)</f>
        <v>-0.94308666201370861</v>
      </c>
      <c r="AR15" s="1" cm="1">
        <f t="array" ref="AR15">OptionDelta("P",$E15,$D$4,AR$10,$D$5,$D$8,0)</f>
        <v>-0.89573043536076724</v>
      </c>
      <c r="AS15" s="1" cm="1">
        <f t="array" ref="AS15">OptionDelta("P",$E15,$D$4,AS$10,$D$5,$D$8,0)</f>
        <v>-0.85545490352774345</v>
      </c>
      <c r="AT15" s="1" cm="1">
        <f t="array" ref="AT15">OptionDelta("P",$E15,$D$4,AT$10,$D$5,$D$8,0)</f>
        <v>-0.82180678459839196</v>
      </c>
      <c r="AU15" s="1" cm="1">
        <f t="array" ref="AU15">OptionDelta("P",$E15,$D$4,AU$10,$D$5,$D$8,0)</f>
        <v>-0.79339207963546399</v>
      </c>
      <c r="AV15" s="1" cm="1">
        <f t="array" ref="AV15">OptionDelta("P",$E15,$D$4,AV$10,$D$5,$D$8,0)</f>
        <v>-0.76902433777372758</v>
      </c>
      <c r="AW15" s="1" cm="1">
        <f t="array" ref="AW15">OptionDelta("P",$E15,$D$4,AW$10,$D$5,$D$8,0)</f>
        <v>-0.7478146507670137</v>
      </c>
      <c r="AX15" s="1" cm="1">
        <f t="array" ref="AX15">OptionDelta("P",$E15,$D$4,AX$10,$D$5,$D$8,0)</f>
        <v>-0.72910925383215464</v>
      </c>
      <c r="AY15" s="1" cm="1">
        <f t="array" ref="AY15">OptionDelta("P",$E15,$D$4,AY$10,$D$5,$D$8,0)</f>
        <v>-0.71242345118592665</v>
      </c>
      <c r="AZ15" s="1" cm="1">
        <f t="array" ref="AZ15">OptionDelta("P",$E15,$D$4,AZ$10,$D$5,$D$8,0)</f>
        <v>-0.60514295751881164</v>
      </c>
      <c r="BA15" s="1" cm="1">
        <f t="array" ref="BA15">OptionDelta("P",$E15,$D$4,BA$10,$D$5,$D$8,0)</f>
        <v>-0.54454758788761459</v>
      </c>
      <c r="BB15" s="1" cm="1">
        <f t="array" ref="BB15">OptionDelta("P",$E15,$D$4,BB$10,$D$5,$D$8,0)</f>
        <v>-0.50209014965405951</v>
      </c>
      <c r="BC15" s="1" cm="1">
        <f t="array" ref="BC15">OptionDelta("P",$E15,$D$4,BC$10,$D$5,$D$8,0)</f>
        <v>-0.46919124044230576</v>
      </c>
    </row>
    <row r="16" spans="3:55" x14ac:dyDescent="0.3">
      <c r="E16" s="2">
        <f t="shared" si="6"/>
        <v>85</v>
      </c>
      <c r="F16" s="1" cm="1">
        <f t="array" ref="F16">OptionDelta("P",$E16,$D$4,F$10,$D$5,$D$6,0)</f>
        <v>-0.99416909186209745</v>
      </c>
      <c r="G16" s="1" cm="1">
        <f t="array" ref="G16">OptionDelta("P",$E16,$D$4,G$10,$D$5,$D$6,0)</f>
        <v>-0.95993522017554</v>
      </c>
      <c r="H16" s="1" cm="1">
        <f t="array" ref="H16">OptionDelta("P",$E16,$D$4,H$10,$D$5,$D$6,0)</f>
        <v>-0.91945718869685844</v>
      </c>
      <c r="I16" s="1" cm="1">
        <f t="array" ref="I16">OptionDelta("P",$E16,$D$4,I$10,$D$5,$D$6,0)</f>
        <v>-0.88296827878765527</v>
      </c>
      <c r="J16" s="1" cm="1">
        <f t="array" ref="J16">OptionDelta("P",$E16,$D$4,J$10,$D$5,$D$6,0)</f>
        <v>-0.8515527963544558</v>
      </c>
      <c r="K16" s="1" cm="1">
        <f t="array" ref="K16">OptionDelta("P",$E16,$D$4,K$10,$D$5,$D$6,0)</f>
        <v>-0.82455533749048882</v>
      </c>
      <c r="L16" s="1" cm="1">
        <f t="array" ref="L16">OptionDelta("P",$E16,$D$4,L$10,$D$5,$D$6,0)</f>
        <v>-0.80115036351573243</v>
      </c>
      <c r="M16" s="1" cm="1">
        <f t="array" ref="M16">OptionDelta("P",$E16,$D$4,M$10,$D$5,$D$6,0)</f>
        <v>-0.78063641017552954</v>
      </c>
      <c r="N16" s="1" cm="1">
        <f t="array" ref="N16">OptionDelta("P",$E16,$D$4,N$10,$D$5,$D$6,0)</f>
        <v>-0.76246291657331267</v>
      </c>
      <c r="O16" s="1" cm="1">
        <f t="array" ref="O16">OptionDelta("P",$E16,$D$4,O$10,$D$5,$D$6,0)</f>
        <v>-0.7462049004262935</v>
      </c>
      <c r="P16" s="1" cm="1">
        <f t="array" ref="P16">OptionDelta("P",$E16,$D$4,P$10,$D$5,$D$6,0)</f>
        <v>-0.64149552812518496</v>
      </c>
      <c r="Q16" s="1" cm="1">
        <f t="array" ref="Q16">OptionDelta("P",$E16,$D$4,Q$10,$D$5,$D$6,0)</f>
        <v>-0.58291019299022284</v>
      </c>
      <c r="R16" s="1" cm="1">
        <f t="array" ref="R16">OptionDelta("P",$E16,$D$4,R$10,$D$5,$D$6,0)</f>
        <v>-0.54232677254784156</v>
      </c>
      <c r="S16" s="1" cm="1">
        <f t="array" ref="S16">OptionDelta("P",$E16,$D$4,S$10,$D$5,$D$6,0)</f>
        <v>-0.51116620365399934</v>
      </c>
      <c r="W16" s="2">
        <f t="shared" si="7"/>
        <v>85</v>
      </c>
      <c r="X16" s="1" cm="1">
        <f t="array" ref="X16">OptionDelta("P",$E16,$D$4,X$10,$D$5,$D$7,0)</f>
        <v>-0.99999982272133159</v>
      </c>
      <c r="Y16" s="1" cm="1">
        <f t="array" ref="Y16">OptionDelta("P",$E16,$D$4,Y$10,$D$5,$D$7,0)</f>
        <v>-0.99981942099236665</v>
      </c>
      <c r="Z16" s="1" cm="1">
        <f t="array" ref="Z16">OptionDelta("P",$E16,$D$4,Z$10,$D$5,$D$7,0)</f>
        <v>-0.99804304196816818</v>
      </c>
      <c r="AA16" s="1" cm="1">
        <f t="array" ref="AA16">OptionDelta("P",$E16,$D$4,AA$10,$D$5,$D$7,0)</f>
        <v>-0.99333411575638086</v>
      </c>
      <c r="AB16" s="1" cm="1">
        <f t="array" ref="AB16">OptionDelta("P",$E16,$D$4,AB$10,$D$5,$D$7,0)</f>
        <v>-0.98582102812389361</v>
      </c>
      <c r="AC16" s="1" cm="1">
        <f t="array" ref="AC16">OptionDelta("P",$E16,$D$4,AC$10,$D$5,$D$7,0)</f>
        <v>-0.97625595044034874</v>
      </c>
      <c r="AD16" s="1" cm="1">
        <f t="array" ref="AD16">OptionDelta("P",$E16,$D$4,AD$10,$D$5,$D$7,0)</f>
        <v>-0.96538943258594301</v>
      </c>
      <c r="AE16" s="1" cm="1">
        <f t="array" ref="AE16">OptionDelta("P",$E16,$D$4,AE$10,$D$5,$D$7,0)</f>
        <v>-0.95379820378478741</v>
      </c>
      <c r="AF16" s="1" cm="1">
        <f t="array" ref="AF16">OptionDelta("P",$E16,$D$4,AF$10,$D$5,$D$7,0)</f>
        <v>-0.94188514642659571</v>
      </c>
      <c r="AG16" s="1" cm="1">
        <f t="array" ref="AG16">OptionDelta("P",$E16,$D$4,AG$10,$D$5,$D$7,0)</f>
        <v>-0.92991917065856666</v>
      </c>
      <c r="AH16" s="1" cm="1">
        <f t="array" ref="AH16">OptionDelta("P",$E16,$D$4,AH$10,$D$5,$D$7,0)</f>
        <v>-0.82563366708758723</v>
      </c>
      <c r="AI16" s="1" cm="1">
        <f t="array" ref="AI16">OptionDelta("P",$E16,$D$4,AI$10,$D$5,$D$7,0)</f>
        <v>-0.75127132472481861</v>
      </c>
      <c r="AJ16" s="1" cm="1">
        <f t="array" ref="AJ16">OptionDelta("P",$E16,$D$4,AJ$10,$D$5,$D$7,0)</f>
        <v>-0.69588255094248597</v>
      </c>
      <c r="AK16" s="1" cm="1">
        <f t="array" ref="AK16">OptionDelta("P",$E16,$D$4,AK$10,$D$5,$D$7,0)</f>
        <v>-0.65224792947554422</v>
      </c>
      <c r="AO16" s="2">
        <f t="shared" si="8"/>
        <v>85</v>
      </c>
      <c r="AP16" s="1" cm="1">
        <f t="array" ref="AP16">OptionDelta("P",$E16,$D$4,AP$10,$D$5,$D$8,0)</f>
        <v>-0.95105041176998162</v>
      </c>
      <c r="AQ16" s="1" cm="1">
        <f t="array" ref="AQ16">OptionDelta("P",$E16,$D$4,AQ$10,$D$5,$D$8,0)</f>
        <v>-0.87062603477158196</v>
      </c>
      <c r="AR16" s="1" cm="1">
        <f t="array" ref="AR16">OptionDelta("P",$E16,$D$4,AR$10,$D$5,$D$8,0)</f>
        <v>-0.81290248778862639</v>
      </c>
      <c r="AS16" s="1" cm="1">
        <f t="array" ref="AS16">OptionDelta("P",$E16,$D$4,AS$10,$D$5,$D$8,0)</f>
        <v>-0.77053193108328744</v>
      </c>
      <c r="AT16" s="1" cm="1">
        <f t="array" ref="AT16">OptionDelta("P",$E16,$D$4,AT$10,$D$5,$D$8,0)</f>
        <v>-0.73776993263156676</v>
      </c>
      <c r="AU16" s="1" cm="1">
        <f t="array" ref="AU16">OptionDelta("P",$E16,$D$4,AU$10,$D$5,$D$8,0)</f>
        <v>-0.71135950475813281</v>
      </c>
      <c r="AV16" s="1" cm="1">
        <f t="array" ref="AV16">OptionDelta("P",$E16,$D$4,AV$10,$D$5,$D$8,0)</f>
        <v>-0.68938336584831517</v>
      </c>
      <c r="AW16" s="1" cm="1">
        <f t="array" ref="AW16">OptionDelta("P",$E16,$D$4,AW$10,$D$5,$D$8,0)</f>
        <v>-0.67064466370442455</v>
      </c>
      <c r="AX16" s="1" cm="1">
        <f t="array" ref="AX16">OptionDelta("P",$E16,$D$4,AX$10,$D$5,$D$8,0)</f>
        <v>-0.65435610431318025</v>
      </c>
      <c r="AY16" s="1" cm="1">
        <f t="array" ref="AY16">OptionDelta("P",$E16,$D$4,AY$10,$D$5,$D$8,0)</f>
        <v>-0.63997666916532903</v>
      </c>
      <c r="AZ16" s="1" cm="1">
        <f t="array" ref="AZ16">OptionDelta("P",$E16,$D$4,AZ$10,$D$5,$D$8,0)</f>
        <v>-0.54925855366537546</v>
      </c>
      <c r="BA16" s="1" cm="1">
        <f t="array" ref="BA16">OptionDelta("P",$E16,$D$4,BA$10,$D$5,$D$8,0)</f>
        <v>-0.49809512869829664</v>
      </c>
      <c r="BB16" s="1" cm="1">
        <f t="array" ref="BB16">OptionDelta("P",$E16,$D$4,BB$10,$D$5,$D$8,0)</f>
        <v>-0.46183900015825552</v>
      </c>
      <c r="BC16" s="1" cm="1">
        <f t="array" ref="BC16">OptionDelta("P",$E16,$D$4,BC$10,$D$5,$D$8,0)</f>
        <v>-0.43341874291344296</v>
      </c>
    </row>
    <row r="17" spans="5:55" x14ac:dyDescent="0.3">
      <c r="E17" s="2">
        <f t="shared" si="6"/>
        <v>90</v>
      </c>
      <c r="F17" s="1" cm="1">
        <f t="array" ref="F17">OptionDelta("P",$E17,$D$4,F$10,$D$5,$D$6,0)</f>
        <v>-0.94721845000306515</v>
      </c>
      <c r="G17" s="1" cm="1">
        <f t="array" ref="G17">OptionDelta("P",$E17,$D$4,G$10,$D$5,$D$6,0)</f>
        <v>-0.86669093075219805</v>
      </c>
      <c r="H17" s="1" cm="1">
        <f t="array" ref="H17">OptionDelta("P",$E17,$D$4,H$10,$D$5,$D$6,0)</f>
        <v>-0.81047475187222251</v>
      </c>
      <c r="I17" s="1" cm="1">
        <f t="array" ref="I17">OptionDelta("P",$E17,$D$4,I$10,$D$5,$D$6,0)</f>
        <v>-0.76976698530142718</v>
      </c>
      <c r="J17" s="1" cm="1">
        <f t="array" ref="J17">OptionDelta("P",$E17,$D$4,J$10,$D$5,$D$6,0)</f>
        <v>-0.73857075243609782</v>
      </c>
      <c r="K17" s="1" cm="1">
        <f t="array" ref="K17">OptionDelta("P",$E17,$D$4,K$10,$D$5,$D$6,0)</f>
        <v>-0.71359220714545868</v>
      </c>
      <c r="L17" s="1" cm="1">
        <f t="array" ref="L17">OptionDelta("P",$E17,$D$4,L$10,$D$5,$D$6,0)</f>
        <v>-0.69292219222946605</v>
      </c>
      <c r="M17" s="1" cm="1">
        <f t="array" ref="M17">OptionDelta("P",$E17,$D$4,M$10,$D$5,$D$6,0)</f>
        <v>-0.67538030929215342</v>
      </c>
      <c r="N17" s="1" cm="1">
        <f t="array" ref="N17">OptionDelta("P",$E17,$D$4,N$10,$D$5,$D$6,0)</f>
        <v>-0.66019529381624775</v>
      </c>
      <c r="O17" s="1" cm="1">
        <f t="array" ref="O17">OptionDelta("P",$E17,$D$4,O$10,$D$5,$D$6,0)</f>
        <v>-0.64683983773027076</v>
      </c>
      <c r="P17" s="1" cm="1">
        <f t="array" ref="P17">OptionDelta("P",$E17,$D$4,P$10,$D$5,$D$6,0)</f>
        <v>-0.56370662389654669</v>
      </c>
      <c r="Q17" s="1" cm="1">
        <f t="array" ref="Q17">OptionDelta("P",$E17,$D$4,Q$10,$D$5,$D$6,0)</f>
        <v>-0.51768409900435353</v>
      </c>
      <c r="R17" s="1" cm="1">
        <f t="array" ref="R17">OptionDelta("P",$E17,$D$4,R$10,$D$5,$D$6,0)</f>
        <v>-0.48540248571576572</v>
      </c>
      <c r="S17" s="1" cm="1">
        <f t="array" ref="S17">OptionDelta("P",$E17,$D$4,S$10,$D$5,$D$6,0)</f>
        <v>-0.46024483687683237</v>
      </c>
      <c r="W17" s="2">
        <f t="shared" si="7"/>
        <v>90</v>
      </c>
      <c r="X17" s="1" cm="1">
        <f t="array" ref="X17">OptionDelta("P",$E17,$D$4,X$10,$D$5,$D$7,0)</f>
        <v>-0.99948892482853091</v>
      </c>
      <c r="Y17" s="1" cm="1">
        <f t="array" ref="Y17">OptionDelta("P",$E17,$D$4,Y$10,$D$5,$D$7,0)</f>
        <v>-0.9889559860924052</v>
      </c>
      <c r="Z17" s="1" cm="1">
        <f t="array" ref="Z17">OptionDelta("P",$E17,$D$4,Z$10,$D$5,$D$7,0)</f>
        <v>-0.96722237353959195</v>
      </c>
      <c r="AA17" s="1" cm="1">
        <f t="array" ref="AA17">OptionDelta("P",$E17,$D$4,AA$10,$D$5,$D$7,0)</f>
        <v>-0.94191189201267966</v>
      </c>
      <c r="AB17" s="1" cm="1">
        <f t="array" ref="AB17">OptionDelta("P",$E17,$D$4,AB$10,$D$5,$D$7,0)</f>
        <v>-0.91681414086730562</v>
      </c>
      <c r="AC17" s="1" cm="1">
        <f t="array" ref="AC17">OptionDelta("P",$E17,$D$4,AC$10,$D$5,$D$7,0)</f>
        <v>-0.89325185776813143</v>
      </c>
      <c r="AD17" s="1" cm="1">
        <f t="array" ref="AD17">OptionDelta("P",$E17,$D$4,AD$10,$D$5,$D$7,0)</f>
        <v>-0.87156077913162922</v>
      </c>
      <c r="AE17" s="1" cm="1">
        <f t="array" ref="AE17">OptionDelta("P",$E17,$D$4,AE$10,$D$5,$D$7,0)</f>
        <v>-0.85171156569915274</v>
      </c>
      <c r="AF17" s="1" cm="1">
        <f t="array" ref="AF17">OptionDelta("P",$E17,$D$4,AF$10,$D$5,$D$7,0)</f>
        <v>-0.83355143322926772</v>
      </c>
      <c r="AG17" s="1" cm="1">
        <f t="array" ref="AG17">OptionDelta("P",$E17,$D$4,AG$10,$D$5,$D$7,0)</f>
        <v>-0.81689759699323372</v>
      </c>
      <c r="AH17" s="1" cm="1">
        <f t="array" ref="AH17">OptionDelta("P",$E17,$D$4,AH$10,$D$5,$D$7,0)</f>
        <v>-0.70294143810382681</v>
      </c>
      <c r="AI17" s="1" cm="1">
        <f t="array" ref="AI17">OptionDelta("P",$E17,$D$4,AI$10,$D$5,$D$7,0)</f>
        <v>-0.6362644892772813</v>
      </c>
      <c r="AJ17" s="1" cm="1">
        <f t="array" ref="AJ17">OptionDelta("P",$E17,$D$4,AJ$10,$D$5,$D$7,0)</f>
        <v>-0.5897113706196716</v>
      </c>
      <c r="AK17" s="1" cm="1">
        <f t="array" ref="AK17">OptionDelta("P",$E17,$D$4,AK$10,$D$5,$D$7,0)</f>
        <v>-0.55400095752449929</v>
      </c>
      <c r="AO17" s="2">
        <f t="shared" si="8"/>
        <v>90</v>
      </c>
      <c r="AP17" s="1" cm="1">
        <f t="array" ref="AP17">OptionDelta("P",$E17,$D$4,AP$10,$D$5,$D$8,0)</f>
        <v>-0.85374292440200006</v>
      </c>
      <c r="AQ17" s="1" cm="1">
        <f t="array" ref="AQ17">OptionDelta("P",$E17,$D$4,AQ$10,$D$5,$D$8,0)</f>
        <v>-0.75907237290923424</v>
      </c>
      <c r="AR17" s="1" cm="1">
        <f t="array" ref="AR17">OptionDelta("P",$E17,$D$4,AR$10,$D$5,$D$8,0)</f>
        <v>-0.70567310001943828</v>
      </c>
      <c r="AS17" s="1" cm="1">
        <f t="array" ref="AS17">OptionDelta("P",$E17,$D$4,AS$10,$D$5,$D$8,0)</f>
        <v>-0.66979547949050677</v>
      </c>
      <c r="AT17" s="1" cm="1">
        <f t="array" ref="AT17">OptionDelta("P",$E17,$D$4,AT$10,$D$5,$D$8,0)</f>
        <v>-0.64320465993398146</v>
      </c>
      <c r="AU17" s="1" cm="1">
        <f t="array" ref="AU17">OptionDelta("P",$E17,$D$4,AU$10,$D$5,$D$8,0)</f>
        <v>-0.62224795286560064</v>
      </c>
      <c r="AV17" s="1" cm="1">
        <f t="array" ref="AV17">OptionDelta("P",$E17,$D$4,AV$10,$D$5,$D$8,0)</f>
        <v>-0.60502620477444458</v>
      </c>
      <c r="AW17" s="1" cm="1">
        <f t="array" ref="AW17">OptionDelta("P",$E17,$D$4,AW$10,$D$5,$D$8,0)</f>
        <v>-0.59044006826425854</v>
      </c>
      <c r="AX17" s="1" cm="1">
        <f t="array" ref="AX17">OptionDelta("P",$E17,$D$4,AX$10,$D$5,$D$8,0)</f>
        <v>-0.57780208416455869</v>
      </c>
      <c r="AY17" s="1" cm="1">
        <f t="array" ref="AY17">OptionDelta("P",$E17,$D$4,AY$10,$D$5,$D$8,0)</f>
        <v>-0.56665658907905203</v>
      </c>
      <c r="AZ17" s="1" cm="1">
        <f t="array" ref="AZ17">OptionDelta("P",$E17,$D$4,AZ$10,$D$5,$D$8,0)</f>
        <v>-0.49563750571488163</v>
      </c>
      <c r="BA17" s="1" cm="1">
        <f t="array" ref="BA17">OptionDelta("P",$E17,$D$4,BA$10,$D$5,$D$8,0)</f>
        <v>-0.45431124070599771</v>
      </c>
      <c r="BB17" s="1" cm="1">
        <f t="array" ref="BB17">OptionDelta("P",$E17,$D$4,BB$10,$D$5,$D$8,0)</f>
        <v>-0.42423701798348556</v>
      </c>
      <c r="BC17" s="1" cm="1">
        <f t="array" ref="BC17">OptionDelta("P",$E17,$D$4,BC$10,$D$5,$D$8,0)</f>
        <v>-0.40017907667774644</v>
      </c>
    </row>
    <row r="18" spans="5:55" x14ac:dyDescent="0.3">
      <c r="E18" s="2">
        <f t="shared" si="6"/>
        <v>95</v>
      </c>
      <c r="F18" s="1" cm="1">
        <f t="array" ref="F18">OptionDelta("P",$E18,$D$4,F$10,$D$5,$D$6,0)</f>
        <v>-0.77744241537585546</v>
      </c>
      <c r="G18" s="1" cm="1">
        <f t="array" ref="G18">OptionDelta("P",$E18,$D$4,G$10,$D$5,$D$6,0)</f>
        <v>-0.6937101065655854</v>
      </c>
      <c r="H18" s="1" cm="1">
        <f t="array" ref="H18">OptionDelta("P",$E18,$D$4,H$10,$D$5,$D$6,0)</f>
        <v>-0.65028247031978481</v>
      </c>
      <c r="I18" s="1" cm="1">
        <f t="array" ref="I18">OptionDelta("P",$E18,$D$4,I$10,$D$5,$D$6,0)</f>
        <v>-0.62196313433435235</v>
      </c>
      <c r="J18" s="1" cm="1">
        <f t="array" ref="J18">OptionDelta("P",$E18,$D$4,J$10,$D$5,$D$6,0)</f>
        <v>-0.60126869861810672</v>
      </c>
      <c r="K18" s="1" cm="1">
        <f t="array" ref="K18">OptionDelta("P",$E18,$D$4,K$10,$D$5,$D$6,0)</f>
        <v>-0.58508019991269511</v>
      </c>
      <c r="L18" s="1" cm="1">
        <f t="array" ref="L18">OptionDelta("P",$E18,$D$4,L$10,$D$5,$D$6,0)</f>
        <v>-0.57183075677667916</v>
      </c>
      <c r="M18" s="1" cm="1">
        <f t="array" ref="M18">OptionDelta("P",$E18,$D$4,M$10,$D$5,$D$6,0)</f>
        <v>-0.56063294575822775</v>
      </c>
      <c r="N18" s="1" cm="1">
        <f t="array" ref="N18">OptionDelta("P",$E18,$D$4,N$10,$D$5,$D$6,0)</f>
        <v>-0.55094011572048185</v>
      </c>
      <c r="O18" s="1" cm="1">
        <f t="array" ref="O18">OptionDelta("P",$E18,$D$4,O$10,$D$5,$D$6,0)</f>
        <v>-0.54239387215072843</v>
      </c>
      <c r="P18" s="1" cm="1">
        <f t="array" ref="P18">OptionDelta("P",$E18,$D$4,P$10,$D$5,$D$6,0)</f>
        <v>-0.48772135767095182</v>
      </c>
      <c r="Q18" s="1" cm="1">
        <f t="array" ref="Q18">OptionDelta("P",$E18,$D$4,Q$10,$D$5,$D$6,0)</f>
        <v>-0.45551611552615734</v>
      </c>
      <c r="R18" s="1" cm="1">
        <f t="array" ref="R18">OptionDelta("P",$E18,$D$4,R$10,$D$5,$D$6,0)</f>
        <v>-0.43181044779477695</v>
      </c>
      <c r="S18" s="1" cm="1">
        <f t="array" ref="S18">OptionDelta("P",$E18,$D$4,S$10,$D$5,$D$6,0)</f>
        <v>-0.41265721312345893</v>
      </c>
      <c r="W18" s="2">
        <f t="shared" si="7"/>
        <v>95</v>
      </c>
      <c r="X18" s="1" cm="1">
        <f t="array" ref="X18">OptionDelta("P",$E18,$D$4,X$10,$D$5,$D$7,0)</f>
        <v>-0.94232585548392311</v>
      </c>
      <c r="Y18" s="1" cm="1">
        <f t="array" ref="Y18">OptionDelta("P",$E18,$D$4,Y$10,$D$5,$D$7,0)</f>
        <v>-0.85990016135422198</v>
      </c>
      <c r="Z18" s="1" cm="1">
        <f t="array" ref="Z18">OptionDelta("P",$E18,$D$4,Z$10,$D$5,$D$7,0)</f>
        <v>-0.80353746475916554</v>
      </c>
      <c r="AA18" s="1" cm="1">
        <f t="array" ref="AA18">OptionDelta("P",$E18,$D$4,AA$10,$D$5,$D$7,0)</f>
        <v>-0.76305059187866298</v>
      </c>
      <c r="AB18" s="1" cm="1">
        <f t="array" ref="AB18">OptionDelta("P",$E18,$D$4,AB$10,$D$5,$D$7,0)</f>
        <v>-0.73215074084786935</v>
      </c>
      <c r="AC18" s="1" cm="1">
        <f t="array" ref="AC18">OptionDelta("P",$E18,$D$4,AC$10,$D$5,$D$7,0)</f>
        <v>-0.70746843461389441</v>
      </c>
      <c r="AD18" s="1" cm="1">
        <f t="array" ref="AD18">OptionDelta("P",$E18,$D$4,AD$10,$D$5,$D$7,0)</f>
        <v>-0.68707388235667555</v>
      </c>
      <c r="AE18" s="1" cm="1">
        <f t="array" ref="AE18">OptionDelta("P",$E18,$D$4,AE$10,$D$5,$D$7,0)</f>
        <v>-0.66978239987143284</v>
      </c>
      <c r="AF18" s="1" cm="1">
        <f t="array" ref="AF18">OptionDelta("P",$E18,$D$4,AF$10,$D$5,$D$7,0)</f>
        <v>-0.65482358809332131</v>
      </c>
      <c r="AG18" s="1" cm="1">
        <f t="array" ref="AG18">OptionDelta("P",$E18,$D$4,AG$10,$D$5,$D$7,0)</f>
        <v>-0.64167251171171547</v>
      </c>
      <c r="AH18" s="1" cm="1">
        <f t="array" ref="AH18">OptionDelta("P",$E18,$D$4,AH$10,$D$5,$D$7,0)</f>
        <v>-0.55984108777794528</v>
      </c>
      <c r="AI18" s="1" cm="1">
        <f t="array" ref="AI18">OptionDelta("P",$E18,$D$4,AI$10,$D$5,$D$7,0)</f>
        <v>-0.51449212049483484</v>
      </c>
      <c r="AJ18" s="1" cm="1">
        <f t="array" ref="AJ18">OptionDelta("P",$E18,$D$4,AJ$10,$D$5,$D$7,0)</f>
        <v>-0.48263811916107868</v>
      </c>
      <c r="AK18" s="1" cm="1">
        <f t="array" ref="AK18">OptionDelta("P",$E18,$D$4,AK$10,$D$5,$D$7,0)</f>
        <v>-0.45778339645558364</v>
      </c>
      <c r="AO18" s="2">
        <f t="shared" si="8"/>
        <v>95</v>
      </c>
      <c r="AP18" s="1" cm="1">
        <f t="array" ref="AP18">OptionDelta("P",$E18,$D$4,AP$10,$D$5,$D$8,0)</f>
        <v>-0.68534693429781512</v>
      </c>
      <c r="AQ18" s="1" cm="1">
        <f t="array" ref="AQ18">OptionDelta("P",$E18,$D$4,AQ$10,$D$5,$D$8,0)</f>
        <v>-0.6180366959210446</v>
      </c>
      <c r="AR18" s="1" cm="1">
        <f t="array" ref="AR18">OptionDelta("P",$E18,$D$4,AR$10,$D$5,$D$8,0)</f>
        <v>-0.58384710662090655</v>
      </c>
      <c r="AS18" s="1" cm="1">
        <f t="array" ref="AS18">OptionDelta("P",$E18,$D$4,AS$10,$D$5,$D$8,0)</f>
        <v>-0.56134857249801873</v>
      </c>
      <c r="AT18" s="1" cm="1">
        <f t="array" ref="AT18">OptionDelta("P",$E18,$D$4,AT$10,$D$5,$D$8,0)</f>
        <v>-0.54465278448532417</v>
      </c>
      <c r="AU18" s="1" cm="1">
        <f t="array" ref="AU18">OptionDelta("P",$E18,$D$4,AU$10,$D$5,$D$8,0)</f>
        <v>-0.53137304929510343</v>
      </c>
      <c r="AV18" s="1" cm="1">
        <f t="array" ref="AV18">OptionDelta("P",$E18,$D$4,AV$10,$D$5,$D$8,0)</f>
        <v>-0.5203251694133888</v>
      </c>
      <c r="AW18" s="1" cm="1">
        <f t="array" ref="AW18">OptionDelta("P",$E18,$D$4,AW$10,$D$5,$D$8,0)</f>
        <v>-0.51084211699665127</v>
      </c>
      <c r="AX18" s="1" cm="1">
        <f t="array" ref="AX18">OptionDelta("P",$E18,$D$4,AX$10,$D$5,$D$8,0)</f>
        <v>-0.50251371636138731</v>
      </c>
      <c r="AY18" s="1" cm="1">
        <f t="array" ref="AY18">OptionDelta("P",$E18,$D$4,AY$10,$D$5,$D$8,0)</f>
        <v>-0.49507092011561626</v>
      </c>
      <c r="AZ18" s="1" cm="1">
        <f t="array" ref="AZ18">OptionDelta("P",$E18,$D$4,AZ$10,$D$5,$D$8,0)</f>
        <v>-0.44497280460428268</v>
      </c>
      <c r="BA18" s="1" cm="1">
        <f t="array" ref="BA18">OptionDelta("P",$E18,$D$4,BA$10,$D$5,$D$8,0)</f>
        <v>-0.41339176139808453</v>
      </c>
      <c r="BB18" s="1" cm="1">
        <f t="array" ref="BB18">OptionDelta("P",$E18,$D$4,BB$10,$D$5,$D$8,0)</f>
        <v>-0.38928699917989928</v>
      </c>
      <c r="BC18" s="1" cm="1">
        <f t="array" ref="BC18">OptionDelta("P",$E18,$D$4,BC$10,$D$5,$D$8,0)</f>
        <v>-0.36938513644082593</v>
      </c>
    </row>
    <row r="19" spans="5:55" x14ac:dyDescent="0.3">
      <c r="E19" s="2">
        <f t="shared" si="6"/>
        <v>100</v>
      </c>
      <c r="F19" s="1" cm="1">
        <f t="array" ref="F19">OptionDelta("P",$E19,$D$4,F$10,$D$5,$D$6,0)</f>
        <v>-0.48108360000070371</v>
      </c>
      <c r="G19" s="1" cm="1">
        <f t="array" ref="G19">OptionDelta("P",$E19,$D$4,G$10,$D$5,$D$6,0)</f>
        <v>-0.4732581961130774</v>
      </c>
      <c r="H19" s="1" cm="1">
        <f t="array" ref="H19">OptionDelta("P",$E19,$D$4,H$10,$D$5,$D$6,0)</f>
        <v>-0.46726038328732289</v>
      </c>
      <c r="I19" s="1" cm="1">
        <f t="array" ref="I19">OptionDelta("P",$E19,$D$4,I$10,$D$5,$D$6,0)</f>
        <v>-0.46220970609333534</v>
      </c>
      <c r="J19" s="1" cm="1">
        <f t="array" ref="J19">OptionDelta("P",$E19,$D$4,J$10,$D$5,$D$6,0)</f>
        <v>-0.45776498668838594</v>
      </c>
      <c r="K19" s="1" cm="1">
        <f t="array" ref="K19">OptionDelta("P",$E19,$D$4,K$10,$D$5,$D$6,0)</f>
        <v>-0.45375117893531969</v>
      </c>
      <c r="L19" s="1" cm="1">
        <f t="array" ref="L19">OptionDelta("P",$E19,$D$4,L$10,$D$5,$D$6,0)</f>
        <v>-0.45006425675703965</v>
      </c>
      <c r="M19" s="1" cm="1">
        <f t="array" ref="M19">OptionDelta("P",$E19,$D$4,M$10,$D$5,$D$6,0)</f>
        <v>-0.44663641507110596</v>
      </c>
      <c r="N19" s="1" cm="1">
        <f t="array" ref="N19">OptionDelta("P",$E19,$D$4,N$10,$D$5,$D$6,0)</f>
        <v>-0.44342053804454018</v>
      </c>
      <c r="O19" s="1" cm="1">
        <f t="array" ref="O19">OptionDelta("P",$E19,$D$4,O$10,$D$5,$D$6,0)</f>
        <v>-0.4403823076297575</v>
      </c>
      <c r="P19" s="1" cm="1">
        <f t="array" ref="P19">OptionDelta("P",$E19,$D$4,P$10,$D$5,$D$6,0)</f>
        <v>-0.41600201428631822</v>
      </c>
      <c r="Q19" s="1" cm="1">
        <f t="array" ref="Q19">OptionDelta("P",$E19,$D$4,Q$10,$D$5,$D$6,0)</f>
        <v>-0.39750608598211901</v>
      </c>
      <c r="R19" s="1" cm="1">
        <f t="array" ref="R19">OptionDelta("P",$E19,$D$4,R$10,$D$5,$D$6,0)</f>
        <v>-0.38208857781104733</v>
      </c>
      <c r="S19" s="1" cm="1">
        <f t="array" ref="S19">OptionDelta("P",$E19,$D$4,S$10,$D$5,$D$6,0)</f>
        <v>-0.36865783860820911</v>
      </c>
      <c r="W19" s="2">
        <f t="shared" si="7"/>
        <v>100</v>
      </c>
      <c r="X19" s="1" cm="1">
        <f t="array" ref="X19">OptionDelta("P",$E19,$D$4,X$10,$D$5,$D$7,0)</f>
        <v>-0.48108360000070371</v>
      </c>
      <c r="Y19" s="1" cm="1">
        <f t="array" ref="Y19">OptionDelta("P",$E19,$D$4,Y$10,$D$5,$D$7,0)</f>
        <v>-0.4732581961130774</v>
      </c>
      <c r="Z19" s="1" cm="1">
        <f t="array" ref="Z19">OptionDelta("P",$E19,$D$4,Z$10,$D$5,$D$7,0)</f>
        <v>-0.46726038328732289</v>
      </c>
      <c r="AA19" s="1" cm="1">
        <f t="array" ref="AA19">OptionDelta("P",$E19,$D$4,AA$10,$D$5,$D$7,0)</f>
        <v>-0.46220970609333534</v>
      </c>
      <c r="AB19" s="1" cm="1">
        <f t="array" ref="AB19">OptionDelta("P",$E19,$D$4,AB$10,$D$5,$D$7,0)</f>
        <v>-0.45776498668838594</v>
      </c>
      <c r="AC19" s="1" cm="1">
        <f t="array" ref="AC19">OptionDelta("P",$E19,$D$4,AC$10,$D$5,$D$7,0)</f>
        <v>-0.45375117893531969</v>
      </c>
      <c r="AD19" s="1" cm="1">
        <f t="array" ref="AD19">OptionDelta("P",$E19,$D$4,AD$10,$D$5,$D$7,0)</f>
        <v>-0.45006425675703965</v>
      </c>
      <c r="AE19" s="1" cm="1">
        <f t="array" ref="AE19">OptionDelta("P",$E19,$D$4,AE$10,$D$5,$D$7,0)</f>
        <v>-0.44663641507110596</v>
      </c>
      <c r="AF19" s="1" cm="1">
        <f t="array" ref="AF19">OptionDelta("P",$E19,$D$4,AF$10,$D$5,$D$7,0)</f>
        <v>-0.44342053804454018</v>
      </c>
      <c r="AG19" s="1" cm="1">
        <f t="array" ref="AG19">OptionDelta("P",$E19,$D$4,AG$10,$D$5,$D$7,0)</f>
        <v>-0.4403823076297575</v>
      </c>
      <c r="AH19" s="1" cm="1">
        <f t="array" ref="AH19">OptionDelta("P",$E19,$D$4,AH$10,$D$5,$D$7,0)</f>
        <v>-0.41600201428631822</v>
      </c>
      <c r="AI19" s="1" cm="1">
        <f t="array" ref="AI19">OptionDelta("P",$E19,$D$4,AI$10,$D$5,$D$7,0)</f>
        <v>-0.39750608598211912</v>
      </c>
      <c r="AJ19" s="1" cm="1">
        <f t="array" ref="AJ19">OptionDelta("P",$E19,$D$4,AJ$10,$D$5,$D$7,0)</f>
        <v>-0.38208857781104733</v>
      </c>
      <c r="AK19" s="1" cm="1">
        <f t="array" ref="AK19">OptionDelta("P",$E19,$D$4,AK$10,$D$5,$D$7,0)</f>
        <v>-0.36865783860820911</v>
      </c>
      <c r="AO19" s="2">
        <f t="shared" si="8"/>
        <v>100</v>
      </c>
      <c r="AP19" s="1" cm="1">
        <f t="array" ref="AP19">OptionDelta("P",$E19,$D$4,AP$10,$D$5,$D$8,0)</f>
        <v>-0.47688423504863664</v>
      </c>
      <c r="AQ19" s="1" cm="1">
        <f t="array" ref="AQ19">OptionDelta("P",$E19,$D$4,AQ$10,$D$5,$D$8,0)</f>
        <v>-0.46732766707817819</v>
      </c>
      <c r="AR19" s="1" cm="1">
        <f t="array" ref="AR19">OptionDelta("P",$E19,$D$4,AR$10,$D$5,$D$8,0)</f>
        <v>-0.46000711241294456</v>
      </c>
      <c r="AS19" s="1" cm="1">
        <f t="array" ref="AS19">OptionDelta("P",$E19,$D$4,AS$10,$D$5,$D$8,0)</f>
        <v>-0.45384601264142221</v>
      </c>
      <c r="AT19" s="1" cm="1">
        <f t="array" ref="AT19">OptionDelta("P",$E19,$D$4,AT$10,$D$5,$D$8,0)</f>
        <v>-0.44842711362451881</v>
      </c>
      <c r="AU19" s="1" cm="1">
        <f t="array" ref="AU19">OptionDelta("P",$E19,$D$4,AU$10,$D$5,$D$8,0)</f>
        <v>-0.44353629460817168</v>
      </c>
      <c r="AV19" s="1" cm="1">
        <f t="array" ref="AV19">OptionDelta("P",$E19,$D$4,AV$10,$D$5,$D$8,0)</f>
        <v>-0.43904628326616701</v>
      </c>
      <c r="AW19" s="1" cm="1">
        <f t="array" ref="AW19">OptionDelta("P",$E19,$D$4,AW$10,$D$5,$D$8,0)</f>
        <v>-0.43487410610469346</v>
      </c>
      <c r="AX19" s="1" cm="1">
        <f t="array" ref="AX19">OptionDelta("P",$E19,$D$4,AX$10,$D$5,$D$8,0)</f>
        <v>-0.43096209583856271</v>
      </c>
      <c r="AY19" s="1" cm="1">
        <f t="array" ref="AY19">OptionDelta("P",$E19,$D$4,AY$10,$D$5,$D$8,0)</f>
        <v>-0.42726824069695946</v>
      </c>
      <c r="AZ19" s="1" cm="1">
        <f t="array" ref="AZ19">OptionDelta("P",$E19,$D$4,AZ$10,$D$5,$D$8,0)</f>
        <v>-0.39771250319529661</v>
      </c>
      <c r="BA19" s="1" cm="1">
        <f t="array" ref="BA19">OptionDelta("P",$E19,$D$4,BA$10,$D$5,$D$8,0)</f>
        <v>-0.37541594204455841</v>
      </c>
      <c r="BB19" s="1" cm="1">
        <f t="array" ref="BB19">OptionDelta("P",$E19,$D$4,BB$10,$D$5,$D$8,0)</f>
        <v>-0.35693383673749857</v>
      </c>
      <c r="BC19" s="1" cm="1">
        <f t="array" ref="BC19">OptionDelta("P",$E19,$D$4,BC$10,$D$5,$D$8,0)</f>
        <v>-0.34092285507232256</v>
      </c>
    </row>
    <row r="20" spans="5:55" x14ac:dyDescent="0.3">
      <c r="E20" s="2">
        <f t="shared" si="6"/>
        <v>105</v>
      </c>
      <c r="F20" s="1" cm="1">
        <f t="array" ref="F20">OptionDelta("P",$E20,$D$4,F$10,$D$5,$D$6,0)</f>
        <v>-0.20642903973843518</v>
      </c>
      <c r="G20" s="1" cm="1">
        <f t="array" ref="G20">OptionDelta("P",$E20,$D$4,G$10,$D$5,$D$6,0)</f>
        <v>-0.27007947091758511</v>
      </c>
      <c r="H20" s="1" cm="1">
        <f t="array" ref="H20">OptionDelta("P",$E20,$D$4,H$10,$D$5,$D$6,0)</f>
        <v>-0.29890598798456558</v>
      </c>
      <c r="I20" s="1" cm="1">
        <f t="array" ref="I20">OptionDelta("P",$E20,$D$4,I$10,$D$5,$D$6,0)</f>
        <v>-0.31540451463442376</v>
      </c>
      <c r="J20" s="1" cm="1">
        <f t="array" ref="J20">OptionDelta("P",$E20,$D$4,J$10,$D$5,$D$6,0)</f>
        <v>-0.32597150372142969</v>
      </c>
      <c r="K20" s="1" cm="1">
        <f t="array" ref="K20">OptionDelta("P",$E20,$D$4,K$10,$D$5,$D$6,0)</f>
        <v>-0.33318741279258823</v>
      </c>
      <c r="L20" s="1" cm="1">
        <f t="array" ref="L20">OptionDelta("P",$E20,$D$4,L$10,$D$5,$D$6,0)</f>
        <v>-0.33831140787767133</v>
      </c>
      <c r="M20" s="1" cm="1">
        <f t="array" ref="M20">OptionDelta("P",$E20,$D$4,M$10,$D$5,$D$6,0)</f>
        <v>-0.34203727030691766</v>
      </c>
      <c r="N20" s="1" cm="1">
        <f t="array" ref="N20">OptionDelta("P",$E20,$D$4,N$10,$D$5,$D$6,0)</f>
        <v>-0.34478110979113263</v>
      </c>
      <c r="O20" s="1" cm="1">
        <f t="array" ref="O20">OptionDelta("P",$E20,$D$4,O$10,$D$5,$D$6,0)</f>
        <v>-0.34680867419920269</v>
      </c>
      <c r="P20" s="1" cm="1">
        <f t="array" ref="P20">OptionDelta("P",$E20,$D$4,P$10,$D$5,$D$6,0)</f>
        <v>-0.35025529522042032</v>
      </c>
      <c r="Q20" s="1" cm="1">
        <f t="array" ref="Q20">OptionDelta("P",$E20,$D$4,Q$10,$D$5,$D$6,0)</f>
        <v>-0.3443379223573686</v>
      </c>
      <c r="R20" s="1" cm="1">
        <f t="array" ref="R20">OptionDelta("P",$E20,$D$4,R$10,$D$5,$D$6,0)</f>
        <v>-0.33652148286606043</v>
      </c>
      <c r="S20" s="1" cm="1">
        <f t="array" ref="S20">OptionDelta("P",$E20,$D$4,S$10,$D$5,$D$6,0)</f>
        <v>-0.32833755733835912</v>
      </c>
      <c r="W20" s="2">
        <f t="shared" si="7"/>
        <v>105</v>
      </c>
      <c r="X20" s="1" cm="1">
        <f t="array" ref="X20">OptionDelta("P",$E20,$D$4,X$10,$D$5,$D$7,0)</f>
        <v>-5.5881951625111226E-2</v>
      </c>
      <c r="Y20" s="1" cm="1">
        <f t="array" ref="Y20">OptionDelta("P",$E20,$D$4,Y$10,$D$5,$D$7,0)</f>
        <v>-0.12341910750431651</v>
      </c>
      <c r="Z20" s="1" cm="1">
        <f t="array" ref="Z20">OptionDelta("P",$E20,$D$4,Z$10,$D$5,$D$7,0)</f>
        <v>-0.16529135445498933</v>
      </c>
      <c r="AA20" s="1" cm="1">
        <f t="array" ref="AA20">OptionDelta("P",$E20,$D$4,AA$10,$D$5,$D$7,0)</f>
        <v>-0.19316048645017747</v>
      </c>
      <c r="AB20" s="1" cm="1">
        <f t="array" ref="AB20">OptionDelta("P",$E20,$D$4,AB$10,$D$5,$D$7,0)</f>
        <v>-0.2129976697322995</v>
      </c>
      <c r="AC20" s="1" cm="1">
        <f t="array" ref="AC20">OptionDelta("P",$E20,$D$4,AC$10,$D$5,$D$7,0)</f>
        <v>-0.22781322631362899</v>
      </c>
      <c r="AD20" s="1" cm="1">
        <f t="array" ref="AD20">OptionDelta("P",$E20,$D$4,AD$10,$D$5,$D$7,0)</f>
        <v>-0.239269917494766</v>
      </c>
      <c r="AE20" s="1" cm="1">
        <f t="array" ref="AE20">OptionDelta("P",$E20,$D$4,AE$10,$D$5,$D$7,0)</f>
        <v>-0.24836156369458307</v>
      </c>
      <c r="AF20" s="1" cm="1">
        <f t="array" ref="AF20">OptionDelta("P",$E20,$D$4,AF$10,$D$5,$D$7,0)</f>
        <v>-0.25572036656605568</v>
      </c>
      <c r="AG20" s="1" cm="1">
        <f t="array" ref="AG20">OptionDelta("P",$E20,$D$4,AG$10,$D$5,$D$7,0)</f>
        <v>-0.26176885450951881</v>
      </c>
      <c r="AH20" s="1" cm="1">
        <f t="array" ref="AH20">OptionDelta("P",$E20,$D$4,AH$10,$D$5,$D$7,0)</f>
        <v>-0.28871910308263193</v>
      </c>
      <c r="AI20" s="1" cm="1">
        <f t="array" ref="AI20">OptionDelta("P",$E20,$D$4,AI$10,$D$5,$D$7,0)</f>
        <v>-0.29408226876632038</v>
      </c>
      <c r="AJ20" s="1" cm="1">
        <f t="array" ref="AJ20">OptionDelta("P",$E20,$D$4,AJ$10,$D$5,$D$7,0)</f>
        <v>-0.29323765778258948</v>
      </c>
      <c r="AK20" s="1" cm="1">
        <f t="array" ref="AK20">OptionDelta("P",$E20,$D$4,AK$10,$D$5,$D$7,0)</f>
        <v>-0.28992410745836317</v>
      </c>
      <c r="AO20" s="2">
        <f t="shared" si="8"/>
        <v>105</v>
      </c>
      <c r="AP20" s="1" cm="1">
        <f t="array" ref="AP20">OptionDelta("P",$E20,$D$4,AP$10,$D$5,$D$8,0)</f>
        <v>-0.28357001703173512</v>
      </c>
      <c r="AQ20" s="1" cm="1">
        <f t="array" ref="AQ20">OptionDelta("P",$E20,$D$4,AQ$10,$D$5,$D$8,0)</f>
        <v>-0.32792519835401701</v>
      </c>
      <c r="AR20" s="1" cm="1">
        <f t="array" ref="AR20">OptionDelta("P",$E20,$D$4,AR$10,$D$5,$D$8,0)</f>
        <v>-0.34555716588791241</v>
      </c>
      <c r="AS20" s="1" cm="1">
        <f t="array" ref="AS20">OptionDelta("P",$E20,$D$4,AS$10,$D$5,$D$8,0)</f>
        <v>-0.35453815378573783</v>
      </c>
      <c r="AT20" s="1" cm="1">
        <f t="array" ref="AT20">OptionDelta("P",$E20,$D$4,AT$10,$D$5,$D$8,0)</f>
        <v>-0.35955994735600627</v>
      </c>
      <c r="AU20" s="1" cm="1">
        <f t="array" ref="AU20">OptionDelta("P",$E20,$D$4,AU$10,$D$5,$D$8,0)</f>
        <v>-0.3624308207054423</v>
      </c>
      <c r="AV20" s="1" cm="1">
        <f t="array" ref="AV20">OptionDelta("P",$E20,$D$4,AV$10,$D$5,$D$8,0)</f>
        <v>-0.36400558258912941</v>
      </c>
      <c r="AW20" s="1" cm="1">
        <f t="array" ref="AW20">OptionDelta("P",$E20,$D$4,AW$10,$D$5,$D$8,0)</f>
        <v>-0.36474330915224373</v>
      </c>
      <c r="AX20" s="1" cm="1">
        <f t="array" ref="AX20">OptionDelta("P",$E20,$D$4,AX$10,$D$5,$D$8,0)</f>
        <v>-0.36491321269559851</v>
      </c>
      <c r="AY20" s="1" cm="1">
        <f t="array" ref="AY20">OptionDelta("P",$E20,$D$4,AY$10,$D$5,$D$8,0)</f>
        <v>-0.36468367724410999</v>
      </c>
      <c r="AZ20" s="1" cm="1">
        <f t="array" ref="AZ20">OptionDelta("P",$E20,$D$4,AZ$10,$D$5,$D$8,0)</f>
        <v>-0.35410097844860078</v>
      </c>
      <c r="BA20" s="1" cm="1">
        <f t="array" ref="BA20">OptionDelta("P",$E20,$D$4,BA$10,$D$5,$D$8,0)</f>
        <v>-0.34037519782795722</v>
      </c>
      <c r="BB20" s="1" cm="1">
        <f t="array" ref="BB20">OptionDelta("P",$E20,$D$4,BB$10,$D$5,$D$8,0)</f>
        <v>-0.32708251377171815</v>
      </c>
      <c r="BC20" s="1" cm="1">
        <f t="array" ref="BC20">OptionDelta("P",$E20,$D$4,BC$10,$D$5,$D$8,0)</f>
        <v>-0.31466223641772739</v>
      </c>
    </row>
    <row r="21" spans="5:55" x14ac:dyDescent="0.3">
      <c r="E21" s="2">
        <f t="shared" si="6"/>
        <v>110</v>
      </c>
      <c r="F21" s="1" cm="1">
        <f t="array" ref="F21">OptionDelta("P",$E21,$D$4,F$10,$D$5,$D$6,0)</f>
        <v>-6.0042081945350878E-2</v>
      </c>
      <c r="G21" s="1" cm="1">
        <f t="array" ref="G21">OptionDelta("P",$E21,$D$4,G$10,$D$5,$D$6,0)</f>
        <v>-0.12867385834263267</v>
      </c>
      <c r="H21" s="1" cm="1">
        <f t="array" ref="H21">OptionDelta("P",$E21,$D$4,H$10,$D$5,$D$6,0)</f>
        <v>-0.17049339258313845</v>
      </c>
      <c r="I21" s="1" cm="1">
        <f t="array" ref="I21">OptionDelta("P",$E21,$D$4,I$10,$D$5,$D$6,0)</f>
        <v>-0.19811834940327067</v>
      </c>
      <c r="J21" s="1" cm="1">
        <f t="array" ref="J21">OptionDelta("P",$E21,$D$4,J$10,$D$5,$D$6,0)</f>
        <v>-0.21769227036615268</v>
      </c>
      <c r="K21" s="1" cm="1">
        <f t="array" ref="K21">OptionDelta("P",$E21,$D$4,K$10,$D$5,$D$6,0)</f>
        <v>-0.23226313823370348</v>
      </c>
      <c r="L21" s="1" cm="1">
        <f t="array" ref="L21">OptionDelta("P",$E21,$D$4,L$10,$D$5,$D$6,0)</f>
        <v>-0.2435006186136095</v>
      </c>
      <c r="M21" s="1" cm="1">
        <f t="array" ref="M21">OptionDelta("P",$E21,$D$4,M$10,$D$5,$D$6,0)</f>
        <v>-0.25239750657251647</v>
      </c>
      <c r="N21" s="1" cm="1">
        <f t="array" ref="N21">OptionDelta("P",$E21,$D$4,N$10,$D$5,$D$6,0)</f>
        <v>-0.25958308974686217</v>
      </c>
      <c r="O21" s="1" cm="1">
        <f t="array" ref="O21">OptionDelta("P",$E21,$D$4,O$10,$D$5,$D$6,0)</f>
        <v>-0.26547683131082922</v>
      </c>
      <c r="P21" s="1" cm="1">
        <f t="array" ref="P21">OptionDelta("P",$E21,$D$4,P$10,$D$5,$D$6,0)</f>
        <v>-0.2914669006454369</v>
      </c>
      <c r="Q21" s="1" cm="1">
        <f t="array" ref="Q21">OptionDelta("P",$E21,$D$4,Q$10,$D$5,$D$6,0)</f>
        <v>-0.29634414861059299</v>
      </c>
      <c r="R21" s="1" cm="1">
        <f t="array" ref="R21">OptionDelta("P",$E21,$D$4,R$10,$D$5,$D$6,0)</f>
        <v>-0.29519344894865263</v>
      </c>
      <c r="S21" s="1" cm="1">
        <f t="array" ref="S21">OptionDelta("P",$E21,$D$4,S$10,$D$5,$D$6,0)</f>
        <v>-0.29166393636753718</v>
      </c>
      <c r="W21" s="2">
        <f t="shared" si="7"/>
        <v>110</v>
      </c>
      <c r="X21" s="1" cm="1">
        <f t="array" ref="X21">OptionDelta("P",$E21,$D$4,X$10,$D$5,$D$7,0)</f>
        <v>-1.1014982272458118E-3</v>
      </c>
      <c r="Y21" s="1" cm="1">
        <f t="array" ref="Y21">OptionDelta("P",$E21,$D$4,Y$10,$D$5,$D$7,0)</f>
        <v>-1.3964492157249486E-2</v>
      </c>
      <c r="Z21" s="1" cm="1">
        <f t="array" ref="Z21">OptionDelta("P",$E21,$D$4,Z$10,$D$5,$D$7,0)</f>
        <v>-3.420654138486845E-2</v>
      </c>
      <c r="AA21" s="1" cm="1">
        <f t="array" ref="AA21">OptionDelta("P",$E21,$D$4,AA$10,$D$5,$D$7,0)</f>
        <v>-5.4593883865311277E-2</v>
      </c>
      <c r="AB21" s="1" cm="1">
        <f t="array" ref="AB21">OptionDelta("P",$E21,$D$4,AB$10,$D$5,$D$7,0)</f>
        <v>-7.2979321151961596E-2</v>
      </c>
      <c r="AC21" s="1" cm="1">
        <f t="array" ref="AC21">OptionDelta("P",$E21,$D$4,AC$10,$D$5,$D$7,0)</f>
        <v>-8.9048323051647005E-2</v>
      </c>
      <c r="AD21" s="1" cm="1">
        <f t="array" ref="AD21">OptionDelta("P",$E21,$D$4,AD$10,$D$5,$D$7,0)</f>
        <v>-0.1029941893437627</v>
      </c>
      <c r="AE21" s="1" cm="1">
        <f t="array" ref="AE21">OptionDelta("P",$E21,$D$4,AE$10,$D$5,$D$7,0)</f>
        <v>-0.11511544953316066</v>
      </c>
      <c r="AF21" s="1" cm="1">
        <f t="array" ref="AF21">OptionDelta("P",$E21,$D$4,AF$10,$D$5,$D$7,0)</f>
        <v>-0.12569907598544605</v>
      </c>
      <c r="AG21" s="1" cm="1">
        <f t="array" ref="AG21">OptionDelta("P",$E21,$D$4,AG$10,$D$5,$D$7,0)</f>
        <v>-0.13499148005453798</v>
      </c>
      <c r="AH21" s="1" cm="1">
        <f t="array" ref="AH21">OptionDelta("P",$E21,$D$4,AH$10,$D$5,$D$7,0)</f>
        <v>-0.18778807755388893</v>
      </c>
      <c r="AI21" s="1" cm="1">
        <f t="array" ref="AI21">OptionDelta("P",$E21,$D$4,AI$10,$D$5,$D$7,0)</f>
        <v>-0.20894675405446184</v>
      </c>
      <c r="AJ21" s="1" cm="1">
        <f t="array" ref="AJ21">OptionDelta("P",$E21,$D$4,AJ$10,$D$5,$D$7,0)</f>
        <v>-0.21871189000521374</v>
      </c>
      <c r="AK21" s="1" cm="1">
        <f t="array" ref="AK21">OptionDelta("P",$E21,$D$4,AK$10,$D$5,$D$7,0)</f>
        <v>-0.22313437909788203</v>
      </c>
      <c r="AO21" s="2">
        <f t="shared" si="8"/>
        <v>110</v>
      </c>
      <c r="AP21" s="1" cm="1">
        <f t="array" ref="AP21">OptionDelta("P",$E21,$D$4,AP$10,$D$5,$D$8,0)</f>
        <v>-0.14397429893497082</v>
      </c>
      <c r="AQ21" s="1" cm="1">
        <f t="array" ref="AQ21">OptionDelta("P",$E21,$D$4,AQ$10,$D$5,$D$8,0)</f>
        <v>-0.21406685945973947</v>
      </c>
      <c r="AR21" s="1" cm="1">
        <f t="array" ref="AR21">OptionDelta("P",$E21,$D$4,AR$10,$D$5,$D$8,0)</f>
        <v>-0.24810817610949054</v>
      </c>
      <c r="AS21" s="1" cm="1">
        <f t="array" ref="AS21">OptionDelta("P",$E21,$D$4,AS$10,$D$5,$D$8,0)</f>
        <v>-0.2681957426118291</v>
      </c>
      <c r="AT21" s="1" cm="1">
        <f t="array" ref="AT21">OptionDelta("P",$E21,$D$4,AT$10,$D$5,$D$8,0)</f>
        <v>-0.28131727903685144</v>
      </c>
      <c r="AU21" s="1" cm="1">
        <f t="array" ref="AU21">OptionDelta("P",$E21,$D$4,AU$10,$D$5,$D$8,0)</f>
        <v>-0.29041967693435344</v>
      </c>
      <c r="AV21" s="1" cm="1">
        <f t="array" ref="AV21">OptionDelta("P",$E21,$D$4,AV$10,$D$5,$D$8,0)</f>
        <v>-0.29697784742910749</v>
      </c>
      <c r="AW21" s="1" cm="1">
        <f t="array" ref="AW21">OptionDelta("P",$E21,$D$4,AW$10,$D$5,$D$8,0)</f>
        <v>-0.30181817478322093</v>
      </c>
      <c r="AX21" s="1" cm="1">
        <f t="array" ref="AX21">OptionDelta("P",$E21,$D$4,AX$10,$D$5,$D$8,0)</f>
        <v>-0.30544231654306619</v>
      </c>
      <c r="AY21" s="1" cm="1">
        <f t="array" ref="AY21">OptionDelta("P",$E21,$D$4,AY$10,$D$5,$D$8,0)</f>
        <v>-0.30817362101832413</v>
      </c>
      <c r="AZ21" s="1" cm="1">
        <f t="array" ref="AZ21">OptionDelta("P",$E21,$D$4,AZ$10,$D$5,$D$8,0)</f>
        <v>-0.31422106223939261</v>
      </c>
      <c r="BA21" s="1" cm="1">
        <f t="array" ref="BA21">OptionDelta("P",$E21,$D$4,BA$10,$D$5,$D$8,0)</f>
        <v>-0.30819711245370862</v>
      </c>
      <c r="BB21" s="1" cm="1">
        <f t="array" ref="BB21">OptionDelta("P",$E21,$D$4,BB$10,$D$5,$D$8,0)</f>
        <v>-0.29961193101075256</v>
      </c>
      <c r="BC21" s="1" cm="1">
        <f t="array" ref="BC21">OptionDelta("P",$E21,$D$4,BC$10,$D$5,$D$8,0)</f>
        <v>-0.29046533054367063</v>
      </c>
    </row>
    <row r="22" spans="5:55" x14ac:dyDescent="0.3">
      <c r="E22" s="2">
        <f t="shared" si="6"/>
        <v>115</v>
      </c>
      <c r="F22" s="1" cm="1">
        <f t="array" ref="F22">OptionDelta("P",$E22,$D$4,F$10,$D$5,$D$6,0)</f>
        <v>-1.1995775931455177E-2</v>
      </c>
      <c r="G22" s="1" cm="1">
        <f t="array" ref="G22">OptionDelta("P",$E22,$D$4,G$10,$D$5,$D$6,0)</f>
        <v>-5.1585835851565065E-2</v>
      </c>
      <c r="H22" s="1" cm="1">
        <f t="array" ref="H22">OptionDelta("P",$E22,$D$4,H$10,$D$5,$D$6,0)</f>
        <v>-8.7231124066456167E-2</v>
      </c>
      <c r="I22" s="1" cm="1">
        <f t="array" ref="I22">OptionDelta("P",$E22,$D$4,I$10,$D$5,$D$6,0)</f>
        <v>-0.11511171694608568</v>
      </c>
      <c r="J22" s="1" cm="1">
        <f t="array" ref="J22">OptionDelta("P",$E22,$D$4,J$10,$D$5,$D$6,0)</f>
        <v>-0.1369046562965619</v>
      </c>
      <c r="K22" s="1" cm="1">
        <f t="array" ref="K22">OptionDelta("P",$E22,$D$4,K$10,$D$5,$D$6,0)</f>
        <v>-0.15425607458895985</v>
      </c>
      <c r="L22" s="1" cm="1">
        <f t="array" ref="L22">OptionDelta("P",$E22,$D$4,L$10,$D$5,$D$6,0)</f>
        <v>-0.16834237110652894</v>
      </c>
      <c r="M22" s="1" cm="1">
        <f t="array" ref="M22">OptionDelta("P",$E22,$D$4,M$10,$D$5,$D$6,0)</f>
        <v>-0.17997586012231237</v>
      </c>
      <c r="N22" s="1" cm="1">
        <f t="array" ref="N22">OptionDelta("P",$E22,$D$4,N$10,$D$5,$D$6,0)</f>
        <v>-0.18972433093783714</v>
      </c>
      <c r="O22" s="1" cm="1">
        <f t="array" ref="O22">OptionDelta("P",$E22,$D$4,O$10,$D$5,$D$6,0)</f>
        <v>-0.19799359259378047</v>
      </c>
      <c r="P22" s="1" cm="1">
        <f t="array" ref="P22">OptionDelta("P",$E22,$D$4,P$10,$D$5,$D$6,0)</f>
        <v>-0.24001164001031328</v>
      </c>
      <c r="Q22" s="1" cm="1">
        <f t="array" ref="Q22">OptionDelta("P",$E22,$D$4,Q$10,$D$5,$D$6,0)</f>
        <v>-0.25358023320856948</v>
      </c>
      <c r="R22" s="1" cm="1">
        <f t="array" ref="R22">OptionDelta("P",$E22,$D$4,R$10,$D$5,$D$6,0)</f>
        <v>-0.25803836305997996</v>
      </c>
      <c r="S22" s="1" cm="1">
        <f t="array" ref="S22">OptionDelta("P",$E22,$D$4,S$10,$D$5,$D$6,0)</f>
        <v>-0.25851595379743597</v>
      </c>
      <c r="W22" s="2">
        <f t="shared" si="7"/>
        <v>115</v>
      </c>
      <c r="X22" s="1" cm="1">
        <f t="array" ref="X22">OptionDelta("P",$E22,$D$4,X$10,$D$5,$D$7,0)</f>
        <v>-3.964449127424885E-6</v>
      </c>
      <c r="Y22" s="1" cm="1">
        <f t="array" ref="Y22">OptionDelta("P",$E22,$D$4,Y$10,$D$5,$D$7,0)</f>
        <v>-7.0583548483338365E-4</v>
      </c>
      <c r="Z22" s="1" cm="1">
        <f t="array" ref="Z22">OptionDelta("P",$E22,$D$4,Z$10,$D$5,$D$7,0)</f>
        <v>-4.22113045457706E-3</v>
      </c>
      <c r="AA22" s="1" cm="1">
        <f t="array" ref="AA22">OptionDelta("P",$E22,$D$4,AA$10,$D$5,$D$7,0)</f>
        <v>-1.0591727709338028E-2</v>
      </c>
      <c r="AB22" s="1" cm="1">
        <f t="array" ref="AB22">OptionDelta("P",$E22,$D$4,AB$10,$D$5,$D$7,0)</f>
        <v>-1.8643924359551423E-2</v>
      </c>
      <c r="AC22" s="1" cm="1">
        <f t="array" ref="AC22">OptionDelta("P",$E22,$D$4,AC$10,$D$5,$D$7,0)</f>
        <v>-2.7396855446360169E-2</v>
      </c>
      <c r="AD22" s="1" cm="1">
        <f t="array" ref="AD22">OptionDelta("P",$E22,$D$4,AD$10,$D$5,$D$7,0)</f>
        <v>-3.6249348015701011E-2</v>
      </c>
      <c r="AE22" s="1" cm="1">
        <f t="array" ref="AE22">OptionDelta("P",$E22,$D$4,AE$10,$D$5,$D$7,0)</f>
        <v>-4.4871958417935009E-2</v>
      </c>
      <c r="AF22" s="1" cm="1">
        <f t="array" ref="AF22">OptionDelta("P",$E22,$D$4,AF$10,$D$5,$D$7,0)</f>
        <v>-5.3098771928445476E-2</v>
      </c>
      <c r="AG22" s="1" cm="1">
        <f t="array" ref="AG22">OptionDelta("P",$E22,$D$4,AG$10,$D$5,$D$7,0)</f>
        <v>-6.08569760408737E-2</v>
      </c>
      <c r="AH22" s="1" cm="1">
        <f t="array" ref="AH22">OptionDelta("P",$E22,$D$4,AH$10,$D$5,$D$7,0)</f>
        <v>-0.11499236256428202</v>
      </c>
      <c r="AI22" s="1" cm="1">
        <f t="array" ref="AI22">OptionDelta("P",$E22,$D$4,AI$10,$D$5,$D$7,0)</f>
        <v>-0.14304833986221999</v>
      </c>
      <c r="AJ22" s="1" cm="1">
        <f t="array" ref="AJ22">OptionDelta("P",$E22,$D$4,AJ$10,$D$5,$D$7,0)</f>
        <v>-0.15894344022156293</v>
      </c>
      <c r="AK22" s="1" cm="1">
        <f t="array" ref="AK22">OptionDelta("P",$E22,$D$4,AK$10,$D$5,$D$7,0)</f>
        <v>-0.16841574919746671</v>
      </c>
      <c r="AO22" s="2">
        <f t="shared" si="8"/>
        <v>115</v>
      </c>
      <c r="AP22" s="1" cm="1">
        <f t="array" ref="AP22">OptionDelta("P",$E22,$D$4,AP$10,$D$5,$D$8,0)</f>
        <v>-6.2860563865533403E-2</v>
      </c>
      <c r="AQ22" s="1" cm="1">
        <f t="array" ref="AQ22">OptionDelta("P",$E22,$D$4,AQ$10,$D$5,$D$8,0)</f>
        <v>-0.13056736333207186</v>
      </c>
      <c r="AR22" s="1" cm="1">
        <f t="array" ref="AR22">OptionDelta("P",$E22,$D$4,AR$10,$D$5,$D$8,0)</f>
        <v>-0.17080729051251253</v>
      </c>
      <c r="AS22" s="1" cm="1">
        <f t="array" ref="AS22">OptionDelta("P",$E22,$D$4,AS$10,$D$5,$D$8,0)</f>
        <v>-0.19695159463482959</v>
      </c>
      <c r="AT22" s="1" cm="1">
        <f t="array" ref="AT22">OptionDelta("P",$E22,$D$4,AT$10,$D$5,$D$8,0)</f>
        <v>-0.21520789168988552</v>
      </c>
      <c r="AU22" s="1" cm="1">
        <f t="array" ref="AU22">OptionDelta("P",$E22,$D$4,AU$10,$D$5,$D$8,0)</f>
        <v>-0.22860493515588864</v>
      </c>
      <c r="AV22" s="1" cm="1">
        <f t="array" ref="AV22">OptionDelta("P",$E22,$D$4,AV$10,$D$5,$D$8,0)</f>
        <v>-0.23878616098400873</v>
      </c>
      <c r="AW22" s="1" cm="1">
        <f t="array" ref="AW22">OptionDelta("P",$E22,$D$4,AW$10,$D$5,$D$8,0)</f>
        <v>-0.24672234308969565</v>
      </c>
      <c r="AX22" s="1" cm="1">
        <f t="array" ref="AX22">OptionDelta("P",$E22,$D$4,AX$10,$D$5,$D$8,0)</f>
        <v>-0.25302566857316078</v>
      </c>
      <c r="AY22" s="1" cm="1">
        <f t="array" ref="AY22">OptionDelta("P",$E22,$D$4,AY$10,$D$5,$D$8,0)</f>
        <v>-0.25810246366170242</v>
      </c>
      <c r="AZ22" s="1" cm="1">
        <f t="array" ref="AZ22">OptionDelta("P",$E22,$D$4,AZ$10,$D$5,$D$8,0)</f>
        <v>-0.27803309935298359</v>
      </c>
      <c r="BA22" s="1" cm="1">
        <f t="array" ref="BA22">OptionDelta("P",$E22,$D$4,BA$10,$D$5,$D$8,0)</f>
        <v>-0.27876486598286454</v>
      </c>
      <c r="BB22" s="1" cm="1">
        <f t="array" ref="BB22">OptionDelta("P",$E22,$D$4,BB$10,$D$5,$D$8,0)</f>
        <v>-0.27438534458062125</v>
      </c>
      <c r="BC22" s="1" cm="1">
        <f t="array" ref="BC22">OptionDelta("P",$E22,$D$4,BC$10,$D$5,$D$8,0)</f>
        <v>-0.2681918990694907</v>
      </c>
    </row>
    <row r="23" spans="5:55" x14ac:dyDescent="0.3">
      <c r="E23" s="2">
        <f t="shared" si="6"/>
        <v>120</v>
      </c>
      <c r="F23" s="1" cm="1">
        <f t="array" ref="F23">OptionDelta("P",$E23,$D$4,F$10,$D$5,$D$6,0)</f>
        <v>-1.6937680607602701E-3</v>
      </c>
      <c r="G23" s="1" cm="1">
        <f t="array" ref="G23">OptionDelta("P",$E23,$D$4,G$10,$D$5,$D$6,0)</f>
        <v>-1.7623946568294802E-2</v>
      </c>
      <c r="H23" s="1" cm="1">
        <f t="array" ref="H23">OptionDelta("P",$E23,$D$4,H$10,$D$5,$D$6,0)</f>
        <v>-4.0360415238651415E-2</v>
      </c>
      <c r="I23" s="1" cm="1">
        <f t="array" ref="I23">OptionDelta("P",$E23,$D$4,I$10,$D$5,$D$6,0)</f>
        <v>-6.2238931546006571E-2</v>
      </c>
      <c r="J23" s="1" cm="1">
        <f t="array" ref="J23">OptionDelta("P",$E23,$D$4,J$10,$D$5,$D$6,0)</f>
        <v>-8.1466598279311575E-2</v>
      </c>
      <c r="K23" s="1" cm="1">
        <f t="array" ref="K23">OptionDelta("P",$E23,$D$4,K$10,$D$5,$D$6,0)</f>
        <v>-9.7993409558041256E-2</v>
      </c>
      <c r="L23" s="1" cm="1">
        <f t="array" ref="L23">OptionDelta("P",$E23,$D$4,L$10,$D$5,$D$6,0)</f>
        <v>-0.11216803677626297</v>
      </c>
      <c r="M23" s="1" cm="1">
        <f t="array" ref="M23">OptionDelta("P",$E23,$D$4,M$10,$D$5,$D$6,0)</f>
        <v>-0.12437874850463737</v>
      </c>
      <c r="N23" s="1" cm="1">
        <f t="array" ref="N23">OptionDelta("P",$E23,$D$4,N$10,$D$5,$D$6,0)</f>
        <v>-0.13496549959519877</v>
      </c>
      <c r="O23" s="1" cm="1">
        <f t="array" ref="O23">OptionDelta("P",$E23,$D$4,O$10,$D$5,$D$6,0)</f>
        <v>-0.14420688925670166</v>
      </c>
      <c r="P23" s="1" cm="1">
        <f t="array" ref="P23">OptionDelta("P",$E23,$D$4,P$10,$D$5,$D$6,0)</f>
        <v>-0.19579537926180235</v>
      </c>
      <c r="Q23" s="1" cm="1">
        <f t="array" ref="Q23">OptionDelta("P",$E23,$D$4,Q$10,$D$5,$D$6,0)</f>
        <v>-0.21589724078774752</v>
      </c>
      <c r="R23" s="1" cm="1">
        <f t="array" ref="R23">OptionDelta("P",$E23,$D$4,R$10,$D$5,$D$6,0)</f>
        <v>-0.22488339146361092</v>
      </c>
      <c r="S23" s="1" cm="1">
        <f t="array" ref="S23">OptionDelta("P",$E23,$D$4,S$10,$D$5,$D$6,0)</f>
        <v>-0.22871250967264012</v>
      </c>
      <c r="W23" s="2">
        <f t="shared" si="7"/>
        <v>120</v>
      </c>
      <c r="X23" s="1" cm="1">
        <f t="array" ref="X23">OptionDelta("P",$E23,$D$4,X$10,$D$5,$D$7,0)</f>
        <v>-3.0691061914112083E-9</v>
      </c>
      <c r="Y23" s="1" cm="1">
        <f t="array" ref="Y23">OptionDelta("P",$E23,$D$4,Y$10,$D$5,$D$7,0)</f>
        <v>-1.7071243458399721E-5</v>
      </c>
      <c r="Z23" s="1" cm="1">
        <f t="array" ref="Z23">OptionDelta("P",$E23,$D$4,Z$10,$D$5,$D$7,0)</f>
        <v>-3.2376867290073719E-4</v>
      </c>
      <c r="AA23" s="1" cm="1">
        <f t="array" ref="AA23">OptionDelta("P",$E23,$D$4,AA$10,$D$5,$D$7,0)</f>
        <v>-1.4524545858777271E-3</v>
      </c>
      <c r="AB23" s="1" cm="1">
        <f t="array" ref="AB23">OptionDelta("P",$E23,$D$4,AB$10,$D$5,$D$7,0)</f>
        <v>-3.6321125620839556E-3</v>
      </c>
      <c r="AC23" s="1" cm="1">
        <f t="array" ref="AC23">OptionDelta("P",$E23,$D$4,AC$10,$D$5,$D$7,0)</f>
        <v>-6.7565841192067655E-3</v>
      </c>
      <c r="AD23" s="1" cm="1">
        <f t="array" ref="AD23">OptionDelta("P",$E23,$D$4,AD$10,$D$5,$D$7,0)</f>
        <v>-1.0592855898519771E-2</v>
      </c>
      <c r="AE23" s="1" cm="1">
        <f t="array" ref="AE23">OptionDelta("P",$E23,$D$4,AE$10,$D$5,$D$7,0)</f>
        <v>-1.4905931616100987E-2</v>
      </c>
      <c r="AF23" s="1" cm="1">
        <f t="array" ref="AF23">OptionDelta("P",$E23,$D$4,AF$10,$D$5,$D$7,0)</f>
        <v>-1.9502200944108816E-2</v>
      </c>
      <c r="AG23" s="1" cm="1">
        <f t="array" ref="AG23">OptionDelta("P",$E23,$D$4,AG$10,$D$5,$D$7,0)</f>
        <v>-2.4235503765815403E-2</v>
      </c>
      <c r="AH23" s="1" cm="1">
        <f t="array" ref="AH23">OptionDelta("P",$E23,$D$4,AH$10,$D$5,$D$7,0)</f>
        <v>-6.6633805759227727E-2</v>
      </c>
      <c r="AI23" s="1" cm="1">
        <f t="array" ref="AI23">OptionDelta("P",$E23,$D$4,AI$10,$D$5,$D$7,0)</f>
        <v>-9.468558585603748E-2</v>
      </c>
      <c r="AJ23" s="1" cm="1">
        <f t="array" ref="AJ23">OptionDelta("P",$E23,$D$4,AJ$10,$D$5,$D$7,0)</f>
        <v>-0.11283127675234184</v>
      </c>
      <c r="AK23" s="1" cm="1">
        <f t="array" ref="AK23">OptionDelta("P",$E23,$D$4,AK$10,$D$5,$D$7,0)</f>
        <v>-0.12491199749354731</v>
      </c>
      <c r="AO23" s="2">
        <f t="shared" si="8"/>
        <v>120</v>
      </c>
      <c r="AP23" s="1" cm="1">
        <f t="array" ref="AP23">OptionDelta("P",$E23,$D$4,AP$10,$D$5,$D$8,0)</f>
        <v>-2.3862270071094094E-2</v>
      </c>
      <c r="AQ23" s="1" cm="1">
        <f t="array" ref="AQ23">OptionDelta("P",$E23,$D$4,AQ$10,$D$5,$D$8,0)</f>
        <v>-7.4801691829901373E-2</v>
      </c>
      <c r="AR23" s="1" cm="1">
        <f t="array" ref="AR23">OptionDelta("P",$E23,$D$4,AR$10,$D$5,$D$8,0)</f>
        <v>-0.11314146829123639</v>
      </c>
      <c r="AS23" s="1" cm="1">
        <f t="array" ref="AS23">OptionDelta("P",$E23,$D$4,AS$10,$D$5,$D$8,0)</f>
        <v>-0.14076936184194067</v>
      </c>
      <c r="AT23" s="1" cm="1">
        <f t="array" ref="AT23">OptionDelta("P",$E23,$D$4,AT$10,$D$5,$D$8,0)</f>
        <v>-0.16130507751855228</v>
      </c>
      <c r="AU23" s="1" cm="1">
        <f t="array" ref="AU23">OptionDelta("P",$E23,$D$4,AU$10,$D$5,$D$8,0)</f>
        <v>-0.17706804981193724</v>
      </c>
      <c r="AV23" s="1" cm="1">
        <f t="array" ref="AV23">OptionDelta("P",$E23,$D$4,AV$10,$D$5,$D$8,0)</f>
        <v>-0.18949083797813837</v>
      </c>
      <c r="AW23" s="1" cm="1">
        <f t="array" ref="AW23">OptionDelta("P",$E23,$D$4,AW$10,$D$5,$D$8,0)</f>
        <v>-0.19948822940550293</v>
      </c>
      <c r="AX23" s="1" cm="1">
        <f t="array" ref="AX23">OptionDelta("P",$E23,$D$4,AX$10,$D$5,$D$8,0)</f>
        <v>-0.20766842830901577</v>
      </c>
      <c r="AY23" s="1" cm="1">
        <f t="array" ref="AY23">OptionDelta("P",$E23,$D$4,AY$10,$D$5,$D$8,0)</f>
        <v>-0.21445103070189353</v>
      </c>
      <c r="AZ23" s="1" cm="1">
        <f t="array" ref="AZ23">OptionDelta("P",$E23,$D$4,AZ$10,$D$5,$D$8,0)</f>
        <v>-0.245408953933274</v>
      </c>
      <c r="BA23" s="1" cm="1">
        <f t="array" ref="BA23">OptionDelta("P",$E23,$D$4,BA$10,$D$5,$D$8,0)</f>
        <v>-0.25193255955166927</v>
      </c>
      <c r="BB23" s="1" cm="1">
        <f t="array" ref="BB23">OptionDelta("P",$E23,$D$4,BB$10,$D$5,$D$8,0)</f>
        <v>-0.25125810561422335</v>
      </c>
      <c r="BC23" s="1" cm="1">
        <f t="array" ref="BC23">OptionDelta("P",$E23,$D$4,BC$10,$D$5,$D$8,0)</f>
        <v>-0.24770335266730614</v>
      </c>
    </row>
    <row r="24" spans="5:55" x14ac:dyDescent="0.3">
      <c r="E24" s="2">
        <f t="shared" si="6"/>
        <v>125</v>
      </c>
      <c r="F24" s="1" cm="1">
        <f t="array" ref="F24">OptionDelta("P",$E24,$D$4,F$10,$D$5,$D$6,0)</f>
        <v>-1.7468373585427521E-4</v>
      </c>
      <c r="G24" s="1" cm="1">
        <f t="array" ref="G24">OptionDelta("P",$E24,$D$4,G$10,$D$5,$D$6,0)</f>
        <v>-5.2050226213751216E-3</v>
      </c>
      <c r="H24" s="1" cm="1">
        <f t="array" ref="H24">OptionDelta("P",$E24,$D$4,H$10,$D$5,$D$6,0)</f>
        <v>-1.7038009338831372E-2</v>
      </c>
      <c r="I24" s="1" cm="1">
        <f t="array" ref="I24">OptionDelta("P",$E24,$D$4,I$10,$D$5,$D$6,0)</f>
        <v>-3.1515482917612858E-2</v>
      </c>
      <c r="J24" s="1" cm="1">
        <f t="array" ref="J24">OptionDelta("P",$E24,$D$4,J$10,$D$5,$D$6,0)</f>
        <v>-4.6097676148000866E-2</v>
      </c>
      <c r="K24" s="1" cm="1">
        <f t="array" ref="K24">OptionDelta("P",$E24,$D$4,K$10,$D$5,$D$6,0)</f>
        <v>-5.9785719848803098E-2</v>
      </c>
      <c r="L24" s="1" cm="1">
        <f t="array" ref="L24">OptionDelta("P",$E24,$D$4,L$10,$D$5,$D$6,0)</f>
        <v>-7.2277491513736081E-2</v>
      </c>
      <c r="M24" s="1" cm="1">
        <f t="array" ref="M24">OptionDelta("P",$E24,$D$4,M$10,$D$5,$D$6,0)</f>
        <v>-8.3551201402274566E-2</v>
      </c>
      <c r="N24" s="1" cm="1">
        <f t="array" ref="N24">OptionDelta("P",$E24,$D$4,N$10,$D$5,$D$6,0)</f>
        <v>-9.3689528830588564E-2</v>
      </c>
      <c r="O24" s="1" cm="1">
        <f t="array" ref="O24">OptionDelta("P",$E24,$D$4,O$10,$D$5,$D$6,0)</f>
        <v>-0.10280707440266668</v>
      </c>
      <c r="P24" s="1" cm="1">
        <f t="array" ref="P24">OptionDelta("P",$E24,$D$4,P$10,$D$5,$D$6,0)</f>
        <v>-0.15839802446828499</v>
      </c>
      <c r="Q24" s="1" cm="1">
        <f t="array" ref="Q24">OptionDelta("P",$E24,$D$4,Q$10,$D$5,$D$6,0)</f>
        <v>-0.18300629935642132</v>
      </c>
      <c r="R24" s="1" cm="1">
        <f t="array" ref="R24">OptionDelta("P",$E24,$D$4,R$10,$D$5,$D$6,0)</f>
        <v>-0.19548519667211639</v>
      </c>
      <c r="S24" s="1" cm="1">
        <f t="array" ref="S24">OptionDelta("P",$E24,$D$4,S$10,$D$5,$D$6,0)</f>
        <v>-0.20203503441308623</v>
      </c>
      <c r="W24" s="2">
        <f t="shared" si="7"/>
        <v>125</v>
      </c>
      <c r="X24" s="1" cm="1">
        <f t="array" ref="X24">OptionDelta("P",$E24,$D$4,X$10,$D$5,$D$7,0)</f>
        <v>-6.0662586065518553E-13</v>
      </c>
      <c r="Y24" s="1" cm="1">
        <f t="array" ref="Y24">OptionDelta("P",$E24,$D$4,Y$10,$D$5,$D$7,0)</f>
        <v>-2.132604316473774E-7</v>
      </c>
      <c r="Z24" s="1" cm="1">
        <f t="array" ref="Z24">OptionDelta("P",$E24,$D$4,Z$10,$D$5,$D$7,0)</f>
        <v>-1.6180389819542285E-5</v>
      </c>
      <c r="AA24" s="1" cm="1">
        <f t="array" ref="AA24">OptionDelta("P",$E24,$D$4,AA$10,$D$5,$D$7,0)</f>
        <v>-1.4555918115333188E-4</v>
      </c>
      <c r="AB24" s="1" cm="1">
        <f t="array" ref="AB24">OptionDelta("P",$E24,$D$4,AB$10,$D$5,$D$7,0)</f>
        <v>-5.5355097682452392E-4</v>
      </c>
      <c r="AC24" s="1" cm="1">
        <f t="array" ref="AC24">OptionDelta("P",$E24,$D$4,AC$10,$D$5,$D$7,0)</f>
        <v>-1.3634308405563456E-3</v>
      </c>
      <c r="AD24" s="1" cm="1">
        <f t="array" ref="AD24">OptionDelta("P",$E24,$D$4,AD$10,$D$5,$D$7,0)</f>
        <v>-2.6145206848648961E-3</v>
      </c>
      <c r="AE24" s="1" cm="1">
        <f t="array" ref="AE24">OptionDelta("P",$E24,$D$4,AE$10,$D$5,$D$7,0)</f>
        <v>-4.2820091080512102E-3</v>
      </c>
      <c r="AF24" s="1" cm="1">
        <f t="array" ref="AF24">OptionDelta("P",$E24,$D$4,AF$10,$D$5,$D$7,0)</f>
        <v>-6.3077661675613461E-3</v>
      </c>
      <c r="AG24" s="1" cm="1">
        <f t="array" ref="AG24">OptionDelta("P",$E24,$D$4,AG$10,$D$5,$D$7,0)</f>
        <v>-8.6226549586319035E-3</v>
      </c>
      <c r="AH24" s="1" cm="1">
        <f t="array" ref="AH24">OptionDelta("P",$E24,$D$4,AH$10,$D$5,$D$7,0)</f>
        <v>-3.6727340119913188E-2</v>
      </c>
      <c r="AI24" s="1" cm="1">
        <f t="array" ref="AI24">OptionDelta("P",$E24,$D$4,AI$10,$D$5,$D$7,0)</f>
        <v>-6.07957993015249E-2</v>
      </c>
      <c r="AJ24" s="1" cm="1">
        <f t="array" ref="AJ24">OptionDelta("P",$E24,$D$4,AJ$10,$D$5,$D$7,0)</f>
        <v>-7.8429078701002797E-2</v>
      </c>
      <c r="AK24" s="1" cm="1">
        <f t="array" ref="AK24">OptionDelta("P",$E24,$D$4,AK$10,$D$5,$D$7,0)</f>
        <v>-9.1210373067739825E-2</v>
      </c>
      <c r="AO24" s="2">
        <f t="shared" si="8"/>
        <v>125</v>
      </c>
      <c r="AP24" s="1" cm="1">
        <f t="array" ref="AP24">OptionDelta("P",$E24,$D$4,AP$10,$D$5,$D$8,0)</f>
        <v>-7.9737541258025901E-3</v>
      </c>
      <c r="AQ24" s="1" cm="1">
        <f t="array" ref="AQ24">OptionDelta("P",$E24,$D$4,AQ$10,$D$5,$D$8,0)</f>
        <v>-4.0474770416252692E-2</v>
      </c>
      <c r="AR24" s="1" cm="1">
        <f t="array" ref="AR24">OptionDelta("P",$E24,$D$4,AR$10,$D$5,$D$8,0)</f>
        <v>-7.236182589639506E-2</v>
      </c>
      <c r="AS24" s="1" cm="1">
        <f t="array" ref="AS24">OptionDelta("P",$E24,$D$4,AS$10,$D$5,$D$8,0)</f>
        <v>-9.8175116216428271E-2</v>
      </c>
      <c r="AT24" s="1" cm="1">
        <f t="array" ref="AT24">OptionDelta("P",$E24,$D$4,AT$10,$D$5,$D$8,0)</f>
        <v>-0.1186931376101773</v>
      </c>
      <c r="AU24" s="1" cm="1">
        <f t="array" ref="AU24">OptionDelta("P",$E24,$D$4,AU$10,$D$5,$D$8,0)</f>
        <v>-0.13517294858026196</v>
      </c>
      <c r="AV24" s="1" cm="1">
        <f t="array" ref="AV24">OptionDelta("P",$E24,$D$4,AV$10,$D$5,$D$8,0)</f>
        <v>-0.14861015340398076</v>
      </c>
      <c r="AW24" s="1" cm="1">
        <f t="array" ref="AW24">OptionDelta("P",$E24,$D$4,AW$10,$D$5,$D$8,0)</f>
        <v>-0.15972585603915745</v>
      </c>
      <c r="AX24" s="1" cm="1">
        <f t="array" ref="AX24">OptionDelta("P",$E24,$D$4,AX$10,$D$5,$D$8,0)</f>
        <v>-0.16903849174838326</v>
      </c>
      <c r="AY24" s="1" cm="1">
        <f t="array" ref="AY24">OptionDelta("P",$E24,$D$4,AY$10,$D$5,$D$8,0)</f>
        <v>-0.17692558288666227</v>
      </c>
      <c r="AZ24" s="1" cm="1">
        <f t="array" ref="AZ24">OptionDelta("P",$E24,$D$4,AZ$10,$D$5,$D$8,0)</f>
        <v>-0.21616027879298261</v>
      </c>
      <c r="BA24" s="1" cm="1">
        <f t="array" ref="BA24">OptionDelta("P",$E24,$D$4,BA$10,$D$5,$D$8,0)</f>
        <v>-0.22753702816334076</v>
      </c>
      <c r="BB24" s="1" cm="1">
        <f t="array" ref="BB24">OptionDelta("P",$E24,$D$4,BB$10,$D$5,$D$8,0)</f>
        <v>-0.23008328807271095</v>
      </c>
      <c r="BC24" s="1" cm="1">
        <f t="array" ref="BC24">OptionDelta("P",$E24,$D$4,BC$10,$D$5,$D$8,0)</f>
        <v>-0.22886540770586983</v>
      </c>
    </row>
    <row r="25" spans="5:55" x14ac:dyDescent="0.3">
      <c r="E25" s="2">
        <f t="shared" si="6"/>
        <v>130</v>
      </c>
      <c r="F25" s="1" cm="1">
        <f t="array" ref="F25">OptionDelta("P",$E25,$D$4,F$10,$D$5,$D$6,0)</f>
        <v>-1.3596859818609808E-5</v>
      </c>
      <c r="G25" s="1" cm="1">
        <f t="array" ref="G25">OptionDelta("P",$E25,$D$4,G$10,$D$5,$D$6,0)</f>
        <v>-1.3481100199207452E-3</v>
      </c>
      <c r="H25" s="1" cm="1">
        <f t="array" ref="H25">OptionDelta("P",$E25,$D$4,H$10,$D$5,$D$6,0)</f>
        <v>-6.6207821485191332E-3</v>
      </c>
      <c r="I25" s="1" cm="1">
        <f t="array" ref="I25">OptionDelta("P",$E25,$D$4,I$10,$D$5,$D$6,0)</f>
        <v>-1.5039825106780258E-2</v>
      </c>
      <c r="J25" s="1" cm="1">
        <f t="array" ref="J25">OptionDelta("P",$E25,$D$4,J$10,$D$5,$D$6,0)</f>
        <v>-2.4924261663526792E-2</v>
      </c>
      <c r="K25" s="1" cm="1">
        <f t="array" ref="K25">OptionDelta("P",$E25,$D$4,K$10,$D$5,$D$6,0)</f>
        <v>-3.5167783159818167E-2</v>
      </c>
      <c r="L25" s="1" cm="1">
        <f t="array" ref="L25">OptionDelta("P",$E25,$D$4,L$10,$D$5,$D$6,0)</f>
        <v>-4.5187263769139729E-2</v>
      </c>
      <c r="M25" s="1" cm="1">
        <f t="array" ref="M25">OptionDelta("P",$E25,$D$4,M$10,$D$5,$D$6,0)</f>
        <v>-5.4707853004439699E-2</v>
      </c>
      <c r="N25" s="1" cm="1">
        <f t="array" ref="N25">OptionDelta("P",$E25,$D$4,N$10,$D$5,$D$6,0)</f>
        <v>-6.3619125849340485E-2</v>
      </c>
      <c r="O25" s="1" cm="1">
        <f t="array" ref="O25">OptionDelta("P",$E25,$D$4,O$10,$D$5,$D$6,0)</f>
        <v>-7.1895089760057207E-2</v>
      </c>
      <c r="P25" s="1" cm="1">
        <f t="array" ref="P25">OptionDelta("P",$E25,$D$4,P$10,$D$5,$D$6,0)</f>
        <v>-0.12719944668745575</v>
      </c>
      <c r="Q25" s="1" cm="1">
        <f t="array" ref="Q25">OptionDelta("P",$E25,$D$4,Q$10,$D$5,$D$6,0)</f>
        <v>-0.15453199824934205</v>
      </c>
      <c r="R25" s="1" cm="1">
        <f t="array" ref="R25">OptionDelta("P",$E25,$D$4,R$10,$D$5,$D$6,0)</f>
        <v>-0.16955868613384428</v>
      </c>
      <c r="S25" s="1" cm="1">
        <f t="array" ref="S25">OptionDelta("P",$E25,$D$4,S$10,$D$5,$D$6,0)</f>
        <v>-0.17824485149296021</v>
      </c>
      <c r="W25" s="2">
        <f t="shared" si="7"/>
        <v>130</v>
      </c>
      <c r="X25" s="1" cm="1">
        <f t="array" ref="X25">OptionDelta("P",$E25,$D$4,X$10,$D$5,$D$7,0)</f>
        <v>0</v>
      </c>
      <c r="Y25" s="1" cm="1">
        <f t="array" ref="Y25">OptionDelta("P",$E25,$D$4,Y$10,$D$5,$D$7,0)</f>
        <v>-1.4806853521065477E-9</v>
      </c>
      <c r="Z25" s="1" cm="1">
        <f t="array" ref="Z25">OptionDelta("P",$E25,$D$4,Z$10,$D$5,$D$7,0)</f>
        <v>-5.5166492773928155E-7</v>
      </c>
      <c r="AA25" s="1" cm="1">
        <f t="array" ref="AA25">OptionDelta("P",$E25,$D$4,AA$10,$D$5,$D$7,0)</f>
        <v>-1.101717495310961E-5</v>
      </c>
      <c r="AB25" s="1" cm="1">
        <f t="array" ref="AB25">OptionDelta("P",$E25,$D$4,AB$10,$D$5,$D$7,0)</f>
        <v>-6.769082007296312E-5</v>
      </c>
      <c r="AC25" s="1" cm="1">
        <f t="array" ref="AC25">OptionDelta("P",$E25,$D$4,AC$10,$D$5,$D$7,0)</f>
        <v>-2.2976787752915229E-4</v>
      </c>
      <c r="AD25" s="1" cm="1">
        <f t="array" ref="AD25">OptionDelta("P",$E25,$D$4,AD$10,$D$5,$D$7,0)</f>
        <v>-5.5441197797978514E-4</v>
      </c>
      <c r="AE25" s="1" cm="1">
        <f t="array" ref="AE25">OptionDelta("P",$E25,$D$4,AE$10,$D$5,$D$7,0)</f>
        <v>-1.0793388372125623E-3</v>
      </c>
      <c r="AF25" s="1" cm="1">
        <f t="array" ref="AF25">OptionDelta("P",$E25,$D$4,AF$10,$D$5,$D$7,0)</f>
        <v>-1.8195289047336916E-3</v>
      </c>
      <c r="AG25" s="1" cm="1">
        <f t="array" ref="AG25">OptionDelta("P",$E25,$D$4,AG$10,$D$5,$D$7,0)</f>
        <v>-2.7716266237037823E-3</v>
      </c>
      <c r="AH25" s="1" cm="1">
        <f t="array" ref="AH25">OptionDelta("P",$E25,$D$4,AH$10,$D$5,$D$7,0)</f>
        <v>-1.93516504591843E-2</v>
      </c>
      <c r="AI25" s="1" cm="1">
        <f t="array" ref="AI25">OptionDelta("P",$E25,$D$4,AI$10,$D$5,$D$7,0)</f>
        <v>-3.7984588705097355E-2</v>
      </c>
      <c r="AJ25" s="1" cm="1">
        <f t="array" ref="AJ25">OptionDelta("P",$E25,$D$4,AJ$10,$D$5,$D$7,0)</f>
        <v>-5.3500413442041594E-2</v>
      </c>
      <c r="AK25" s="1" cm="1">
        <f t="array" ref="AK25">OptionDelta("P",$E25,$D$4,AK$10,$D$5,$D$7,0)</f>
        <v>-6.5682765684590083E-2</v>
      </c>
      <c r="AO25" s="2">
        <f t="shared" si="8"/>
        <v>130</v>
      </c>
      <c r="AP25" s="1" cm="1">
        <f t="array" ref="AP25">OptionDelta("P",$E25,$D$4,AP$10,$D$5,$D$8,0)</f>
        <v>-2.3748452032597012E-3</v>
      </c>
      <c r="AQ25" s="1" cm="1">
        <f t="array" ref="AQ25">OptionDelta("P",$E25,$D$4,AQ$10,$D$5,$D$8,0)</f>
        <v>-2.0798132697888772E-2</v>
      </c>
      <c r="AR25" s="1" cm="1">
        <f t="array" ref="AR25">OptionDelta("P",$E25,$D$4,AR$10,$D$5,$D$8,0)</f>
        <v>-4.4837567406159407E-2</v>
      </c>
      <c r="AS25" s="1" cm="1">
        <f t="array" ref="AS25">OptionDelta("P",$E25,$D$4,AS$10,$D$5,$D$8,0)</f>
        <v>-6.6971680787246357E-2</v>
      </c>
      <c r="AT25" s="1" cm="1">
        <f t="array" ref="AT25">OptionDelta("P",$E25,$D$4,AT$10,$D$5,$D$8,0)</f>
        <v>-8.5901509738383175E-2</v>
      </c>
      <c r="AU25" s="1" cm="1">
        <f t="array" ref="AU25">OptionDelta("P",$E25,$D$4,AU$10,$D$5,$D$8,0)</f>
        <v>-0.10185624547043504</v>
      </c>
      <c r="AV25" s="1" cm="1">
        <f t="array" ref="AV25">OptionDelta("P",$E25,$D$4,AV$10,$D$5,$D$8,0)</f>
        <v>-0.1153277701028006</v>
      </c>
      <c r="AW25" s="1" cm="1">
        <f t="array" ref="AW25">OptionDelta("P",$E25,$D$4,AW$10,$D$5,$D$8,0)</f>
        <v>-0.12677851771428283</v>
      </c>
      <c r="AX25" s="1" cm="1">
        <f t="array" ref="AX25">OptionDelta("P",$E25,$D$4,AX$10,$D$5,$D$8,0)</f>
        <v>-0.13658767823312523</v>
      </c>
      <c r="AY25" s="1" cm="1">
        <f t="array" ref="AY25">OptionDelta("P",$E25,$D$4,AY$10,$D$5,$D$8,0)</f>
        <v>-0.14505487619059876</v>
      </c>
      <c r="AZ25" s="1" cm="1">
        <f t="array" ref="AZ25">OptionDelta("P",$E25,$D$4,AZ$10,$D$5,$D$8,0)</f>
        <v>-0.19006114648737371</v>
      </c>
      <c r="BA25" s="1" cm="1">
        <f t="array" ref="BA25">OptionDelta("P",$E25,$D$4,BA$10,$D$5,$D$8,0)</f>
        <v>-0.20540674368816236</v>
      </c>
      <c r="BB25" s="1" cm="1">
        <f t="array" ref="BB25">OptionDelta("P",$E25,$D$4,BB$10,$D$5,$D$8,0)</f>
        <v>-0.21071568645830396</v>
      </c>
      <c r="BC25" s="1" cm="1">
        <f t="array" ref="BC25">OptionDelta("P",$E25,$D$4,BC$10,$D$5,$D$8,0)</f>
        <v>-0.21154980187022532</v>
      </c>
    </row>
    <row r="26" spans="5:55" x14ac:dyDescent="0.3">
      <c r="E26" s="2">
        <f t="shared" si="6"/>
        <v>135</v>
      </c>
      <c r="F26" s="1" cm="1">
        <f t="array" ref="F26">OptionDelta("P",$E26,$D$4,F$10,$D$5,$D$6,0)</f>
        <v>-8.2356076314127336E-7</v>
      </c>
      <c r="G26" s="1" cm="1">
        <f t="array" ref="G26">OptionDelta("P",$E26,$D$4,G$10,$D$5,$D$6,0)</f>
        <v>-3.1040784564706492E-4</v>
      </c>
      <c r="H26" s="1" cm="1">
        <f t="array" ref="H26">OptionDelta("P",$E26,$D$4,H$10,$D$5,$D$6,0)</f>
        <v>-2.3882986824037555E-3</v>
      </c>
      <c r="I26" s="1" cm="1">
        <f t="array" ref="I26">OptionDelta("P",$E26,$D$4,I$10,$D$5,$D$6,0)</f>
        <v>-6.8048459046240461E-3</v>
      </c>
      <c r="J26" s="1" cm="1">
        <f t="array" ref="J26">OptionDelta("P",$E26,$D$4,J$10,$D$5,$D$6,0)</f>
        <v>-1.2936058934507999E-2</v>
      </c>
      <c r="K26" s="1" cm="1">
        <f t="array" ref="K26">OptionDelta("P",$E26,$D$4,K$10,$D$5,$D$6,0)</f>
        <v>-2.0019016420614544E-2</v>
      </c>
      <c r="L26" s="1" cm="1">
        <f t="array" ref="L26">OptionDelta("P",$E26,$D$4,L$10,$D$5,$D$6,0)</f>
        <v>-2.7494256589391308E-2</v>
      </c>
      <c r="M26" s="1" cm="1">
        <f t="array" ref="M26">OptionDelta("P",$E26,$D$4,M$10,$D$5,$D$6,0)</f>
        <v>-3.5008571780824504E-2</v>
      </c>
      <c r="N26" s="1" cm="1">
        <f t="array" ref="N26">OptionDelta("P",$E26,$D$4,N$10,$D$5,$D$6,0)</f>
        <v>-4.2354591752513771E-2</v>
      </c>
      <c r="O26" s="1" cm="1">
        <f t="array" ref="O26">OptionDelta("P",$E26,$D$4,O$10,$D$5,$D$6,0)</f>
        <v>-4.9418010408147417E-2</v>
      </c>
      <c r="P26" s="1" cm="1">
        <f t="array" ref="P26">OptionDelta("P",$E26,$D$4,P$10,$D$5,$D$6,0)</f>
        <v>-0.10148028157804423</v>
      </c>
      <c r="Q26" s="1" cm="1">
        <f t="array" ref="Q26">OptionDelta("P",$E26,$D$4,Q$10,$D$5,$D$6,0)</f>
        <v>-0.13005419969363385</v>
      </c>
      <c r="R26" s="1" cm="1">
        <f t="array" ref="R26">OptionDelta("P",$E26,$D$4,R$10,$D$5,$D$6,0)</f>
        <v>-0.14679895478660199</v>
      </c>
      <c r="S26" s="1" cm="1">
        <f t="array" ref="S26">OptionDelta("P",$E26,$D$4,S$10,$D$5,$D$6,0)</f>
        <v>-0.1570960983419486</v>
      </c>
      <c r="W26" s="2">
        <f t="shared" si="7"/>
        <v>135</v>
      </c>
      <c r="X26" s="1" cm="1">
        <f t="array" ref="X26">OptionDelta("P",$E26,$D$4,X$10,$D$5,$D$7,0)</f>
        <v>0</v>
      </c>
      <c r="Y26" s="1" cm="1">
        <f t="array" ref="Y26">OptionDelta("P",$E26,$D$4,Y$10,$D$5,$D$7,0)</f>
        <v>-6.1083360591851488E-12</v>
      </c>
      <c r="Z26" s="1" cm="1">
        <f t="array" ref="Z26">OptionDelta("P",$E26,$D$4,Z$10,$D$5,$D$7,0)</f>
        <v>-1.3389116704232151E-8</v>
      </c>
      <c r="AA26" s="1" cm="1">
        <f t="array" ref="AA26">OptionDelta("P",$E26,$D$4,AA$10,$D$5,$D$7,0)</f>
        <v>-6.4939633814820041E-7</v>
      </c>
      <c r="AB26" s="1" cm="1">
        <f t="array" ref="AB26">OptionDelta("P",$E26,$D$4,AB$10,$D$5,$D$7,0)</f>
        <v>-6.8011094226383406E-6</v>
      </c>
      <c r="AC26" s="1" cm="1">
        <f t="array" ref="AC26">OptionDelta("P",$E26,$D$4,AC$10,$D$5,$D$7,0)</f>
        <v>-3.2963859568746479E-5</v>
      </c>
      <c r="AD26" s="1" cm="1">
        <f t="array" ref="AD26">OptionDelta("P",$E26,$D$4,AD$10,$D$5,$D$7,0)</f>
        <v>-1.0263741426164152E-4</v>
      </c>
      <c r="AE26" s="1" cm="1">
        <f t="array" ref="AE26">OptionDelta("P",$E26,$D$4,AE$10,$D$5,$D$7,0)</f>
        <v>-2.4202099636327912E-4</v>
      </c>
      <c r="AF26" s="1" cm="1">
        <f t="array" ref="AF26">OptionDelta("P",$E26,$D$4,AF$10,$D$5,$D$7,0)</f>
        <v>-4.737266396053208E-4</v>
      </c>
      <c r="AG26" s="1" cm="1">
        <f t="array" ref="AG26">OptionDelta("P",$E26,$D$4,AG$10,$D$5,$D$7,0)</f>
        <v>-8.1343453919457964E-4</v>
      </c>
      <c r="AH26" s="1" cm="1">
        <f t="array" ref="AH26">OptionDelta("P",$E26,$D$4,AH$10,$D$5,$D$7,0)</f>
        <v>-9.7928364033782467E-3</v>
      </c>
      <c r="AI26" s="1" cm="1">
        <f t="array" ref="AI26">OptionDelta("P",$E26,$D$4,AI$10,$D$5,$D$7,0)</f>
        <v>-2.316017918913893E-2</v>
      </c>
      <c r="AJ26" s="1" cm="1">
        <f t="array" ref="AJ26">OptionDelta("P",$E26,$D$4,AJ$10,$D$5,$D$7,0)</f>
        <v>-3.5889050588990501E-2</v>
      </c>
      <c r="AK26" s="1" cm="1">
        <f t="array" ref="AK26">OptionDelta("P",$E26,$D$4,AK$10,$D$5,$D$7,0)</f>
        <v>-4.67205445320521E-2</v>
      </c>
      <c r="AO26" s="2">
        <f t="shared" si="8"/>
        <v>135</v>
      </c>
      <c r="AP26" s="1" cm="1">
        <f t="array" ref="AP26">OptionDelta("P",$E26,$D$4,AP$10,$D$5,$D$8,0)</f>
        <v>-6.3792946107255055E-4</v>
      </c>
      <c r="AQ26" s="1" cm="1">
        <f t="array" ref="AQ26">OptionDelta("P",$E26,$D$4,AQ$10,$D$5,$D$8,0)</f>
        <v>-1.0201945596281514E-2</v>
      </c>
      <c r="AR26" s="1" cm="1">
        <f t="array" ref="AR26">OptionDelta("P",$E26,$D$4,AR$10,$D$5,$D$8,0)</f>
        <v>-2.7002641924538162E-2</v>
      </c>
      <c r="AS26" s="1" cm="1">
        <f t="array" ref="AS26">OptionDelta("P",$E26,$D$4,AS$10,$D$5,$D$8,0)</f>
        <v>-4.4787839514464522E-2</v>
      </c>
      <c r="AT26" s="1" cm="1">
        <f t="array" ref="AT26">OptionDelta("P",$E26,$D$4,AT$10,$D$5,$D$8,0)</f>
        <v>-6.1252647423470141E-2</v>
      </c>
      <c r="AU26" s="1" cm="1">
        <f t="array" ref="AU26">OptionDelta("P",$E26,$D$4,AU$10,$D$5,$D$8,0)</f>
        <v>-7.5864077548471465E-2</v>
      </c>
      <c r="AV26" s="1" cm="1">
        <f t="array" ref="AV26">OptionDelta("P",$E26,$D$4,AV$10,$D$5,$D$8,0)</f>
        <v>-8.8663185428034641E-2</v>
      </c>
      <c r="AW26" s="1" cm="1">
        <f t="array" ref="AW26">OptionDelta("P",$E26,$D$4,AW$10,$D$5,$D$8,0)</f>
        <v>-9.9850813935310367E-2</v>
      </c>
      <c r="AX26" s="1" cm="1">
        <f t="array" ref="AX26">OptionDelta("P",$E26,$D$4,AX$10,$D$5,$D$8,0)</f>
        <v>-0.10965117703705984</v>
      </c>
      <c r="AY26" s="1" cm="1">
        <f t="array" ref="AY26">OptionDelta("P",$E26,$D$4,AY$10,$D$5,$D$8,0)</f>
        <v>-0.11826948842735363</v>
      </c>
      <c r="AZ26" s="1" cm="1">
        <f t="array" ref="AZ26">OptionDelta("P",$E26,$D$4,AZ$10,$D$5,$D$8,0)</f>
        <v>-0.16686556750780079</v>
      </c>
      <c r="BA26" s="1" cm="1">
        <f t="array" ref="BA26">OptionDelta("P",$E26,$D$4,BA$10,$D$5,$D$8,0)</f>
        <v>-0.18536836561406411</v>
      </c>
      <c r="BB26" s="1" cm="1">
        <f t="array" ref="BB26">OptionDelta("P",$E26,$D$4,BB$10,$D$5,$D$8,0)</f>
        <v>-0.19301457050780468</v>
      </c>
      <c r="BC26" s="1" cm="1">
        <f t="array" ref="BC26">OptionDelta("P",$E26,$D$4,BC$10,$D$5,$D$8,0)</f>
        <v>-0.19563532516962057</v>
      </c>
    </row>
    <row r="27" spans="5:55" x14ac:dyDescent="0.3">
      <c r="E27" s="2">
        <f t="shared" si="6"/>
        <v>140</v>
      </c>
      <c r="F27" s="1" cm="1">
        <f t="array" ref="F27">OptionDelta("P",$E27,$D$4,F$10,$D$5,$D$6,0)</f>
        <v>-3.9911703275663513E-8</v>
      </c>
      <c r="G27" s="1" cm="1">
        <f t="array" ref="G27">OptionDelta("P",$E27,$D$4,G$10,$D$5,$D$6,0)</f>
        <v>-6.4344002938532263E-5</v>
      </c>
      <c r="H27" s="1" cm="1">
        <f t="array" ref="H27">OptionDelta("P",$E27,$D$4,H$10,$D$5,$D$6,0)</f>
        <v>-8.060304662809159E-4</v>
      </c>
      <c r="I27" s="1" cm="1">
        <f t="array" ref="I27">OptionDelta("P",$E27,$D$4,I$10,$D$5,$D$6,0)</f>
        <v>-2.9353699446743597E-3</v>
      </c>
      <c r="J27" s="1" cm="1">
        <f t="array" ref="J27">OptionDelta("P",$E27,$D$4,J$10,$D$5,$D$6,0)</f>
        <v>-6.4724055303690964E-3</v>
      </c>
      <c r="K27" s="1" cm="1">
        <f t="array" ref="K27">OptionDelta("P",$E27,$D$4,K$10,$D$5,$D$6,0)</f>
        <v>-1.1065603183766148E-2</v>
      </c>
      <c r="L27" s="1" cm="1">
        <f t="array" ref="L27">OptionDelta("P",$E27,$D$4,L$10,$D$5,$D$6,0)</f>
        <v>-1.6327271792869857E-2</v>
      </c>
      <c r="M27" s="1" cm="1">
        <f t="array" ref="M27">OptionDelta("P",$E27,$D$4,M$10,$D$5,$D$6,0)</f>
        <v>-2.1947030461860972E-2</v>
      </c>
      <c r="N27" s="1" cm="1">
        <f t="array" ref="N27">OptionDelta("P",$E27,$D$4,N$10,$D$5,$D$6,0)</f>
        <v>-2.7703754722868346E-2</v>
      </c>
      <c r="O27" s="1" cm="1">
        <f t="array" ref="O27">OptionDelta("P",$E27,$D$4,O$10,$D$5,$D$6,0)</f>
        <v>-3.3448813603455418E-2</v>
      </c>
      <c r="P27" s="1" cm="1">
        <f t="array" ref="P27">OptionDelta("P",$E27,$D$4,P$10,$D$5,$D$6,0)</f>
        <v>-8.0496295997073863E-2</v>
      </c>
      <c r="Q27" s="1" cm="1">
        <f t="array" ref="Q27">OptionDelta("P",$E27,$D$4,Q$10,$D$5,$D$6,0)</f>
        <v>-0.10913912348794974</v>
      </c>
      <c r="R27" s="1" cm="1">
        <f t="array" ref="R27">OptionDelta("P",$E27,$D$4,R$10,$D$5,$D$6,0)</f>
        <v>-0.12689738962132047</v>
      </c>
      <c r="S27" s="1" cm="1">
        <f t="array" ref="S27">OptionDelta("P",$E27,$D$4,S$10,$D$5,$D$6,0)</f>
        <v>-0.13834501863406246</v>
      </c>
      <c r="W27" s="2">
        <f t="shared" si="7"/>
        <v>140</v>
      </c>
      <c r="X27" s="1" cm="1">
        <f t="array" ref="X27">OptionDelta("P",$E27,$D$4,X$10,$D$5,$D$7,0)</f>
        <v>0</v>
      </c>
      <c r="Y27" s="1" cm="1">
        <f t="array" ref="Y27">OptionDelta("P",$E27,$D$4,Y$10,$D$5,$D$7,0)</f>
        <v>-1.5876189252139739E-14</v>
      </c>
      <c r="Z27" s="1" cm="1">
        <f t="array" ref="Z27">OptionDelta("P",$E27,$D$4,Z$10,$D$5,$D$7,0)</f>
        <v>-2.4035928802845774E-10</v>
      </c>
      <c r="AA27" s="1" cm="1">
        <f t="array" ref="AA27">OptionDelta("P",$E27,$D$4,AA$10,$D$5,$D$7,0)</f>
        <v>-3.0650944671251068E-8</v>
      </c>
      <c r="AB27" s="1" cm="1">
        <f t="array" ref="AB27">OptionDelta("P",$E27,$D$4,AB$10,$D$5,$D$7,0)</f>
        <v>-5.7372667472410654E-7</v>
      </c>
      <c r="AC27" s="1" cm="1">
        <f t="array" ref="AC27">OptionDelta("P",$E27,$D$4,AC$10,$D$5,$D$7,0)</f>
        <v>-4.097458834229073E-6</v>
      </c>
      <c r="AD27" s="1" cm="1">
        <f t="array" ref="AD27">OptionDelta("P",$E27,$D$4,AD$10,$D$5,$D$7,0)</f>
        <v>-1.6834810336541217E-5</v>
      </c>
      <c r="AE27" s="1" cm="1">
        <f t="array" ref="AE27">OptionDelta("P",$E27,$D$4,AE$10,$D$5,$D$7,0)</f>
        <v>-4.8889517762384926E-5</v>
      </c>
      <c r="AF27" s="1" cm="1">
        <f t="array" ref="AF27">OptionDelta("P",$E27,$D$4,AF$10,$D$5,$D$7,0)</f>
        <v>-1.125547698992424E-4</v>
      </c>
      <c r="AG27" s="1" cm="1">
        <f t="array" ref="AG27">OptionDelta("P",$E27,$D$4,AG$10,$D$5,$D$7,0)</f>
        <v>-2.2010697477903296E-4</v>
      </c>
      <c r="AH27" s="1" cm="1">
        <f t="array" ref="AH27">OptionDelta("P",$E27,$D$4,AH$10,$D$5,$D$7,0)</f>
        <v>-4.7800098788316481E-3</v>
      </c>
      <c r="AI27" s="1" cm="1">
        <f t="array" ref="AI27">OptionDelta("P",$E27,$D$4,AI$10,$D$5,$D$7,0)</f>
        <v>-1.3817439592029412E-2</v>
      </c>
      <c r="AJ27" s="1" cm="1">
        <f t="array" ref="AJ27">OptionDelta("P",$E27,$D$4,AJ$10,$D$5,$D$7,0)</f>
        <v>-2.3719415395278443E-2</v>
      </c>
      <c r="AK27" s="1" cm="1">
        <f t="array" ref="AK27">OptionDelta("P",$E27,$D$4,AK$10,$D$5,$D$7,0)</f>
        <v>-3.2872391158081826E-2</v>
      </c>
      <c r="AO27" s="2">
        <f t="shared" si="8"/>
        <v>140</v>
      </c>
      <c r="AP27" s="1" cm="1">
        <f t="array" ref="AP27">OptionDelta("P",$E27,$D$4,AP$10,$D$5,$D$8,0)</f>
        <v>-1.5625452050427313E-4</v>
      </c>
      <c r="AQ27" s="1" cm="1">
        <f t="array" ref="AQ27">OptionDelta("P",$E27,$D$4,AQ$10,$D$5,$D$8,0)</f>
        <v>-4.8001191425864898E-3</v>
      </c>
      <c r="AR27" s="1" cm="1">
        <f t="array" ref="AR27">OptionDelta("P",$E27,$D$4,AR$10,$D$5,$D$8,0)</f>
        <v>-1.5852087113856994E-2</v>
      </c>
      <c r="AS27" s="1" cm="1">
        <f t="array" ref="AS27">OptionDelta("P",$E27,$D$4,AS$10,$D$5,$D$8,0)</f>
        <v>-2.9424844782154347E-2</v>
      </c>
      <c r="AT27" s="1" cm="1">
        <f t="array" ref="AT27">OptionDelta("P",$E27,$D$4,AT$10,$D$5,$D$8,0)</f>
        <v>-4.3101013576703928E-2</v>
      </c>
      <c r="AU27" s="1" cm="1">
        <f t="array" ref="AU27">OptionDelta("P",$E27,$D$4,AU$10,$D$5,$D$8,0)</f>
        <v>-5.5922434399909848E-2</v>
      </c>
      <c r="AV27" s="1" cm="1">
        <f t="array" ref="AV27">OptionDelta("P",$E27,$D$4,AV$10,$D$5,$D$8,0)</f>
        <v>-6.7597592081242719E-2</v>
      </c>
      <c r="AW27" s="1" cm="1">
        <f t="array" ref="AW27">OptionDelta("P",$E27,$D$4,AW$10,$D$5,$D$8,0)</f>
        <v>-7.8104680465358789E-2</v>
      </c>
      <c r="AX27" s="1" cm="1">
        <f t="array" ref="AX27">OptionDelta("P",$E27,$D$4,AX$10,$D$5,$D$8,0)</f>
        <v>-8.7522828477867298E-2</v>
      </c>
      <c r="AY27" s="1" cm="1">
        <f t="array" ref="AY27">OptionDelta("P",$E27,$D$4,AY$10,$D$5,$D$8,0)</f>
        <v>-9.5962181134868874E-2</v>
      </c>
      <c r="AZ27" s="1" cm="1">
        <f t="array" ref="AZ27">OptionDelta("P",$E27,$D$4,AZ$10,$D$5,$D$8,0)</f>
        <v>-0.14632061111336547</v>
      </c>
      <c r="BA27" s="1" cm="1">
        <f t="array" ref="BA27">OptionDelta("P",$E27,$D$4,BA$10,$D$5,$D$8,0)</f>
        <v>-0.16725142786114877</v>
      </c>
      <c r="BB27" s="1" cm="1">
        <f t="array" ref="BB27">OptionDelta("P",$E27,$D$4,BB$10,$D$5,$D$8,0)</f>
        <v>-0.17684550299325896</v>
      </c>
      <c r="BC27" s="1" cm="1">
        <f t="array" ref="BC27">OptionDelta("P",$E27,$D$4,BC$10,$D$5,$D$8,0)</f>
        <v>-0.18100835859699094</v>
      </c>
    </row>
    <row r="50" spans="3:55" x14ac:dyDescent="0.3">
      <c r="C50" t="s">
        <v>9</v>
      </c>
      <c r="E50" s="1"/>
      <c r="F50" s="2">
        <v>0.1</v>
      </c>
      <c r="G50" s="2">
        <f>F50+0.1</f>
        <v>0.2</v>
      </c>
      <c r="H50" s="2">
        <f t="shared" ref="H50:N50" si="9">G50+0.1</f>
        <v>0.30000000000000004</v>
      </c>
      <c r="I50" s="2">
        <f t="shared" si="9"/>
        <v>0.4</v>
      </c>
      <c r="J50" s="2">
        <f t="shared" si="9"/>
        <v>0.5</v>
      </c>
      <c r="K50" s="2">
        <f t="shared" si="9"/>
        <v>0.6</v>
      </c>
      <c r="L50" s="2">
        <f t="shared" si="9"/>
        <v>0.7</v>
      </c>
      <c r="M50" s="2">
        <f t="shared" si="9"/>
        <v>0.79999999999999993</v>
      </c>
      <c r="N50" s="2">
        <f t="shared" si="9"/>
        <v>0.89999999999999991</v>
      </c>
      <c r="O50" s="2">
        <f>N50+0.1</f>
        <v>0.99999999999999989</v>
      </c>
      <c r="P50" s="2">
        <f>O50+1</f>
        <v>2</v>
      </c>
      <c r="Q50" s="2">
        <f t="shared" ref="Q50:S50" si="10">P50+1</f>
        <v>3</v>
      </c>
      <c r="R50" s="2">
        <f t="shared" si="10"/>
        <v>4</v>
      </c>
      <c r="S50" s="2">
        <f t="shared" si="10"/>
        <v>5</v>
      </c>
      <c r="U50" t="s">
        <v>9</v>
      </c>
      <c r="W50" s="1"/>
      <c r="X50" s="2">
        <v>0.1</v>
      </c>
      <c r="Y50" s="2">
        <f>X50+0.1</f>
        <v>0.2</v>
      </c>
      <c r="Z50" s="2">
        <f t="shared" ref="Z50:AF50" si="11">Y50+0.1</f>
        <v>0.30000000000000004</v>
      </c>
      <c r="AA50" s="2">
        <f t="shared" si="11"/>
        <v>0.4</v>
      </c>
      <c r="AB50" s="2">
        <f t="shared" si="11"/>
        <v>0.5</v>
      </c>
      <c r="AC50" s="2">
        <f t="shared" si="11"/>
        <v>0.6</v>
      </c>
      <c r="AD50" s="2">
        <f t="shared" si="11"/>
        <v>0.7</v>
      </c>
      <c r="AE50" s="2">
        <f t="shared" si="11"/>
        <v>0.79999999999999993</v>
      </c>
      <c r="AF50" s="2">
        <f t="shared" si="11"/>
        <v>0.89999999999999991</v>
      </c>
      <c r="AG50" s="2">
        <f>AF50+0.1</f>
        <v>0.99999999999999989</v>
      </c>
      <c r="AH50" s="2">
        <f>AG50+1</f>
        <v>2</v>
      </c>
      <c r="AI50" s="2">
        <f t="shared" ref="AI50:AK50" si="12">AH50+1</f>
        <v>3</v>
      </c>
      <c r="AJ50" s="2">
        <f t="shared" si="12"/>
        <v>4</v>
      </c>
      <c r="AK50" s="2">
        <f t="shared" si="12"/>
        <v>5</v>
      </c>
      <c r="AM50" t="s">
        <v>9</v>
      </c>
      <c r="AO50" s="1"/>
      <c r="AP50" s="2">
        <v>0.1</v>
      </c>
      <c r="AQ50" s="2">
        <f>AP50+0.1</f>
        <v>0.2</v>
      </c>
      <c r="AR50" s="2">
        <f t="shared" ref="AR50:AX50" si="13">AQ50+0.1</f>
        <v>0.30000000000000004</v>
      </c>
      <c r="AS50" s="2">
        <f t="shared" si="13"/>
        <v>0.4</v>
      </c>
      <c r="AT50" s="2">
        <f t="shared" si="13"/>
        <v>0.5</v>
      </c>
      <c r="AU50" s="2">
        <f t="shared" si="13"/>
        <v>0.6</v>
      </c>
      <c r="AV50" s="2">
        <f t="shared" si="13"/>
        <v>0.7</v>
      </c>
      <c r="AW50" s="2">
        <f t="shared" si="13"/>
        <v>0.79999999999999993</v>
      </c>
      <c r="AX50" s="2">
        <f t="shared" si="13"/>
        <v>0.89999999999999991</v>
      </c>
      <c r="AY50" s="2">
        <f>AX50+0.1</f>
        <v>0.99999999999999989</v>
      </c>
      <c r="AZ50" s="2">
        <f>AY50+1</f>
        <v>2</v>
      </c>
      <c r="BA50" s="2">
        <f t="shared" ref="BA50:BC50" si="14">AZ50+1</f>
        <v>3</v>
      </c>
      <c r="BB50" s="2">
        <f t="shared" si="14"/>
        <v>4</v>
      </c>
      <c r="BC50" s="2">
        <f t="shared" si="14"/>
        <v>5</v>
      </c>
    </row>
    <row r="51" spans="3:55" x14ac:dyDescent="0.3">
      <c r="C51" t="s">
        <v>6</v>
      </c>
      <c r="E51" s="2">
        <v>60</v>
      </c>
      <c r="F51" s="1" cm="1">
        <f t="array" ref="F51">OptionTheta("P",$E51,100,F$50,0.01,0.2,0)</f>
        <v>2.7369876707761614E-3</v>
      </c>
      <c r="G51" s="1" cm="1">
        <f t="array" ref="G51">OptionTheta("P",$E51,100,G$50,0.01,0.2,0)</f>
        <v>2.7342502643824419E-3</v>
      </c>
      <c r="H51" s="1" cm="1">
        <f t="array" ref="H51">OptionTheta("P",$E51,100,H$50,0.01,0.2,0)</f>
        <v>2.7311833890562628E-3</v>
      </c>
      <c r="I51" s="1" cm="1">
        <f t="array" ref="I51">OptionTheta("P",$E51,100,I$50,0.01,0.2,0)</f>
        <v>2.7243724463814679E-3</v>
      </c>
      <c r="J51" s="1" cm="1">
        <f t="array" ref="J51">OptionTheta("P",$E51,100,J$50,0.01,0.2,0)</f>
        <v>2.7058361172622833E-3</v>
      </c>
      <c r="K51" s="1" cm="1">
        <f t="array" ref="K51">OptionTheta("P",$E51,100,K$50,0.01,0.2,0)</f>
        <v>2.6684533991827102E-3</v>
      </c>
      <c r="L51" s="1" cm="1">
        <f t="array" ref="L51">OptionTheta("P",$E51,100,L$50,0.01,0.2,0)</f>
        <v>2.6099133627872427E-3</v>
      </c>
      <c r="M51" s="1" cm="1">
        <f t="array" ref="M51">OptionTheta("P",$E51,100,M$50,0.01,0.2,0)</f>
        <v>2.5321197887192225E-3</v>
      </c>
      <c r="N51" s="1" cm="1">
        <f t="array" ref="N51">OptionTheta("P",$E51,100,N$50,0.01,0.2,0)</f>
        <v>2.4391215321312278E-3</v>
      </c>
      <c r="O51" s="1" cm="1">
        <f t="array" ref="O51">OptionTheta("P",$E51,100,O$50,0.01,0.2,0)</f>
        <v>2.3354763350554903E-3</v>
      </c>
      <c r="P51" s="1" cm="1">
        <f t="array" ref="P51">OptionTheta("P",$E51,100,P$50,0.01,0.2,0)</f>
        <v>1.3022609290857393E-3</v>
      </c>
      <c r="Q51" s="1" cm="1">
        <f t="array" ref="Q51">OptionTheta("P",$E51,100,Q$50,0.01,0.2,0)</f>
        <v>6.9098634980145949E-4</v>
      </c>
      <c r="R51" s="1" cm="1">
        <f t="array" ref="R51">OptionTheta("P",$E51,100,R$50,0.01,0.2,0)</f>
        <v>3.761310769749192E-4</v>
      </c>
      <c r="S51" s="1" cm="1">
        <f t="array" ref="S51">OptionTheta("P",$E51,100,S$50,0.01,0.2,0)</f>
        <v>2.1469384650633341E-4</v>
      </c>
      <c r="U51" t="s">
        <v>8</v>
      </c>
      <c r="W51" s="2">
        <v>60</v>
      </c>
      <c r="X51" s="1" cm="1">
        <f t="array" ref="X51">OptionTheta("P",$E51,100,X$50,0.01,0.1,0)</f>
        <v>2.73698767077637E-3</v>
      </c>
      <c r="Y51" s="1" cm="1">
        <f t="array" ref="Y51">OptionTheta("P",$E51,100,Y$50,0.01,0.1,0)</f>
        <v>2.7342520511433781E-3</v>
      </c>
      <c r="Z51" s="1" cm="1">
        <f t="array" ref="Z51">OptionTheta("P",$E51,100,Z$50,0.01,0.1,0)</f>
        <v>2.7315191657626657E-3</v>
      </c>
      <c r="AA51" s="1" cm="1">
        <f t="array" ref="AA51">OptionTheta("P",$E51,100,AA$50,0.01,0.1,0)</f>
        <v>2.7287890119012696E-3</v>
      </c>
      <c r="AB51" s="1" cm="1">
        <f t="array" ref="AB51">OptionTheta("P",$E51,100,AB$50,0.01,0.1,0)</f>
        <v>2.7260615867822466E-3</v>
      </c>
      <c r="AC51" s="1" cm="1">
        <f t="array" ref="AC51">OptionTheta("P",$E51,100,AC$50,0.01,0.1,0)</f>
        <v>2.7233368844878569E-3</v>
      </c>
      <c r="AD51" s="1" cm="1">
        <f t="array" ref="AD51">OptionTheta("P",$E51,100,AD$50,0.01,0.1,0)</f>
        <v>2.7206148430655463E-3</v>
      </c>
      <c r="AE51" s="1" cm="1">
        <f t="array" ref="AE51">OptionTheta("P",$E51,100,AE$50,0.01,0.1,0)</f>
        <v>2.717894991356171E-3</v>
      </c>
      <c r="AF51" s="1" cm="1">
        <f t="array" ref="AF51">OptionTheta("P",$E51,100,AF$50,0.01,0.1,0)</f>
        <v>2.7151752669386364E-3</v>
      </c>
      <c r="AG51" s="1" cm="1">
        <f t="array" ref="AG51">OptionTheta("P",$E51,100,AG$50,0.01,0.1,0)</f>
        <v>2.7124496814563011E-3</v>
      </c>
      <c r="AH51" s="1" cm="1">
        <f t="array" ref="AH51">OptionTheta("P",$E51,100,AH$50,0.01,0.1,0)</f>
        <v>2.6777786781916209E-3</v>
      </c>
      <c r="AI51" s="1" cm="1">
        <f t="array" ref="AI51">OptionTheta("P",$E51,100,AI$50,0.01,0.1,0)</f>
        <v>2.6022924146134056E-3</v>
      </c>
      <c r="AJ51" s="1" cm="1">
        <f t="array" ref="AJ51">OptionTheta("P",$E51,100,AJ$50,0.01,0.1,0)</f>
        <v>2.4844823879870519E-3</v>
      </c>
      <c r="AK51" s="1" cm="1">
        <f t="array" ref="AK51">OptionTheta("P",$E51,100,AK$50,0.01,0.1,0)</f>
        <v>2.3478202400294664E-3</v>
      </c>
      <c r="AM51" t="s">
        <v>7</v>
      </c>
      <c r="AO51" s="2">
        <v>60</v>
      </c>
      <c r="AP51" s="1" cm="1">
        <f t="array" ref="AP51">OptionTheta("P",$E51,100,AP$50,0.01,0.3,0)</f>
        <v>2.7369661207863514E-3</v>
      </c>
      <c r="AQ51" s="1" cm="1">
        <f t="array" ref="AQ51">OptionTheta("P",$E51,100,AQ$50,0.01,0.3,0)</f>
        <v>2.7127902149210563E-3</v>
      </c>
      <c r="AR51" s="1" cm="1">
        <f t="array" ref="AR51">OptionTheta("P",$E51,100,AR$50,0.01,0.3,0)</f>
        <v>2.5348963473979221E-3</v>
      </c>
      <c r="AS51" s="1" cm="1">
        <f t="array" ref="AS51">OptionTheta("P",$E51,100,AS$50,0.01,0.3,0)</f>
        <v>2.1580434253893012E-3</v>
      </c>
      <c r="AT51" s="1" cm="1">
        <f t="array" ref="AT51">OptionTheta("P",$E51,100,AT$50,0.01,0.3,0)</f>
        <v>1.6708578227451938E-3</v>
      </c>
      <c r="AU51" s="1" cm="1">
        <f t="array" ref="AU51">OptionTheta("P",$E51,100,AU$50,0.01,0.3,0)</f>
        <v>1.1598108875601402E-3</v>
      </c>
      <c r="AV51" s="1" cm="1">
        <f t="array" ref="AV51">OptionTheta("P",$E51,100,AV$50,0.01,0.3,0)</f>
        <v>6.7426926579585746E-4</v>
      </c>
      <c r="AW51" s="1" cm="1">
        <f t="array" ref="AW51">OptionTheta("P",$E51,100,AW$50,0.01,0.3,0)</f>
        <v>2.3585514689703581E-4</v>
      </c>
      <c r="AX51" s="1" cm="1">
        <f t="array" ref="AX51">OptionTheta("P",$E51,100,AX$50,0.01,0.3,0)</f>
        <v>-1.4921850533568544E-4</v>
      </c>
      <c r="AY51" s="1" cm="1">
        <f t="array" ref="AY51">OptionTheta("P",$E51,100,AY$50,0.01,0.3,0)</f>
        <v>-4.822264087044443E-4</v>
      </c>
      <c r="AZ51" s="1" cm="1">
        <f t="array" ref="AZ51">OptionTheta("P",$E51,100,AZ$50,0.01,0.3,0)</f>
        <v>-1.9958379491817678E-3</v>
      </c>
      <c r="BA51" s="1" cm="1">
        <f t="array" ref="BA51">OptionTheta("P",$E51,100,BA$50,0.01,0.3,0)</f>
        <v>-2.2060005499686956E-3</v>
      </c>
      <c r="BB51" s="1" cm="1">
        <f t="array" ref="BB51">OptionTheta("P",$E51,100,BB$50,0.01,0.3,0)</f>
        <v>-2.1069882188597768E-3</v>
      </c>
      <c r="BC51" s="1" cm="1">
        <f t="array" ref="BC51">OptionTheta("P",$E51,100,BC$50,0.01,0.3,0)</f>
        <v>-1.9290150616641398E-3</v>
      </c>
    </row>
    <row r="52" spans="3:55" x14ac:dyDescent="0.3">
      <c r="E52" s="2">
        <f>E51+5</f>
        <v>65</v>
      </c>
      <c r="F52" s="1" cm="1">
        <f t="array" ref="F52">OptionTheta("P",$E52,100,F$50,0.01,0.2,0)</f>
        <v>2.7369876681515035E-3</v>
      </c>
      <c r="G52" s="1" cm="1">
        <f t="array" ref="G52">OptionTheta("P",$E52,100,G$50,0.01,0.2,0)</f>
        <v>2.7340492412950088E-3</v>
      </c>
      <c r="H52" s="1" cm="1">
        <f t="array" ref="H52">OptionTheta("P",$E52,100,H$50,0.01,0.2,0)</f>
        <v>2.7235870145911321E-3</v>
      </c>
      <c r="I52" s="1" cm="1">
        <f t="array" ref="I52">OptionTheta("P",$E52,100,I$50,0.01,0.2,0)</f>
        <v>2.6811806459428435E-3</v>
      </c>
      <c r="J52" s="1" cm="1">
        <f t="array" ref="J52">OptionTheta("P",$E52,100,J$50,0.01,0.2,0)</f>
        <v>2.5898788296770648E-3</v>
      </c>
      <c r="K52" s="1" cm="1">
        <f t="array" ref="K52">OptionTheta("P",$E52,100,K$50,0.01,0.2,0)</f>
        <v>2.4532726531850649E-3</v>
      </c>
      <c r="L52" s="1" cm="1">
        <f t="array" ref="L52">OptionTheta("P",$E52,100,L$50,0.01,0.2,0)</f>
        <v>2.2851686389550453E-3</v>
      </c>
      <c r="M52" s="1" cm="1">
        <f t="array" ref="M52">OptionTheta("P",$E52,100,M$50,0.01,0.2,0)</f>
        <v>2.1000666026867384E-3</v>
      </c>
      <c r="N52" s="1" cm="1">
        <f t="array" ref="N52">OptionTheta("P",$E52,100,N$50,0.01,0.2,0)</f>
        <v>1.9094247024980878E-3</v>
      </c>
      <c r="O52" s="1" cm="1">
        <f t="array" ref="O52">OptionTheta("P",$E52,100,O$50,0.01,0.2,0)</f>
        <v>1.7211502940559253E-3</v>
      </c>
      <c r="P52" s="1" cm="1">
        <f t="array" ref="P52">OptionTheta("P",$E52,100,P$50,0.01,0.2,0)</f>
        <v>4.0905022899808899E-4</v>
      </c>
      <c r="Q52" s="1" cm="1">
        <f t="array" ref="Q52">OptionTheta("P",$E52,100,Q$50,0.01,0.2,0)</f>
        <v>-1.1338905485931629E-4</v>
      </c>
      <c r="R52" s="1" cm="1">
        <f t="array" ref="R52">OptionTheta("P",$E52,100,R$50,0.01,0.2,0)</f>
        <v>-3.0927853968273645E-4</v>
      </c>
      <c r="S52" s="1" cm="1">
        <f t="array" ref="S52">OptionTheta("P",$E52,100,S$50,0.01,0.2,0)</f>
        <v>-3.7064281675585519E-4</v>
      </c>
      <c r="W52" s="2">
        <f>W51+5</f>
        <v>65</v>
      </c>
      <c r="X52" s="1" cm="1">
        <f t="array" ref="X52">OptionTheta("P",$E52,100,X$50,0.01,0.1,0)</f>
        <v>2.73698767077637E-3</v>
      </c>
      <c r="Y52" s="1" cm="1">
        <f t="array" ref="Y52">OptionTheta("P",$E52,100,Y$50,0.01,0.1,0)</f>
        <v>2.7342520511433781E-3</v>
      </c>
      <c r="Z52" s="1" cm="1">
        <f t="array" ref="Z52">OptionTheta("P",$E52,100,Z$50,0.01,0.1,0)</f>
        <v>2.7315191657622034E-3</v>
      </c>
      <c r="AA52" s="1" cm="1">
        <f t="array" ref="AA52">OptionTheta("P",$E52,100,AA$50,0.01,0.1,0)</f>
        <v>2.7287890109855581E-3</v>
      </c>
      <c r="AB52" s="1" cm="1">
        <f t="array" ref="AB52">OptionTheta("P",$E52,100,AB$50,0.01,0.1,0)</f>
        <v>2.7260615017932724E-3</v>
      </c>
      <c r="AC52" s="1" cm="1">
        <f t="array" ref="AC52">OptionTheta("P",$E52,100,AC$50,0.01,0.1,0)</f>
        <v>2.7233351713396789E-3</v>
      </c>
      <c r="AD52" s="1" cm="1">
        <f t="array" ref="AD52">OptionTheta("P",$E52,100,AD$50,0.01,0.1,0)</f>
        <v>2.7206003913315571E-3</v>
      </c>
      <c r="AE52" s="1" cm="1">
        <f t="array" ref="AE52">OptionTheta("P",$E52,100,AE$50,0.01,0.1,0)</f>
        <v>2.7178242176149887E-3</v>
      </c>
      <c r="AF52" s="1" cm="1">
        <f t="array" ref="AF52">OptionTheta("P",$E52,100,AF$50,0.01,0.1,0)</f>
        <v>2.7149340006734318E-3</v>
      </c>
      <c r="AG52" s="1" cm="1">
        <f t="array" ref="AG52">OptionTheta("P",$E52,100,AG$50,0.01,0.1,0)</f>
        <v>2.7118113255903383E-3</v>
      </c>
      <c r="AH52" s="1" cm="1">
        <f t="array" ref="AH52">OptionTheta("P",$E52,100,AH$50,0.01,0.1,0)</f>
        <v>2.636256850920411E-3</v>
      </c>
      <c r="AI52" s="1" cm="1">
        <f t="array" ref="AI52">OptionTheta("P",$E52,100,AI$50,0.01,0.1,0)</f>
        <v>2.4653250745481675E-3</v>
      </c>
      <c r="AJ52" s="1" cm="1">
        <f t="array" ref="AJ52">OptionTheta("P",$E52,100,AJ$50,0.01,0.1,0)</f>
        <v>2.2611557174552297E-3</v>
      </c>
      <c r="AK52" s="1" cm="1">
        <f t="array" ref="AK52">OptionTheta("P",$E52,100,AK$50,0.01,0.1,0)</f>
        <v>2.0674566070827609E-3</v>
      </c>
      <c r="AO52" s="2">
        <f>AO51+5</f>
        <v>65</v>
      </c>
      <c r="AP52" s="1" cm="1">
        <f t="array" ref="AP52">OptionTheta("P",$E52,100,AP$50,0.01,0.3,0)</f>
        <v>2.73552311865379E-3</v>
      </c>
      <c r="AQ52" s="1" cm="1">
        <f t="array" ref="AQ52">OptionTheta("P",$E52,100,AQ$50,0.01,0.3,0)</f>
        <v>2.5543992621398976E-3</v>
      </c>
      <c r="AR52" s="1" cm="1">
        <f t="array" ref="AR52">OptionTheta("P",$E52,100,AR$50,0.01,0.3,0)</f>
        <v>1.9111806553080363E-3</v>
      </c>
      <c r="AS52" s="1" cm="1">
        <f t="array" ref="AS52">OptionTheta("P",$E52,100,AS$50,0.01,0.3,0)</f>
        <v>1.0483536598917605E-3</v>
      </c>
      <c r="AT52" s="1" cm="1">
        <f t="array" ref="AT52">OptionTheta("P",$E52,100,AT$50,0.01,0.3,0)</f>
        <v>2.0530949406103387E-4</v>
      </c>
      <c r="AU52" s="1" cm="1">
        <f t="array" ref="AU52">OptionTheta("P",$E52,100,AU$50,0.01,0.3,0)</f>
        <v>-5.2607377037844729E-4</v>
      </c>
      <c r="AV52" s="1" cm="1">
        <f t="array" ref="AV52">OptionTheta("P",$E52,100,AV$50,0.01,0.3,0)</f>
        <v>-1.1296391627610156E-3</v>
      </c>
      <c r="AW52" s="1" cm="1">
        <f t="array" ref="AW52">OptionTheta("P",$E52,100,AW$50,0.01,0.3,0)</f>
        <v>-1.6166459589286057E-3</v>
      </c>
      <c r="AX52" s="1" cm="1">
        <f t="array" ref="AX52">OptionTheta("P",$E52,100,AX$50,0.01,0.3,0)</f>
        <v>-2.0054321746973149E-3</v>
      </c>
      <c r="AY52" s="1" cm="1">
        <f t="array" ref="AY52">OptionTheta("P",$E52,100,AY$50,0.01,0.3,0)</f>
        <v>-2.3140587963633987E-3</v>
      </c>
      <c r="AZ52" s="1" cm="1">
        <f t="array" ref="AZ52">OptionTheta("P",$E52,100,AZ$50,0.01,0.3,0)</f>
        <v>-3.2958937887904755E-3</v>
      </c>
      <c r="BA52" s="1" cm="1">
        <f t="array" ref="BA52">OptionTheta("P",$E52,100,BA$50,0.01,0.3,0)</f>
        <v>-3.1415597981716546E-3</v>
      </c>
      <c r="BB52" s="1" cm="1">
        <f t="array" ref="BB52">OptionTheta("P",$E52,100,BB$50,0.01,0.3,0)</f>
        <v>-2.8265782157836337E-3</v>
      </c>
      <c r="BC52" s="1" cm="1">
        <f t="array" ref="BC52">OptionTheta("P",$E52,100,BC$50,0.01,0.3,0)</f>
        <v>-2.5104809435227502E-3</v>
      </c>
    </row>
    <row r="53" spans="3:55" x14ac:dyDescent="0.3">
      <c r="E53" s="2">
        <f t="shared" ref="E53:E67" si="15">E52+5</f>
        <v>70</v>
      </c>
      <c r="F53" s="1" cm="1">
        <f t="array" ref="F53">OptionTheta("P",$E53,100,F$50,0.01,0.2,0)</f>
        <v>2.7369837302933173E-3</v>
      </c>
      <c r="G53" s="1" cm="1">
        <f t="array" ref="G53">OptionTheta("P",$E53,100,G$50,0.01,0.2,0)</f>
        <v>2.7263113586952744E-3</v>
      </c>
      <c r="H53" s="1" cm="1">
        <f t="array" ref="H53">OptionTheta("P",$E53,100,H$50,0.01,0.2,0)</f>
        <v>2.6393786805498434E-3</v>
      </c>
      <c r="I53" s="1" cm="1">
        <f t="array" ref="I53">OptionTheta("P",$E53,100,I$50,0.01,0.2,0)</f>
        <v>2.4274870564234192E-3</v>
      </c>
      <c r="J53" s="1" cm="1">
        <f t="array" ref="J53">OptionTheta("P",$E53,100,J$50,0.01,0.2,0)</f>
        <v>2.127271829645852E-3</v>
      </c>
      <c r="K53" s="1" cm="1">
        <f t="array" ref="K53">OptionTheta("P",$E53,100,K$50,0.01,0.2,0)</f>
        <v>1.7917326461260278E-3</v>
      </c>
      <c r="L53" s="1" cm="1">
        <f t="array" ref="L53">OptionTheta("P",$E53,100,L$50,0.01,0.2,0)</f>
        <v>1.4574375252183983E-3</v>
      </c>
      <c r="M53" s="1" cm="1">
        <f t="array" ref="M53">OptionTheta("P",$E53,100,M$50,0.01,0.2,0)</f>
        <v>1.1438947914170113E-3</v>
      </c>
      <c r="N53" s="1" cm="1">
        <f t="array" ref="N53">OptionTheta("P",$E53,100,N$50,0.01,0.2,0)</f>
        <v>8.5949509555350754E-4</v>
      </c>
      <c r="O53" s="1" cm="1">
        <f t="array" ref="O53">OptionTheta("P",$E53,100,O$50,0.01,0.2,0)</f>
        <v>6.0642943156033588E-4</v>
      </c>
      <c r="P53" s="1" cm="1">
        <f t="array" ref="P53">OptionTheta("P",$E53,100,P$50,0.01,0.2,0)</f>
        <v>-6.8117645149719578E-4</v>
      </c>
      <c r="Q53" s="1" cm="1">
        <f t="array" ref="Q53">OptionTheta("P",$E53,100,Q$50,0.01,0.2,0)</f>
        <v>-9.7710975123002294E-4</v>
      </c>
      <c r="R53" s="1" cm="1">
        <f t="array" ref="R53">OptionTheta("P",$E53,100,R$50,0.01,0.2,0)</f>
        <v>-1.0018151422914946E-3</v>
      </c>
      <c r="S53" s="1" cm="1">
        <f t="array" ref="S53">OptionTheta("P",$E53,100,S$50,0.01,0.2,0)</f>
        <v>-9.4217369568633962E-4</v>
      </c>
      <c r="W53" s="2">
        <f t="shared" ref="W53:W67" si="16">W52+5</f>
        <v>70</v>
      </c>
      <c r="X53" s="1" cm="1">
        <f t="array" ref="X53">OptionTheta("P",$E53,100,X$50,0.01,0.1,0)</f>
        <v>2.73698767077637E-3</v>
      </c>
      <c r="Y53" s="1" cm="1">
        <f t="array" ref="Y53">OptionTheta("P",$E53,100,Y$50,0.01,0.1,0)</f>
        <v>2.7342520511431513E-3</v>
      </c>
      <c r="Z53" s="1" cm="1">
        <f t="array" ref="Z53">OptionTheta("P",$E53,100,Z$50,0.01,0.1,0)</f>
        <v>2.7315191582835225E-3</v>
      </c>
      <c r="AA53" s="1" cm="1">
        <f t="array" ref="AA53">OptionTheta("P",$E53,100,AA$50,0.01,0.1,0)</f>
        <v>2.7287877079677945E-3</v>
      </c>
      <c r="AB53" s="1" cm="1">
        <f t="array" ref="AB53">OptionTheta("P",$E53,100,AB$50,0.01,0.1,0)</f>
        <v>2.7260334153252509E-3</v>
      </c>
      <c r="AC53" s="1" cm="1">
        <f t="array" ref="AC53">OptionTheta("P",$E53,100,AC$50,0.01,0.1,0)</f>
        <v>2.7231217181562582E-3</v>
      </c>
      <c r="AD53" s="1" cm="1">
        <f t="array" ref="AD53">OptionTheta("P",$E53,100,AD$50,0.01,0.1,0)</f>
        <v>2.7197055370446234E-3</v>
      </c>
      <c r="AE53" s="1" cm="1">
        <f t="array" ref="AE53">OptionTheta("P",$E53,100,AE$50,0.01,0.1,0)</f>
        <v>2.7152366603648355E-3</v>
      </c>
      <c r="AF53" s="1" cm="1">
        <f t="array" ref="AF53">OptionTheta("P",$E53,100,AF$50,0.01,0.1,0)</f>
        <v>2.7090913247758233E-3</v>
      </c>
      <c r="AG53" s="1" cm="1">
        <f t="array" ref="AG53">OptionTheta("P",$E53,100,AG$50,0.01,0.1,0)</f>
        <v>2.7007126574436647E-3</v>
      </c>
      <c r="AH53" s="1" cm="1">
        <f t="array" ref="AH53">OptionTheta("P",$E53,100,AH$50,0.01,0.1,0)</f>
        <v>2.4786464884592042E-3</v>
      </c>
      <c r="AI53" s="1" cm="1">
        <f t="array" ref="AI53">OptionTheta("P",$E53,100,AI$50,0.01,0.1,0)</f>
        <v>2.1567199445482483E-3</v>
      </c>
      <c r="AJ53" s="1" cm="1">
        <f t="array" ref="AJ53">OptionTheta("P",$E53,100,AJ$50,0.01,0.1,0)</f>
        <v>1.874248487418931E-3</v>
      </c>
      <c r="AK53" s="1" cm="1">
        <f t="array" ref="AK53">OptionTheta("P",$E53,100,AK$50,0.01,0.1,0)</f>
        <v>1.652493793190949E-3</v>
      </c>
      <c r="AO53" s="2">
        <f t="shared" ref="AO53:AO67" si="17">AO52+5</f>
        <v>70</v>
      </c>
      <c r="AP53" s="1" cm="1">
        <f t="array" ref="AP53">OptionTheta("P",$E53,100,AP$50,0.01,0.3,0)</f>
        <v>2.6983884189776216E-3</v>
      </c>
      <c r="AQ53" s="1" cm="1">
        <f t="array" ref="AQ53">OptionTheta("P",$E53,100,AQ$50,0.01,0.3,0)</f>
        <v>1.796572770343367E-3</v>
      </c>
      <c r="AR53" s="1" cm="1">
        <f t="array" ref="AR53">OptionTheta("P",$E53,100,AR$50,0.01,0.3,0)</f>
        <v>2.3879299622321366E-4</v>
      </c>
      <c r="AS53" s="1" cm="1">
        <f t="array" ref="AS53">OptionTheta("P",$E53,100,AS$50,0.01,0.3,0)</f>
        <v>-1.1701334326739055E-3</v>
      </c>
      <c r="AT53" s="1" cm="1">
        <f t="array" ref="AT53">OptionTheta("P",$E53,100,AT$50,0.01,0.3,0)</f>
        <v>-2.2490271883622544E-3</v>
      </c>
      <c r="AU53" s="1" cm="1">
        <f t="array" ref="AU53">OptionTheta("P",$E53,100,AU$50,0.01,0.3,0)</f>
        <v>-3.0346328996749003E-3</v>
      </c>
      <c r="AV53" s="1" cm="1">
        <f t="array" ref="AV53">OptionTheta("P",$E53,100,AV$50,0.01,0.3,0)</f>
        <v>-3.5968315842971679E-3</v>
      </c>
      <c r="AW53" s="1" cm="1">
        <f t="array" ref="AW53">OptionTheta("P",$E53,100,AW$50,0.01,0.3,0)</f>
        <v>-3.9956290701259429E-3</v>
      </c>
      <c r="AX53" s="1" cm="1">
        <f t="array" ref="AX53">OptionTheta("P",$E53,100,AX$50,0.01,0.3,0)</f>
        <v>-4.2757896358924137E-3</v>
      </c>
      <c r="AY53" s="1" cm="1">
        <f t="array" ref="AY53">OptionTheta("P",$E53,100,AY$50,0.01,0.3,0)</f>
        <v>-4.4694557369071497E-3</v>
      </c>
      <c r="AZ53" s="1" cm="1">
        <f t="array" ref="AZ53">OptionTheta("P",$E53,100,AZ$50,0.01,0.3,0)</f>
        <v>-4.5899814123710808E-3</v>
      </c>
      <c r="BA53" s="1" cm="1">
        <f t="array" ref="BA53">OptionTheta("P",$E53,100,BA$50,0.01,0.3,0)</f>
        <v>-4.0289076836800327E-3</v>
      </c>
      <c r="BB53" s="1" cm="1">
        <f t="array" ref="BB53">OptionTheta("P",$E53,100,BB$50,0.01,0.3,0)</f>
        <v>-3.4956615477670268E-3</v>
      </c>
      <c r="BC53" s="1" cm="1">
        <f t="array" ref="BC53">OptionTheta("P",$E53,100,BC$50,0.01,0.3,0)</f>
        <v>-3.0461439603659685E-3</v>
      </c>
    </row>
    <row r="54" spans="3:55" x14ac:dyDescent="0.3">
      <c r="E54" s="2">
        <f t="shared" si="15"/>
        <v>75</v>
      </c>
      <c r="F54" s="1" cm="1">
        <f t="array" ref="F54">OptionTheta("P",$E54,100,F$50,0.01,0.2,0)</f>
        <v>2.7359479027115495E-3</v>
      </c>
      <c r="G54" s="1" cm="1">
        <f t="array" ref="G54">OptionTheta("P",$E54,100,G$50,0.01,0.2,0)</f>
        <v>2.6039411944277975E-3</v>
      </c>
      <c r="H54" s="1" cm="1">
        <f t="array" ref="H54">OptionTheta("P",$E54,100,H$50,0.01,0.2,0)</f>
        <v>2.1321410984476998E-3</v>
      </c>
      <c r="I54" s="1" cm="1">
        <f t="array" ref="I54">OptionTheta("P",$E54,100,I$50,0.01,0.2,0)</f>
        <v>1.4944162689969106E-3</v>
      </c>
      <c r="J54" s="1" cm="1">
        <f t="array" ref="J54">OptionTheta("P",$E54,100,J$50,0.01,0.2,0)</f>
        <v>8.6688433771052226E-4</v>
      </c>
      <c r="K54" s="1" cm="1">
        <f t="array" ref="K54">OptionTheta("P",$E54,100,K$50,0.01,0.2,0)</f>
        <v>3.185721391347315E-4</v>
      </c>
      <c r="L54" s="1" cm="1">
        <f t="array" ref="L54">OptionTheta("P",$E54,100,L$50,0.01,0.2,0)</f>
        <v>-1.3736968218990028E-4</v>
      </c>
      <c r="M54" s="1" cm="1">
        <f t="array" ref="M54">OptionTheta("P",$E54,100,M$50,0.01,0.2,0)</f>
        <v>-5.0836527146027048E-4</v>
      </c>
      <c r="N54" s="1" cm="1">
        <f t="array" ref="N54">OptionTheta("P",$E54,100,N$50,0.01,0.2,0)</f>
        <v>-8.0736803854946748E-4</v>
      </c>
      <c r="O54" s="1" cm="1">
        <f t="array" ref="O54">OptionTheta("P",$E54,100,O$50,0.01,0.2,0)</f>
        <v>-1.0473414030026421E-3</v>
      </c>
      <c r="P54" s="1" cm="1">
        <f t="array" ref="P54">OptionTheta("P",$E54,100,P$50,0.01,0.2,0)</f>
        <v>-1.8783454086114145E-3</v>
      </c>
      <c r="Q54" s="1" cm="1">
        <f t="array" ref="Q54">OptionTheta("P",$E54,100,Q$50,0.01,0.2,0)</f>
        <v>-1.8402756750863318E-3</v>
      </c>
      <c r="R54" s="1" cm="1">
        <f t="array" ref="R54">OptionTheta("P",$E54,100,R$50,0.01,0.2,0)</f>
        <v>-1.6647853649347716E-3</v>
      </c>
      <c r="S54" s="1" cm="1">
        <f t="array" ref="S54">OptionTheta("P",$E54,100,S$50,0.01,0.2,0)</f>
        <v>-1.4768536767150327E-3</v>
      </c>
      <c r="W54" s="2">
        <f t="shared" si="16"/>
        <v>75</v>
      </c>
      <c r="X54" s="1" cm="1">
        <f t="array" ref="X54">OptionTheta("P",$E54,100,X$50,0.01,0.1,0)</f>
        <v>2.73698767077637E-3</v>
      </c>
      <c r="Y54" s="1" cm="1">
        <f t="array" ref="Y54">OptionTheta("P",$E54,100,Y$50,0.01,0.1,0)</f>
        <v>2.7342520363935318E-3</v>
      </c>
      <c r="Z54" s="1" cm="1">
        <f t="array" ref="Z54">OptionTheta("P",$E54,100,Z$50,0.01,0.1,0)</f>
        <v>2.7315071899205821E-3</v>
      </c>
      <c r="AA54" s="1" cm="1">
        <f t="array" ref="AA54">OptionTheta("P",$E54,100,AA$50,0.01,0.1,0)</f>
        <v>2.7284611230269612E-3</v>
      </c>
      <c r="AB54" s="1" cm="1">
        <f t="array" ref="AB54">OptionTheta("P",$E54,100,AB$50,0.01,0.1,0)</f>
        <v>2.7237278178330292E-3</v>
      </c>
      <c r="AC54" s="1" cm="1">
        <f t="array" ref="AC54">OptionTheta("P",$E54,100,AC$50,0.01,0.1,0)</f>
        <v>2.7148318641840598E-3</v>
      </c>
      <c r="AD54" s="1" cm="1">
        <f t="array" ref="AD54">OptionTheta("P",$E54,100,AD$50,0.01,0.1,0)</f>
        <v>2.6994214207331228E-3</v>
      </c>
      <c r="AE54" s="1" cm="1">
        <f t="array" ref="AE54">OptionTheta("P",$E54,100,AE$50,0.01,0.1,0)</f>
        <v>2.6761909237987382E-3</v>
      </c>
      <c r="AF54" s="1" cm="1">
        <f t="array" ref="AF54">OptionTheta("P",$E54,100,AF$50,0.01,0.1,0)</f>
        <v>2.6449970054799226E-3</v>
      </c>
      <c r="AG54" s="1" cm="1">
        <f t="array" ref="AG54">OptionTheta("P",$E54,100,AG$50,0.01,0.1,0)</f>
        <v>2.6065398030953174E-3</v>
      </c>
      <c r="AH54" s="1" cm="1">
        <f t="array" ref="AH54">OptionTheta("P",$E54,100,AH$50,0.01,0.1,0)</f>
        <v>2.0678267632014743E-3</v>
      </c>
      <c r="AI54" s="1" cm="1">
        <f t="array" ref="AI54">OptionTheta("P",$E54,100,AI$50,0.01,0.1,0)</f>
        <v>1.6185935558991307E-3</v>
      </c>
      <c r="AJ54" s="1" cm="1">
        <f t="array" ref="AJ54">OptionTheta("P",$E54,100,AJ$50,0.01,0.1,0)</f>
        <v>1.3223751747173382E-3</v>
      </c>
      <c r="AK54" s="1" cm="1">
        <f t="array" ref="AK54">OptionTheta("P",$E54,100,AK$50,0.01,0.1,0)</f>
        <v>1.1272042761236863E-3</v>
      </c>
      <c r="AO54" s="2">
        <f t="shared" si="17"/>
        <v>75</v>
      </c>
      <c r="AP54" s="1" cm="1">
        <f t="array" ref="AP54">OptionTheta("P",$E54,100,AP$50,0.01,0.3,0)</f>
        <v>2.267845244253725E-3</v>
      </c>
      <c r="AQ54" s="1" cm="1">
        <f t="array" ref="AQ54">OptionTheta("P",$E54,100,AQ$50,0.01,0.3,0)</f>
        <v>-5.83099962366826E-4</v>
      </c>
      <c r="AR54" s="1" cm="1">
        <f t="array" ref="AR54">OptionTheta("P",$E54,100,AR$50,0.01,0.3,0)</f>
        <v>-3.1148094078443734E-3</v>
      </c>
      <c r="AS54" s="1" cm="1">
        <f t="array" ref="AS54">OptionTheta("P",$E54,100,AS$50,0.01,0.3,0)</f>
        <v>-4.7178424611457942E-3</v>
      </c>
      <c r="AT54" s="1" cm="1">
        <f t="array" ref="AT54">OptionTheta("P",$E54,100,AT$50,0.01,0.3,0)</f>
        <v>-5.675157963179335E-3</v>
      </c>
      <c r="AU54" s="1" cm="1">
        <f t="array" ref="AU54">OptionTheta("P",$E54,100,AU$50,0.01,0.3,0)</f>
        <v>-6.234206160008234E-3</v>
      </c>
      <c r="AV54" s="1" cm="1">
        <f t="array" ref="AV54">OptionTheta("P",$E54,100,AV$50,0.01,0.3,0)</f>
        <v>-6.5484363729721769E-3</v>
      </c>
      <c r="AW54" s="1" cm="1">
        <f t="array" ref="AW54">OptionTheta("P",$E54,100,AW$50,0.01,0.3,0)</f>
        <v>-6.7094183334425852E-3</v>
      </c>
      <c r="AX54" s="1" cm="1">
        <f t="array" ref="AX54">OptionTheta("P",$E54,100,AX$50,0.01,0.3,0)</f>
        <v>-6.7725572685451004E-3</v>
      </c>
      <c r="AY54" s="1" cm="1">
        <f t="array" ref="AY54">OptionTheta("P",$E54,100,AY$50,0.01,0.3,0)</f>
        <v>-6.7722260036492243E-3</v>
      </c>
      <c r="AZ54" s="1" cm="1">
        <f t="array" ref="AZ54">OptionTheta("P",$E54,100,AZ$50,0.01,0.3,0)</f>
        <v>-5.8152160697901049E-3</v>
      </c>
      <c r="BA54" s="1" cm="1">
        <f t="array" ref="BA54">OptionTheta("P",$E54,100,BA$50,0.01,0.3,0)</f>
        <v>-4.8432822093258448E-3</v>
      </c>
      <c r="BB54" s="1" cm="1">
        <f t="array" ref="BB54">OptionTheta("P",$E54,100,BB$50,0.01,0.3,0)</f>
        <v>-4.1032358554313119E-3</v>
      </c>
      <c r="BC54" s="1" cm="1">
        <f t="array" ref="BC54">OptionTheta("P",$E54,100,BC$50,0.01,0.3,0)</f>
        <v>-3.5308963437030113E-3</v>
      </c>
    </row>
    <row r="55" spans="3:55" x14ac:dyDescent="0.3">
      <c r="E55" s="2">
        <f t="shared" si="15"/>
        <v>80</v>
      </c>
      <c r="F55" s="1" cm="1">
        <f t="array" ref="F55">OptionTheta("P",$E55,100,F$50,0.01,0.2,0)</f>
        <v>2.6717645775621779E-3</v>
      </c>
      <c r="G55" s="1" cm="1">
        <f t="array" ref="G55">OptionTheta("P",$E55,100,G$50,0.01,0.2,0)</f>
        <v>1.6916127881992887E-3</v>
      </c>
      <c r="H55" s="1" cm="1">
        <f t="array" ref="H55">OptionTheta("P",$E55,100,H$50,0.01,0.2,0)</f>
        <v>3.1601953838322728E-4</v>
      </c>
      <c r="I55" s="1" cm="1">
        <f t="array" ref="I55">OptionTheta("P",$E55,100,I$50,0.01,0.2,0)</f>
        <v>-8.0282702751496946E-4</v>
      </c>
      <c r="J55" s="1" cm="1">
        <f t="array" ref="J55">OptionTheta("P",$E55,100,J$50,0.01,0.2,0)</f>
        <v>-1.6057693434508638E-3</v>
      </c>
      <c r="K55" s="1" cm="1">
        <f t="array" ref="K55">OptionTheta("P",$E55,100,K$50,0.01,0.2,0)</f>
        <v>-2.1635647121954257E-3</v>
      </c>
      <c r="L55" s="1" cm="1">
        <f t="array" ref="L55">OptionTheta("P",$E55,100,L$50,0.01,0.2,0)</f>
        <v>-2.5473518305614883E-3</v>
      </c>
      <c r="M55" s="1" cm="1">
        <f t="array" ref="M55">OptionTheta("P",$E55,100,M$50,0.01,0.2,0)</f>
        <v>-2.8096338385570309E-3</v>
      </c>
      <c r="N55" s="1" cm="1">
        <f t="array" ref="N55">OptionTheta("P",$E55,100,N$50,0.01,0.2,0)</f>
        <v>-2.9866838245830654E-3</v>
      </c>
      <c r="O55" s="1" cm="1">
        <f t="array" ref="O55">OptionTheta("P",$E55,100,O$50,0.01,0.2,0)</f>
        <v>-3.1032982462020553E-3</v>
      </c>
      <c r="P55" s="1" cm="1">
        <f t="array" ref="P55">OptionTheta("P",$E55,100,P$50,0.01,0.2,0)</f>
        <v>-3.0735485480211373E-3</v>
      </c>
      <c r="Q55" s="1" cm="1">
        <f t="array" ref="Q55">OptionTheta("P",$E55,100,Q$50,0.01,0.2,0)</f>
        <v>-2.6481740627990365E-3</v>
      </c>
      <c r="R55" s="1" cm="1">
        <f t="array" ref="R55">OptionTheta("P",$E55,100,R$50,0.01,0.2,0)</f>
        <v>-2.2687752121636393E-3</v>
      </c>
      <c r="S55" s="1" cm="1">
        <f t="array" ref="S55">OptionTheta("P",$E55,100,S$50,0.01,0.2,0)</f>
        <v>-1.9577605248443197E-3</v>
      </c>
      <c r="W55" s="2">
        <f t="shared" si="16"/>
        <v>80</v>
      </c>
      <c r="X55" s="1" cm="1">
        <f t="array" ref="X55">OptionTheta("P",$E55,100,X$50,0.01,0.1,0)</f>
        <v>2.736987670476494E-3</v>
      </c>
      <c r="Y55" s="1" cm="1">
        <f t="array" ref="Y55">OptionTheta("P",$E55,100,Y$50,0.01,0.1,0)</f>
        <v>2.7341976247177123E-3</v>
      </c>
      <c r="Z55" s="1" cm="1">
        <f t="array" ref="Z55">OptionTheta("P",$E55,100,Z$50,0.01,0.1,0)</f>
        <v>2.7286820572850743E-3</v>
      </c>
      <c r="AA55" s="1" cm="1">
        <f t="array" ref="AA55">OptionTheta("P",$E55,100,AA$50,0.01,0.1,0)</f>
        <v>2.7090935228917747E-3</v>
      </c>
      <c r="AB55" s="1" cm="1">
        <f t="array" ref="AB55">OptionTheta("P",$E55,100,AB$50,0.01,0.1,0)</f>
        <v>2.6644938675962912E-3</v>
      </c>
      <c r="AC55" s="1" cm="1">
        <f t="array" ref="AC55">OptionTheta("P",$E55,100,AC$50,0.01,0.1,0)</f>
        <v>2.5936484049536909E-3</v>
      </c>
      <c r="AD55" s="1" cm="1">
        <f t="array" ref="AD55">OptionTheta("P",$E55,100,AD$50,0.01,0.1,0)</f>
        <v>2.5020883547780511E-3</v>
      </c>
      <c r="AE55" s="1" cm="1">
        <f t="array" ref="AE55">OptionTheta("P",$E55,100,AE$50,0.01,0.1,0)</f>
        <v>2.3971621675453018E-3</v>
      </c>
      <c r="AF55" s="1" cm="1">
        <f t="array" ref="AF55">OptionTheta("P",$E55,100,AF$50,0.01,0.1,0)</f>
        <v>2.2854220194747287E-3</v>
      </c>
      <c r="AG55" s="1" cm="1">
        <f t="array" ref="AG55">OptionTheta("P",$E55,100,AG$50,0.01,0.1,0)</f>
        <v>2.1718412619782853E-3</v>
      </c>
      <c r="AH55" s="1" cm="1">
        <f t="array" ref="AH55">OptionTheta("P",$E55,100,AH$50,0.01,0.1,0)</f>
        <v>1.2919784888695642E-3</v>
      </c>
      <c r="AI55" s="1" cm="1">
        <f t="array" ref="AI55">OptionTheta("P",$E55,100,AI$50,0.01,0.1,0)</f>
        <v>8.663592203983862E-4</v>
      </c>
      <c r="AJ55" s="1" cm="1">
        <f t="array" ref="AJ55">OptionTheta("P",$E55,100,AJ$50,0.01,0.1,0)</f>
        <v>6.5728157328434633E-4</v>
      </c>
      <c r="AK55" s="1" cm="1">
        <f t="array" ref="AK55">OptionTheta("P",$E55,100,AK$50,0.01,0.1,0)</f>
        <v>5.4681790955094466E-4</v>
      </c>
      <c r="AO55" s="2">
        <f t="shared" si="17"/>
        <v>80</v>
      </c>
      <c r="AP55" s="1" cm="1">
        <f t="array" ref="AP55">OptionTheta("P",$E55,100,AP$50,0.01,0.3,0)</f>
        <v>-2.7090178978859671E-4</v>
      </c>
      <c r="AQ55" s="1" cm="1">
        <f t="array" ref="AQ55">OptionTheta("P",$E55,100,AQ$50,0.01,0.3,0)</f>
        <v>-5.7851869838675104E-3</v>
      </c>
      <c r="AR55" s="1" cm="1">
        <f t="array" ref="AR55">OptionTheta("P",$E55,100,AR$50,0.01,0.3,0)</f>
        <v>-8.339773500277349E-3</v>
      </c>
      <c r="AS55" s="1" cm="1">
        <f t="array" ref="AS55">OptionTheta("P",$E55,100,AS$50,0.01,0.3,0)</f>
        <v>-9.3825530410515424E-3</v>
      </c>
      <c r="AT55" s="1" cm="1">
        <f t="array" ref="AT55">OptionTheta("P",$E55,100,AT$50,0.01,0.3,0)</f>
        <v>-9.7467482514543222E-3</v>
      </c>
      <c r="AU55" s="1" cm="1">
        <f t="array" ref="AU55">OptionTheta("P",$E55,100,AU$50,0.01,0.3,0)</f>
        <v>-9.7915806579623923E-3</v>
      </c>
      <c r="AV55" s="1" cm="1">
        <f t="array" ref="AV55">OptionTheta("P",$E55,100,AV$50,0.01,0.3,0)</f>
        <v>-9.6800549519099246E-3</v>
      </c>
      <c r="AW55" s="1" cm="1">
        <f t="array" ref="AW55">OptionTheta("P",$E55,100,AW$50,0.01,0.3,0)</f>
        <v>-9.4912859727681338E-3</v>
      </c>
      <c r="AX55" s="1" cm="1">
        <f t="array" ref="AX55">OptionTheta("P",$E55,100,AX$50,0.01,0.3,0)</f>
        <v>-9.2658243416587748E-3</v>
      </c>
      <c r="AY55" s="1" cm="1">
        <f t="array" ref="AY55">OptionTheta("P",$E55,100,AY$50,0.01,0.3,0)</f>
        <v>-9.0252805526068059E-3</v>
      </c>
      <c r="AZ55" s="1" cm="1">
        <f t="array" ref="AZ55">OptionTheta("P",$E55,100,AZ$50,0.01,0.3,0)</f>
        <v>-6.9222797166401534E-3</v>
      </c>
      <c r="BA55" s="1" cm="1">
        <f t="array" ref="BA55">OptionTheta("P",$E55,100,BA$50,0.01,0.3,0)</f>
        <v>-5.5679799070449086E-3</v>
      </c>
      <c r="BB55" s="1" cm="1">
        <f t="array" ref="BB55">OptionTheta("P",$E55,100,BB$50,0.01,0.3,0)</f>
        <v>-4.642893532532502E-3</v>
      </c>
      <c r="BC55" s="1" cm="1">
        <f t="array" ref="BC55">OptionTheta("P",$E55,100,BC$50,0.01,0.3,0)</f>
        <v>-3.9623797492219512E-3</v>
      </c>
    </row>
    <row r="56" spans="3:55" x14ac:dyDescent="0.3">
      <c r="E56" s="2">
        <f t="shared" si="15"/>
        <v>85</v>
      </c>
      <c r="F56" s="1" cm="1">
        <f t="array" ref="F56">OptionTheta("P",$E56,100,F$50,0.01,0.2,0)</f>
        <v>1.5028967980634915E-3</v>
      </c>
      <c r="G56" s="1" cm="1">
        <f t="array" ref="G56">OptionTheta("P",$E56,100,G$50,0.01,0.2,0)</f>
        <v>-1.8490017602469807E-3</v>
      </c>
      <c r="H56" s="1" cm="1">
        <f t="array" ref="H56">OptionTheta("P",$E56,100,H$50,0.01,0.2,0)</f>
        <v>-3.8003837784603184E-3</v>
      </c>
      <c r="I56" s="1" cm="1">
        <f t="array" ref="I56">OptionTheta("P",$E56,100,I$50,0.01,0.2,0)</f>
        <v>-4.7642125812214931E-3</v>
      </c>
      <c r="J56" s="1" cm="1">
        <f t="array" ref="J56">OptionTheta("P",$E56,100,J$50,0.01,0.2,0)</f>
        <v>-5.2215040062623076E-3</v>
      </c>
      <c r="K56" s="1" cm="1">
        <f t="array" ref="K56">OptionTheta("P",$E56,100,K$50,0.01,0.2,0)</f>
        <v>-5.4157270600014443E-3</v>
      </c>
      <c r="L56" s="1" cm="1">
        <f t="array" ref="L56">OptionTheta("P",$E56,100,L$50,0.01,0.2,0)</f>
        <v>-5.4679490114194545E-3</v>
      </c>
      <c r="M56" s="1" cm="1">
        <f t="array" ref="M56">OptionTheta("P",$E56,100,M$50,0.01,0.2,0)</f>
        <v>-5.4411906845027802E-3</v>
      </c>
      <c r="N56" s="1" cm="1">
        <f t="array" ref="N56">OptionTheta("P",$E56,100,N$50,0.01,0.2,0)</f>
        <v>-5.3698786361846941E-3</v>
      </c>
      <c r="O56" s="1" cm="1">
        <f t="array" ref="O56">OptionTheta("P",$E56,100,O$50,0.01,0.2,0)</f>
        <v>-5.27360248654999E-3</v>
      </c>
      <c r="P56" s="1" cm="1">
        <f t="array" ref="P56">OptionTheta("P",$E56,100,P$50,0.01,0.2,0)</f>
        <v>-4.1627151007786675E-3</v>
      </c>
      <c r="Q56" s="1" cm="1">
        <f t="array" ref="Q56">OptionTheta("P",$E56,100,Q$50,0.01,0.2,0)</f>
        <v>-3.3577084508555448E-3</v>
      </c>
      <c r="R56" s="1" cm="1">
        <f t="array" ref="R56">OptionTheta("P",$E56,100,R$50,0.01,0.2,0)</f>
        <v>-2.793085587726426E-3</v>
      </c>
      <c r="S56" s="1" cm="1">
        <f t="array" ref="S56">OptionTheta("P",$E56,100,S$50,0.01,0.2,0)</f>
        <v>-2.3740436737532339E-3</v>
      </c>
      <c r="W56" s="2">
        <f t="shared" si="16"/>
        <v>85</v>
      </c>
      <c r="X56" s="1" cm="1">
        <f t="array" ref="X56">OptionTheta("P",$E56,100,X$50,0.01,0.1,0)</f>
        <v>2.7369528246241263E-3</v>
      </c>
      <c r="Y56" s="1" cm="1">
        <f t="array" ref="Y56">OptionTheta("P",$E56,100,Y$50,0.01,0.1,0)</f>
        <v>2.7159013792084565E-3</v>
      </c>
      <c r="Z56" s="1" cm="1">
        <f t="array" ref="Z56">OptionTheta("P",$E56,100,Z$50,0.01,0.1,0)</f>
        <v>2.5948863465673098E-3</v>
      </c>
      <c r="AA56" s="1" cm="1">
        <f t="array" ref="AA56">OptionTheta("P",$E56,100,AA$50,0.01,0.1,0)</f>
        <v>2.3699826390183283E-3</v>
      </c>
      <c r="AB56" s="1" cm="1">
        <f t="array" ref="AB56">OptionTheta("P",$E56,100,AB$50,0.01,0.1,0)</f>
        <v>2.0997267541734295E-3</v>
      </c>
      <c r="AC56" s="1" cm="1">
        <f t="array" ref="AC56">OptionTheta("P",$E56,100,AC$50,0.01,0.1,0)</f>
        <v>1.8282638494498769E-3</v>
      </c>
      <c r="AD56" s="1" cm="1">
        <f t="array" ref="AD56">OptionTheta("P",$E56,100,AD$50,0.01,0.1,0)</f>
        <v>1.577065164892637E-3</v>
      </c>
      <c r="AE56" s="1" cm="1">
        <f t="array" ref="AE56">OptionTheta("P",$E56,100,AE$50,0.01,0.1,0)</f>
        <v>1.3537659206208576E-3</v>
      </c>
      <c r="AF56" s="1" cm="1">
        <f t="array" ref="AF56">OptionTheta("P",$E56,100,AF$50,0.01,0.1,0)</f>
        <v>1.159230446943943E-3</v>
      </c>
      <c r="AG56" s="1" cm="1">
        <f t="array" ref="AG56">OptionTheta("P",$E56,100,AG$50,0.01,0.1,0)</f>
        <v>9.9142779139579896E-4</v>
      </c>
      <c r="AH56" s="1" cm="1">
        <f t="array" ref="AH56">OptionTheta("P",$E56,100,AH$50,0.01,0.1,0)</f>
        <v>1.9091013157734264E-4</v>
      </c>
      <c r="AI56" s="1" cm="1">
        <f t="array" ref="AI56">OptionTheta("P",$E56,100,AI$50,0.01,0.1,0)</f>
        <v>3.9807915022645707E-6</v>
      </c>
      <c r="AJ56" s="1" cm="1">
        <f t="array" ref="AJ56">OptionTheta("P",$E56,100,AJ$50,0.01,0.1,0)</f>
        <v>-3.0981516651429796E-5</v>
      </c>
      <c r="AK56" s="1" cm="1">
        <f t="array" ref="AK56">OptionTheta("P",$E56,100,AK$50,0.01,0.1,0)</f>
        <v>-1.9880952650765707E-5</v>
      </c>
      <c r="AO56" s="2">
        <f t="shared" si="17"/>
        <v>85</v>
      </c>
      <c r="AP56" s="1" cm="1">
        <f t="array" ref="AP56">OptionTheta("P",$E56,100,AP$50,0.01,0.3,0)</f>
        <v>-8.573890884554158E-3</v>
      </c>
      <c r="AQ56" s="1" cm="1">
        <f t="array" ref="AQ56">OptionTheta("P",$E56,100,AQ$50,0.01,0.3,0)</f>
        <v>-1.4016398594192977E-2</v>
      </c>
      <c r="AR56" s="1" cm="1">
        <f t="array" ref="AR56">OptionTheta("P",$E56,100,AR$50,0.01,0.3,0)</f>
        <v>-1.4810842710555145E-2</v>
      </c>
      <c r="AS56" s="1" cm="1">
        <f t="array" ref="AS56">OptionTheta("P",$E56,100,AS$50,0.01,0.3,0)</f>
        <v>-1.4500971851656292E-2</v>
      </c>
      <c r="AT56" s="1" cm="1">
        <f t="array" ref="AT56">OptionTheta("P",$E56,100,AT$50,0.01,0.3,0)</f>
        <v>-1.3908163904716506E-2</v>
      </c>
      <c r="AU56" s="1" cm="1">
        <f t="array" ref="AU56">OptionTheta("P",$E56,100,AU$50,0.01,0.3,0)</f>
        <v>-1.3264370046731009E-2</v>
      </c>
      <c r="AV56" s="1" cm="1">
        <f t="array" ref="AV56">OptionTheta("P",$E56,100,AV$50,0.01,0.3,0)</f>
        <v>-1.2642245354374498E-2</v>
      </c>
      <c r="AW56" s="1" cm="1">
        <f t="array" ref="AW56">OptionTheta("P",$E56,100,AW$50,0.01,0.3,0)</f>
        <v>-1.2063740167309683E-2</v>
      </c>
      <c r="AX56" s="1" cm="1">
        <f t="array" ref="AX56">OptionTheta("P",$E56,100,AX$50,0.01,0.3,0)</f>
        <v>-1.1533126908220094E-2</v>
      </c>
      <c r="AY56" s="1" cm="1">
        <f t="array" ref="AY56">OptionTheta("P",$E56,100,AY$50,0.01,0.3,0)</f>
        <v>-1.1048384058422862E-2</v>
      </c>
      <c r="AZ56" s="1" cm="1">
        <f t="array" ref="AZ56">OptionTheta("P",$E56,100,AZ$50,0.01,0.3,0)</f>
        <v>-7.8770067111233154E-3</v>
      </c>
      <c r="BA56" s="1" cm="1">
        <f t="array" ref="BA56">OptionTheta("P",$E56,100,BA$50,0.01,0.3,0)</f>
        <v>-6.1933937146141779E-3</v>
      </c>
      <c r="BB56" s="1" cm="1">
        <f t="array" ref="BB56">OptionTheta("P",$E56,100,BB$50,0.01,0.3,0)</f>
        <v>-5.11190236770547E-3</v>
      </c>
      <c r="BC56" s="1" cm="1">
        <f t="array" ref="BC56">OptionTheta("P",$E56,100,BC$50,0.01,0.3,0)</f>
        <v>-4.3403084589839647E-3</v>
      </c>
    </row>
    <row r="57" spans="3:55" x14ac:dyDescent="0.3">
      <c r="E57" s="2">
        <f t="shared" si="15"/>
        <v>90</v>
      </c>
      <c r="F57" s="1" cm="1">
        <f t="array" ref="F57">OptionTheta("P",$E57,100,F$50,0.01,0.2,0)</f>
        <v>-5.7855324286142451E-3</v>
      </c>
      <c r="G57" s="1" cm="1">
        <f t="array" ref="G57">OptionTheta("P",$E57,100,G$50,0.01,0.2,0)</f>
        <v>-9.448028391835412E-3</v>
      </c>
      <c r="H57" s="1" cm="1">
        <f t="array" ref="H57">OptionTheta("P",$E57,100,H$50,0.01,0.2,0)</f>
        <v>-9.9066528213895035E-3</v>
      </c>
      <c r="I57" s="1" cm="1">
        <f t="array" ref="I57">OptionTheta("P",$E57,100,I$50,0.01,0.2,0)</f>
        <v>-9.6446379181134578E-3</v>
      </c>
      <c r="J57" s="1" cm="1">
        <f t="array" ref="J57">OptionTheta("P",$E57,100,J$50,0.01,0.2,0)</f>
        <v>-9.2099953475645747E-3</v>
      </c>
      <c r="K57" s="1" cm="1">
        <f t="array" ref="K57">OptionTheta("P",$E57,100,K$50,0.01,0.2,0)</f>
        <v>-8.75230159651612E-3</v>
      </c>
      <c r="L57" s="1" cm="1">
        <f t="array" ref="L57">OptionTheta("P",$E57,100,L$50,0.01,0.2,0)</f>
        <v>-8.316396631598456E-3</v>
      </c>
      <c r="M57" s="1" cm="1">
        <f t="array" ref="M57">OptionTheta("P",$E57,100,M$50,0.01,0.2,0)</f>
        <v>-7.914630659693174E-3</v>
      </c>
      <c r="N57" s="1" cm="1">
        <f t="array" ref="N57">OptionTheta("P",$E57,100,N$50,0.01,0.2,0)</f>
        <v>-7.5483910362374399E-3</v>
      </c>
      <c r="O57" s="1" cm="1">
        <f t="array" ref="O57">OptionTheta("P",$E57,100,O$50,0.01,0.2,0)</f>
        <v>-7.2153676469695043E-3</v>
      </c>
      <c r="P57" s="1" cm="1">
        <f t="array" ref="P57">OptionTheta("P",$E57,100,P$50,0.01,0.2,0)</f>
        <v>-5.0644056698343071E-3</v>
      </c>
      <c r="Q57" s="1" cm="1">
        <f t="array" ref="Q57">OptionTheta("P",$E57,100,Q$50,0.01,0.2,0)</f>
        <v>-3.9402410367218527E-3</v>
      </c>
      <c r="R57" s="1" cm="1">
        <f t="array" ref="R57">OptionTheta("P",$E57,100,R$50,0.01,0.2,0)</f>
        <v>-3.2256386306901749E-3</v>
      </c>
      <c r="S57" s="1" cm="1">
        <f t="array" ref="S57">OptionTheta("P",$E57,100,S$50,0.01,0.2,0)</f>
        <v>-2.7202465942149276E-3</v>
      </c>
      <c r="W57" s="2">
        <f t="shared" si="16"/>
        <v>90</v>
      </c>
      <c r="X57" s="1" cm="1">
        <f t="array" ref="X57">OptionTheta("P",$E57,100,X$50,0.01,0.1,0)</f>
        <v>2.6650311675423923E-3</v>
      </c>
      <c r="Y57" s="1" cm="1">
        <f t="array" ref="Y57">OptionTheta("P",$E57,100,Y$50,0.01,0.1,0)</f>
        <v>1.9062783463565623E-3</v>
      </c>
      <c r="Z57" s="1" cm="1">
        <f t="array" ref="Z57">OptionTheta("P",$E57,100,Z$50,0.01,0.1,0)</f>
        <v>1.0044879217009476E-3</v>
      </c>
      <c r="AA57" s="1" cm="1">
        <f t="array" ref="AA57">OptionTheta("P",$E57,100,AA$50,0.01,0.1,0)</f>
        <v>3.2547041196452701E-4</v>
      </c>
      <c r="AB57" s="1" cm="1">
        <f t="array" ref="AB57">OptionTheta("P",$E57,100,AB$50,0.01,0.1,0)</f>
        <v>-1.4214538446385351E-4</v>
      </c>
      <c r="AC57" s="1" cm="1">
        <f t="array" ref="AC57">OptionTheta("P",$E57,100,AC$50,0.01,0.1,0)</f>
        <v>-4.5931398019787419E-4</v>
      </c>
      <c r="AD57" s="1" cm="1">
        <f t="array" ref="AD57">OptionTheta("P",$E57,100,AD$50,0.01,0.1,0)</f>
        <v>-6.7458755172880298E-4</v>
      </c>
      <c r="AE57" s="1" cm="1">
        <f t="array" ref="AE57">OptionTheta("P",$E57,100,AE$50,0.01,0.1,0)</f>
        <v>-8.2082279625593458E-4</v>
      </c>
      <c r="AF57" s="1" cm="1">
        <f t="array" ref="AF57">OptionTheta("P",$E57,100,AF$50,0.01,0.1,0)</f>
        <v>-9.196452233793728E-4</v>
      </c>
      <c r="AG57" s="1" cm="1">
        <f t="array" ref="AG57">OptionTheta("P",$E57,100,AG$50,0.01,0.1,0)</f>
        <v>-9.8537466592099176E-4</v>
      </c>
      <c r="AH57" s="1" cm="1">
        <f t="array" ref="AH57">OptionTheta("P",$E57,100,AH$50,0.01,0.1,0)</f>
        <v>-1.0035977788304662E-3</v>
      </c>
      <c r="AI57" s="1" cm="1">
        <f t="array" ref="AI57">OptionTheta("P",$E57,100,AI$50,0.01,0.1,0)</f>
        <v>-8.1374746930769468E-4</v>
      </c>
      <c r="AJ57" s="1" cm="1">
        <f t="array" ref="AJ57">OptionTheta("P",$E57,100,AJ$50,0.01,0.1,0)</f>
        <v>-6.456819254768185E-4</v>
      </c>
      <c r="AK57" s="1" cm="1">
        <f t="array" ref="AK57">OptionTheta("P",$E57,100,AK$50,0.01,0.1,0)</f>
        <v>-5.1061291300622447E-4</v>
      </c>
      <c r="AO57" s="2">
        <f t="shared" si="17"/>
        <v>90</v>
      </c>
      <c r="AP57" s="1" cm="1">
        <f t="array" ref="AP57">OptionTheta("P",$E57,100,AP$50,0.01,0.3,0)</f>
        <v>-2.4419962812072104E-2</v>
      </c>
      <c r="AQ57" s="1" cm="1">
        <f t="array" ref="AQ57">OptionTheta("P",$E57,100,AQ$50,0.01,0.3,0)</f>
        <v>-2.3580262004253779E-2</v>
      </c>
      <c r="AR57" s="1" cm="1">
        <f t="array" ref="AR57">OptionTheta("P",$E57,100,AR$50,0.01,0.3,0)</f>
        <v>-2.1199827842377981E-2</v>
      </c>
      <c r="AS57" s="1" cm="1">
        <f t="array" ref="AS57">OptionTheta("P",$E57,100,AS$50,0.01,0.3,0)</f>
        <v>-1.9177263898138515E-2</v>
      </c>
      <c r="AT57" s="1" cm="1">
        <f t="array" ref="AT57">OptionTheta("P",$E57,100,AT$50,0.01,0.3,0)</f>
        <v>-1.754860035325875E-2</v>
      </c>
      <c r="AU57" s="1" cm="1">
        <f t="array" ref="AU57">OptionTheta("P",$E57,100,AU$50,0.01,0.3,0)</f>
        <v>-1.622304880111531E-2</v>
      </c>
      <c r="AV57" s="1" cm="1">
        <f t="array" ref="AV57">OptionTheta("P",$E57,100,AV$50,0.01,0.3,0)</f>
        <v>-1.5123564175827881E-2</v>
      </c>
      <c r="AW57" s="1" cm="1">
        <f t="array" ref="AW57">OptionTheta("P",$E57,100,AW$50,0.01,0.3,0)</f>
        <v>-1.4194831439433122E-2</v>
      </c>
      <c r="AX57" s="1" cm="1">
        <f t="array" ref="AX57">OptionTheta("P",$E57,100,AX$50,0.01,0.3,0)</f>
        <v>-1.3397755788800269E-2</v>
      </c>
      <c r="AY57" s="1" cm="1">
        <f t="array" ref="AY57">OptionTheta("P",$E57,100,AY$50,0.01,0.3,0)</f>
        <v>-1.270431425630272E-2</v>
      </c>
      <c r="AZ57" s="1" cm="1">
        <f t="array" ref="AZ57">OptionTheta("P",$E57,100,AZ$50,0.01,0.3,0)</f>
        <v>-8.6597535666043321E-3</v>
      </c>
      <c r="BA57" s="1" cm="1">
        <f t="array" ref="BA57">OptionTheta("P",$E57,100,BA$50,0.01,0.3,0)</f>
        <v>-6.7157658929458451E-3</v>
      </c>
      <c r="BB57" s="1" cm="1">
        <f t="array" ref="BB57">OptionTheta("P",$E57,100,BB$50,0.01,0.3,0)</f>
        <v>-5.5103438614366278E-3</v>
      </c>
      <c r="BC57" s="1" cm="1">
        <f t="array" ref="BC57">OptionTheta("P",$E57,100,BC$50,0.01,0.3,0)</f>
        <v>-4.6659031845194968E-3</v>
      </c>
    </row>
    <row r="58" spans="3:55" x14ac:dyDescent="0.3">
      <c r="E58" s="2">
        <f t="shared" si="15"/>
        <v>95</v>
      </c>
      <c r="F58" s="1" cm="1">
        <f t="array" ref="F58">OptionTheta("P",$E58,100,F$50,0.01,0.2,0)</f>
        <v>-2.2353693340459061E-2</v>
      </c>
      <c r="G58" s="1" cm="1">
        <f t="array" ref="G58">OptionTheta("P",$E58,100,G$50,0.01,0.2,0)</f>
        <v>-1.8443459652378272E-2</v>
      </c>
      <c r="H58" s="1" cm="1">
        <f t="array" ref="H58">OptionTheta("P",$E58,100,H$50,0.01,0.2,0)</f>
        <v>-1.5711393758076779E-2</v>
      </c>
      <c r="I58" s="1" cm="1">
        <f t="array" ref="I58">OptionTheta("P",$E58,100,I$50,0.01,0.2,0)</f>
        <v>-1.3818778486852864E-2</v>
      </c>
      <c r="J58" s="1" cm="1">
        <f t="array" ref="J58">OptionTheta("P",$E58,100,J$50,0.01,0.2,0)</f>
        <v>-1.242393818581145E-2</v>
      </c>
      <c r="K58" s="1" cm="1">
        <f t="array" ref="K58">OptionTheta("P",$E58,100,K$50,0.01,0.2,0)</f>
        <v>-1.1344447678725895E-2</v>
      </c>
      <c r="L58" s="1" cm="1">
        <f t="array" ref="L58">OptionTheta("P",$E58,100,L$50,0.01,0.2,0)</f>
        <v>-1.0477948844249879E-2</v>
      </c>
      <c r="M58" s="1" cm="1">
        <f t="array" ref="M58">OptionTheta("P",$E58,100,M$50,0.01,0.2,0)</f>
        <v>-9.7628174195835919E-3</v>
      </c>
      <c r="N58" s="1" cm="1">
        <f t="array" ref="N58">OptionTheta("P",$E58,100,N$50,0.01,0.2,0)</f>
        <v>-9.1596527495402015E-3</v>
      </c>
      <c r="O58" s="1" cm="1">
        <f t="array" ref="O58">OptionTheta("P",$E58,100,O$50,0.01,0.2,0)</f>
        <v>-8.6420006790627942E-3</v>
      </c>
      <c r="P58" s="1" cm="1">
        <f t="array" ref="P58">OptionTheta("P",$E58,100,P$50,0.01,0.2,0)</f>
        <v>-5.7287656216537565E-3</v>
      </c>
      <c r="Q58" s="1" cm="1">
        <f t="array" ref="Q58">OptionTheta("P",$E58,100,Q$50,0.01,0.2,0)</f>
        <v>-4.3815416867150365E-3</v>
      </c>
      <c r="R58" s="1" cm="1">
        <f t="array" ref="R58">OptionTheta("P",$E58,100,R$50,0.01,0.2,0)</f>
        <v>-3.5619278970186645E-3</v>
      </c>
      <c r="S58" s="1" cm="1">
        <f t="array" ref="S58">OptionTheta("P",$E58,100,S$50,0.01,0.2,0)</f>
        <v>-2.9953265990165325E-3</v>
      </c>
      <c r="W58" s="2">
        <f t="shared" si="16"/>
        <v>95</v>
      </c>
      <c r="X58" s="1" cm="1">
        <f t="array" ref="X58">OptionTheta("P",$E58,100,X$50,0.01,0.1,0)</f>
        <v>-2.1636153371659174E-3</v>
      </c>
      <c r="Y58" s="1" cm="1">
        <f t="array" ref="Y58">OptionTheta("P",$E58,100,Y$50,0.01,0.1,0)</f>
        <v>-4.1022544901929961E-3</v>
      </c>
      <c r="Z58" s="1" cm="1">
        <f t="array" ref="Z58">OptionTheta("P",$E58,100,Z$50,0.01,0.1,0)</f>
        <v>-4.3451879896391739E-3</v>
      </c>
      <c r="AA58" s="1" cm="1">
        <f t="array" ref="AA58">OptionTheta("P",$E58,100,AA$50,0.01,0.1,0)</f>
        <v>-4.2177691109953272E-3</v>
      </c>
      <c r="AB58" s="1" cm="1">
        <f t="array" ref="AB58">OptionTheta("P",$E58,100,AB$50,0.01,0.1,0)</f>
        <v>-4.0029165471530594E-3</v>
      </c>
      <c r="AC58" s="1" cm="1">
        <f t="array" ref="AC58">OptionTheta("P",$E58,100,AC$50,0.01,0.1,0)</f>
        <v>-3.7767023460758852E-3</v>
      </c>
      <c r="AD58" s="1" cm="1">
        <f t="array" ref="AD58">OptionTheta("P",$E58,100,AD$50,0.01,0.1,0)</f>
        <v>-3.5616704406075776E-3</v>
      </c>
      <c r="AE58" s="1" cm="1">
        <f t="array" ref="AE58">OptionTheta("P",$E58,100,AE$50,0.01,0.1,0)</f>
        <v>-3.3639304951682408E-3</v>
      </c>
      <c r="AF58" s="1" cm="1">
        <f t="array" ref="AF58">OptionTheta("P",$E58,100,AF$50,0.01,0.1,0)</f>
        <v>-3.1840977120607054E-3</v>
      </c>
      <c r="AG58" s="1" cm="1">
        <f t="array" ref="AG58">OptionTheta("P",$E58,100,AG$50,0.01,0.1,0)</f>
        <v>-3.020955616388793E-3</v>
      </c>
      <c r="AH58" s="1" cm="1">
        <f t="array" ref="AH58">OptionTheta("P",$E58,100,AH$50,0.01,0.1,0)</f>
        <v>-1.9785491505575929E-3</v>
      </c>
      <c r="AI58" s="1" cm="1">
        <f t="array" ref="AI58">OptionTheta("P",$E58,100,AI$50,0.01,0.1,0)</f>
        <v>-1.4454418941416232E-3</v>
      </c>
      <c r="AJ58" s="1" cm="1">
        <f t="array" ref="AJ58">OptionTheta("P",$E58,100,AJ$50,0.01,0.1,0)</f>
        <v>-1.1136057139535102E-3</v>
      </c>
      <c r="AK58" s="1" cm="1">
        <f t="array" ref="AK58">OptionTheta("P",$E58,100,AK$50,0.01,0.1,0)</f>
        <v>-8.83766533944297E-4</v>
      </c>
      <c r="AO58" s="2">
        <f t="shared" si="17"/>
        <v>95</v>
      </c>
      <c r="AP58" s="1" cm="1">
        <f t="array" ref="AP58">OptionTheta("P",$E58,100,AP$50,0.01,0.3,0)</f>
        <v>-4.1870757903526894E-2</v>
      </c>
      <c r="AQ58" s="1" cm="1">
        <f t="array" ref="AQ58">OptionTheta("P",$E58,100,AQ$50,0.01,0.3,0)</f>
        <v>-3.1464743470104958E-2</v>
      </c>
      <c r="AR58" s="1" cm="1">
        <f t="array" ref="AR58">OptionTheta("P",$E58,100,AR$50,0.01,0.3,0)</f>
        <v>-2.6039697627186276E-2</v>
      </c>
      <c r="AS58" s="1" cm="1">
        <f t="array" ref="AS58">OptionTheta("P",$E58,100,AS$50,0.01,0.3,0)</f>
        <v>-2.2602952623713191E-2</v>
      </c>
      <c r="AT58" s="1" cm="1">
        <f t="array" ref="AT58">OptionTheta("P",$E58,100,AT$50,0.01,0.3,0)</f>
        <v>-2.0178833020453056E-2</v>
      </c>
      <c r="AU58" s="1" cm="1">
        <f t="array" ref="AU58">OptionTheta("P",$E58,100,AU$50,0.01,0.3,0)</f>
        <v>-1.8350925175206326E-2</v>
      </c>
      <c r="AV58" s="1" cm="1">
        <f t="array" ref="AV58">OptionTheta("P",$E58,100,AV$50,0.01,0.3,0)</f>
        <v>-1.6908551879349875E-2</v>
      </c>
      <c r="AW58" s="1" cm="1">
        <f t="array" ref="AW58">OptionTheta("P",$E58,100,AW$50,0.01,0.3,0)</f>
        <v>-1.573234892636638E-2</v>
      </c>
      <c r="AX58" s="1" cm="1">
        <f t="array" ref="AX58">OptionTheta("P",$E58,100,AX$50,0.01,0.3,0)</f>
        <v>-1.4749006934609021E-2</v>
      </c>
      <c r="AY58" s="1" cm="1">
        <f t="array" ref="AY58">OptionTheta("P",$E58,100,AY$50,0.01,0.3,0)</f>
        <v>-1.3910697069792694E-2</v>
      </c>
      <c r="AZ58" s="1" cm="1">
        <f t="array" ref="AZ58">OptionTheta("P",$E58,100,AZ$50,0.01,0.3,0)</f>
        <v>-9.2634511225849897E-3</v>
      </c>
      <c r="BA58" s="1" cm="1">
        <f t="array" ref="BA58">OptionTheta("P",$E58,100,BA$50,0.01,0.3,0)</f>
        <v>-7.1358951220000201E-3</v>
      </c>
      <c r="BB58" s="1" cm="1">
        <f t="array" ref="BB58">OptionTheta("P",$E58,100,BB$50,0.01,0.3,0)</f>
        <v>-5.8403608063196241E-3</v>
      </c>
      <c r="BC58" s="1" cm="1">
        <f t="array" ref="BC58">OptionTheta("P",$E58,100,BC$50,0.01,0.3,0)</f>
        <v>-4.941434056051343E-3</v>
      </c>
    </row>
    <row r="59" spans="3:55" x14ac:dyDescent="0.3">
      <c r="E59" s="2">
        <f t="shared" si="15"/>
        <v>100</v>
      </c>
      <c r="F59" s="1" cm="1">
        <f t="array" ref="F59">OptionTheta("P",$E59,100,F$50,0.01,0.2,0)</f>
        <v>-3.3138839605564345E-2</v>
      </c>
      <c r="G59" s="1" cm="1">
        <f t="array" ref="G59">OptionTheta("P",$E59,100,G$50,0.01,0.2,0)</f>
        <v>-2.2993612858065116E-2</v>
      </c>
      <c r="H59" s="1" cm="1">
        <f t="array" ref="H59">OptionTheta("P",$E59,100,H$50,0.01,0.2,0)</f>
        <v>-1.849238810150582E-2</v>
      </c>
      <c r="I59" s="1" cm="1">
        <f t="array" ref="I59">OptionTheta("P",$E59,100,I$50,0.01,0.2,0)</f>
        <v>-1.5805322284266579E-2</v>
      </c>
      <c r="J59" s="1" cm="1">
        <f t="array" ref="J59">OptionTheta("P",$E59,100,J$50,0.01,0.2,0)</f>
        <v>-1.3969072746898376E-2</v>
      </c>
      <c r="K59" s="1" cm="1">
        <f t="array" ref="K59">OptionTheta("P",$E59,100,K$50,0.01,0.2,0)</f>
        <v>-1.2611812053725156E-2</v>
      </c>
      <c r="L59" s="1" cm="1">
        <f t="array" ref="L59">OptionTheta("P",$E59,100,L$50,0.01,0.2,0)</f>
        <v>-1.155558812334685E-2</v>
      </c>
      <c r="M59" s="1" cm="1">
        <f t="array" ref="M59">OptionTheta("P",$E59,100,M$50,0.01,0.2,0)</f>
        <v>-1.0703119067116943E-2</v>
      </c>
      <c r="N59" s="1" cm="1">
        <f t="array" ref="N59">OptionTheta("P",$E59,100,N$50,0.01,0.2,0)</f>
        <v>-9.9961389805360654E-3</v>
      </c>
      <c r="O59" s="1" cm="1">
        <f t="array" ref="O59">OptionTheta("P",$E59,100,O$50,0.01,0.2,0)</f>
        <v>-9.3973369336955298E-3</v>
      </c>
      <c r="P59" s="1" cm="1">
        <f t="array" ref="P59">OptionTheta("P",$E59,100,P$50,0.01,0.2,0)</f>
        <v>-6.138241400135685E-3</v>
      </c>
      <c r="Q59" s="1" cm="1">
        <f t="array" ref="Q59">OptionTheta("P",$E59,100,Q$50,0.01,0.2,0)</f>
        <v>-4.6798522776267957E-3</v>
      </c>
      <c r="R59" s="1" cm="1">
        <f t="array" ref="R59">OptionTheta("P",$E59,100,R$50,0.01,0.2,0)</f>
        <v>-3.8035018966751022E-3</v>
      </c>
      <c r="S59" s="1" cm="1">
        <f t="array" ref="S59">OptionTheta("P",$E59,100,S$50,0.01,0.2,0)</f>
        <v>-3.2015978564393908E-3</v>
      </c>
      <c r="W59" s="2">
        <f t="shared" si="16"/>
        <v>100</v>
      </c>
      <c r="X59" s="1" cm="1">
        <f t="array" ref="X59">OptionTheta("P",$E59,100,X$50,0.01,0.1,0)</f>
        <v>-1.5911068490866903E-2</v>
      </c>
      <c r="Y59" s="1" cm="1">
        <f t="array" ref="Y59">OptionTheta("P",$E59,100,Y$50,0.01,0.1,0)</f>
        <v>-1.0849827205252866E-2</v>
      </c>
      <c r="Z59" s="1" cm="1">
        <f t="array" ref="Z59">OptionTheta("P",$E59,100,Z$50,0.01,0.1,0)</f>
        <v>-8.60807341901265E-3</v>
      </c>
      <c r="AA59" s="1" cm="1">
        <f t="array" ref="AA59">OptionTheta("P",$E59,100,AA$50,0.01,0.1,0)</f>
        <v>-7.2720935063408229E-3</v>
      </c>
      <c r="AB59" s="1" cm="1">
        <f t="array" ref="AB59">OptionTheta("P",$E59,100,AB$50,0.01,0.1,0)</f>
        <v>-6.3606845464254458E-3</v>
      </c>
      <c r="AC59" s="1" cm="1">
        <f t="array" ref="AC59">OptionTheta("P",$E59,100,AC$50,0.01,0.1,0)</f>
        <v>-5.6881733161267493E-3</v>
      </c>
      <c r="AD59" s="1" cm="1">
        <f t="array" ref="AD59">OptionTheta("P",$E59,100,AD$50,0.01,0.1,0)</f>
        <v>-5.1657267958832029E-3</v>
      </c>
      <c r="AE59" s="1" cm="1">
        <f t="array" ref="AE59">OptionTheta("P",$E59,100,AE$50,0.01,0.1,0)</f>
        <v>-4.7447973290473998E-3</v>
      </c>
      <c r="AF59" s="1" cm="1">
        <f t="array" ref="AF59">OptionTheta("P",$E59,100,AF$50,0.01,0.1,0)</f>
        <v>-4.3963168317399841E-3</v>
      </c>
      <c r="AG59" s="1" cm="1">
        <f t="array" ref="AG59">OptionTheta("P",$E59,100,AG$50,0.01,0.1,0)</f>
        <v>-4.1016771207405441E-3</v>
      </c>
      <c r="AH59" s="1" cm="1">
        <f t="array" ref="AH59">OptionTheta("P",$E59,100,AH$50,0.01,0.1,0)</f>
        <v>-2.5112909331076955E-3</v>
      </c>
      <c r="AI59" s="1" cm="1">
        <f t="array" ref="AI59">OptionTheta("P",$E59,100,AI$50,0.01,0.1,0)</f>
        <v>-1.8128530149686235E-3</v>
      </c>
      <c r="AJ59" s="1" cm="1">
        <f t="array" ref="AJ59">OptionTheta("P",$E59,100,AJ$50,0.01,0.1,0)</f>
        <v>-1.4009342041512206E-3</v>
      </c>
      <c r="AK59" s="1" cm="1">
        <f t="array" ref="AK59">OptionTheta("P",$E59,100,AK$50,0.01,0.1,0)</f>
        <v>-1.1232701094255546E-3</v>
      </c>
      <c r="AO59" s="2">
        <f t="shared" si="17"/>
        <v>100</v>
      </c>
      <c r="AP59" s="1" cm="1">
        <f t="array" ref="AP59">OptionTheta("P",$E59,100,AP$50,0.01,0.3,0)</f>
        <v>-5.0349364829210229E-2</v>
      </c>
      <c r="AQ59" s="1" cm="1">
        <f t="array" ref="AQ59">OptionTheta("P",$E59,100,AQ$50,0.01,0.3,0)</f>
        <v>-3.5113059731644601E-2</v>
      </c>
      <c r="AR59" s="1" cm="1">
        <f t="array" ref="AR59">OptionTheta("P",$E59,100,AR$50,0.01,0.3,0)</f>
        <v>-2.8346955843910376E-2</v>
      </c>
      <c r="AS59" s="1" cm="1">
        <f t="array" ref="AS59">OptionTheta("P",$E59,100,AS$50,0.01,0.3,0)</f>
        <v>-2.4304273552138919E-2</v>
      </c>
      <c r="AT59" s="1" cm="1">
        <f t="array" ref="AT59">OptionTheta("P",$E59,100,AT$50,0.01,0.3,0)</f>
        <v>-2.1539217098377639E-2</v>
      </c>
      <c r="AU59" s="1" cm="1">
        <f t="array" ref="AU59">OptionTheta("P",$E59,100,AU$50,0.01,0.3,0)</f>
        <v>-1.9493643766713562E-2</v>
      </c>
      <c r="AV59" s="1" cm="1">
        <f t="array" ref="AV59">OptionTheta("P",$E59,100,AV$50,0.01,0.3,0)</f>
        <v>-1.7900386521683777E-2</v>
      </c>
      <c r="AW59" s="1" cm="1">
        <f t="array" ref="AW59">OptionTheta("P",$E59,100,AW$50,0.01,0.3,0)</f>
        <v>-1.6613366626398847E-2</v>
      </c>
      <c r="AX59" s="1" cm="1">
        <f t="array" ref="AX59">OptionTheta("P",$E59,100,AX$50,0.01,0.3,0)</f>
        <v>-1.5545076766806422E-2</v>
      </c>
      <c r="AY59" s="1" cm="1">
        <f t="array" ref="AY59">OptionTheta("P",$E59,100,AY$50,0.01,0.3,0)</f>
        <v>-1.4639471459594581E-2</v>
      </c>
      <c r="AZ59" s="1" cm="1">
        <f t="array" ref="AZ59">OptionTheta("P",$E59,100,AZ$50,0.01,0.3,0)</f>
        <v>-9.6910578274231E-3</v>
      </c>
      <c r="BA59" s="1" cm="1">
        <f t="array" ref="BA59">OptionTheta("P",$E59,100,BA$50,0.01,0.3,0)</f>
        <v>-7.4579358633823419E-3</v>
      </c>
      <c r="BB59" s="1" cm="1">
        <f t="array" ref="BB59">OptionTheta("P",$E59,100,BB$50,0.01,0.3,0)</f>
        <v>-6.1055308041069924E-3</v>
      </c>
      <c r="BC59" s="1" cm="1">
        <f t="array" ref="BC59">OptionTheta("P",$E59,100,BC$50,0.01,0.3,0)</f>
        <v>-5.1698616931810477E-3</v>
      </c>
    </row>
    <row r="60" spans="3:55" x14ac:dyDescent="0.3">
      <c r="E60" s="2">
        <f t="shared" si="15"/>
        <v>105</v>
      </c>
      <c r="F60" s="1" cm="1">
        <f t="array" ref="F60">OptionTheta("P",$E60,100,F$50,0.01,0.2,0)</f>
        <v>-2.5337933274044776E-2</v>
      </c>
      <c r="G60" s="1" cm="1">
        <f t="array" ref="G60">OptionTheta("P",$E60,100,G$50,0.01,0.2,0)</f>
        <v>-2.0450501631154607E-2</v>
      </c>
      <c r="H60" s="1" cm="1">
        <f t="array" ref="H60">OptionTheta("P",$E60,100,H$50,0.01,0.2,0)</f>
        <v>-1.73078842713002E-2</v>
      </c>
      <c r="I60" s="1" cm="1">
        <f t="array" ref="I60">OptionTheta("P",$E60,100,I$50,0.01,0.2,0)</f>
        <v>-1.517994164338104E-2</v>
      </c>
      <c r="J60" s="1" cm="1">
        <f t="array" ref="J60">OptionTheta("P",$E60,100,J$50,0.01,0.2,0)</f>
        <v>-1.3628647635494213E-2</v>
      </c>
      <c r="K60" s="1" cm="1">
        <f t="array" ref="K60">OptionTheta("P",$E60,100,K$50,0.01,0.2,0)</f>
        <v>-1.2435752478359053E-2</v>
      </c>
      <c r="L60" s="1" cm="1">
        <f t="array" ref="L60">OptionTheta("P",$E60,100,L$50,0.01,0.2,0)</f>
        <v>-1.1482276147885462E-2</v>
      </c>
      <c r="M60" s="1" cm="1">
        <f t="array" ref="M60">OptionTheta("P",$E60,100,M$50,0.01,0.2,0)</f>
        <v>-1.0697729851840782E-2</v>
      </c>
      <c r="N60" s="1" cm="1">
        <f t="array" ref="N60">OptionTheta("P",$E60,100,N$50,0.01,0.2,0)</f>
        <v>-1.0037508628097647E-2</v>
      </c>
      <c r="O60" s="1" cm="1">
        <f t="array" ref="O60">OptionTheta("P",$E60,100,O$50,0.01,0.2,0)</f>
        <v>-9.4718798609859673E-3</v>
      </c>
      <c r="P60" s="1" cm="1">
        <f t="array" ref="P60">OptionTheta("P",$E60,100,P$50,0.01,0.2,0)</f>
        <v>-6.3025691424194947E-3</v>
      </c>
      <c r="Q60" s="1" cm="1">
        <f t="array" ref="Q60">OptionTheta("P",$E60,100,Q$50,0.01,0.2,0)</f>
        <v>-4.8430215081854125E-3</v>
      </c>
      <c r="R60" s="1" cm="1">
        <f t="array" ref="R60">OptionTheta("P",$E60,100,R$50,0.01,0.2,0)</f>
        <v>-3.9563362077628958E-3</v>
      </c>
      <c r="S60" s="1" cm="1">
        <f t="array" ref="S60">OptionTheta("P",$E60,100,S$50,0.01,0.2,0)</f>
        <v>-3.3437364987098516E-3</v>
      </c>
      <c r="W60" s="2">
        <f t="shared" si="16"/>
        <v>105</v>
      </c>
      <c r="X60" s="1" cm="1">
        <f t="array" ref="X60">OptionTheta("P",$E60,100,X$50,0.01,0.1,0)</f>
        <v>-4.9608203211801713E-3</v>
      </c>
      <c r="Y60" s="1" cm="1">
        <f t="array" ref="Y60">OptionTheta("P",$E60,100,Y$50,0.01,0.1,0)</f>
        <v>-6.1990469292027006E-3</v>
      </c>
      <c r="Z60" s="1" cm="1">
        <f t="array" ref="Z60">OptionTheta("P",$E60,100,Z$50,0.01,0.1,0)</f>
        <v>-6.0365470390692424E-3</v>
      </c>
      <c r="AA60" s="1" cm="1">
        <f t="array" ref="AA60">OptionTheta("P",$E60,100,AA$50,0.01,0.1,0)</f>
        <v>-5.6584929110683052E-3</v>
      </c>
      <c r="AB60" s="1" cm="1">
        <f t="array" ref="AB60">OptionTheta("P",$E60,100,AB$50,0.01,0.1,0)</f>
        <v>-5.2730625717209026E-3</v>
      </c>
      <c r="AC60" s="1" cm="1">
        <f t="array" ref="AC60">OptionTheta("P",$E60,100,AC$50,0.01,0.1,0)</f>
        <v>-4.9223883831321525E-3</v>
      </c>
      <c r="AD60" s="1" cm="1">
        <f t="array" ref="AD60">OptionTheta("P",$E60,100,AD$50,0.01,0.1,0)</f>
        <v>-4.6118858112849884E-3</v>
      </c>
      <c r="AE60" s="1" cm="1">
        <f t="array" ref="AE60">OptionTheta("P",$E60,100,AE$50,0.01,0.1,0)</f>
        <v>-4.3381422205414277E-3</v>
      </c>
      <c r="AF60" s="1" cm="1">
        <f t="array" ref="AF60">OptionTheta("P",$E60,100,AF$50,0.01,0.1,0)</f>
        <v>-4.0960580512230567E-3</v>
      </c>
      <c r="AG60" s="1" cm="1">
        <f t="array" ref="AG60">OptionTheta("P",$E60,100,AG$50,0.01,0.1,0)</f>
        <v>-3.8807740832942374E-3</v>
      </c>
      <c r="AH60" s="1" cm="1">
        <f t="array" ref="AH60">OptionTheta("P",$E60,100,AH$50,0.01,0.1,0)</f>
        <v>-2.5643732589290171E-3</v>
      </c>
      <c r="AI60" s="1" cm="1">
        <f t="array" ref="AI60">OptionTheta("P",$E60,100,AI$50,0.01,0.1,0)</f>
        <v>-1.9137847337905173E-3</v>
      </c>
      <c r="AJ60" s="1" cm="1">
        <f t="array" ref="AJ60">OptionTheta("P",$E60,100,AJ$50,0.01,0.1,0)</f>
        <v>-1.5125992291142962E-3</v>
      </c>
      <c r="AK60" s="1" cm="1">
        <f t="array" ref="AK60">OptionTheta("P",$E60,100,AK$50,0.01,0.1,0)</f>
        <v>-1.2355244795430628E-3</v>
      </c>
      <c r="AO60" s="2">
        <f t="shared" si="17"/>
        <v>105</v>
      </c>
      <c r="AP60" s="1" cm="1">
        <f t="array" ref="AP60">OptionTheta("P",$E60,100,AP$50,0.01,0.3,0)</f>
        <v>-4.5348740470274006E-2</v>
      </c>
      <c r="AQ60" s="1" cm="1">
        <f t="array" ref="AQ60">OptionTheta("P",$E60,100,AQ$50,0.01,0.3,0)</f>
        <v>-3.3821544752277513E-2</v>
      </c>
      <c r="AR60" s="1" cm="1">
        <f t="array" ref="AR60">OptionTheta("P",$E60,100,AR$50,0.01,0.3,0)</f>
        <v>-2.7929702326295758E-2</v>
      </c>
      <c r="AS60" s="1" cm="1">
        <f t="array" ref="AS60">OptionTheta("P",$E60,100,AS$50,0.01,0.3,0)</f>
        <v>-2.4222810873362071E-2</v>
      </c>
      <c r="AT60" s="1" cm="1">
        <f t="array" ref="AT60">OptionTheta("P",$E60,100,AT$50,0.01,0.3,0)</f>
        <v>-2.1617426774484402E-2</v>
      </c>
      <c r="AU60" s="1" cm="1">
        <f t="array" ref="AU60">OptionTheta("P",$E60,100,AU$50,0.01,0.3,0)</f>
        <v>-1.9657135994269642E-2</v>
      </c>
      <c r="AV60" s="1" cm="1">
        <f t="array" ref="AV60">OptionTheta("P",$E60,100,AV$50,0.01,0.3,0)</f>
        <v>-1.8112607423571968E-2</v>
      </c>
      <c r="AW60" s="1" cm="1">
        <f t="array" ref="AW60">OptionTheta("P",$E60,100,AW$50,0.01,0.3,0)</f>
        <v>-1.685446653771612E-2</v>
      </c>
      <c r="AX60" s="1" cm="1">
        <f t="array" ref="AX60">OptionTheta("P",$E60,100,AX$50,0.01,0.3,0)</f>
        <v>-1.5803491493196056E-2</v>
      </c>
      <c r="AY60" s="1" cm="1">
        <f t="array" ref="AY60">OptionTheta("P",$E60,100,AY$50,0.01,0.3,0)</f>
        <v>-1.4908108447828222E-2</v>
      </c>
      <c r="AZ60" s="1" cm="1">
        <f t="array" ref="AZ60">OptionTheta("P",$E60,100,AZ$50,0.01,0.3,0)</f>
        <v>-9.9529156774366863E-3</v>
      </c>
      <c r="BA60" s="1" cm="1">
        <f t="array" ref="BA60">OptionTheta("P",$E60,100,BA$50,0.01,0.3,0)</f>
        <v>-7.6883579527885848E-3</v>
      </c>
      <c r="BB60" s="1" cm="1">
        <f t="array" ref="BB60">OptionTheta("P",$E60,100,BB$50,0.01,0.3,0)</f>
        <v>-6.3103630449285195E-3</v>
      </c>
      <c r="BC60" s="1" cm="1">
        <f t="array" ref="BC60">OptionTheta("P",$E60,100,BC$50,0.01,0.3,0)</f>
        <v>-5.3545617538550616E-3</v>
      </c>
    </row>
    <row r="61" spans="3:55" x14ac:dyDescent="0.3">
      <c r="E61" s="2">
        <f t="shared" si="15"/>
        <v>110</v>
      </c>
      <c r="F61" s="1" cm="1">
        <f t="array" ref="F61">OptionTheta("P",$E61,100,F$50,0.01,0.2,0)</f>
        <v>-1.117283449865239E-2</v>
      </c>
      <c r="G61" s="1" cm="1">
        <f t="array" ref="G61">OptionTheta("P",$E61,100,G$50,0.01,0.2,0)</f>
        <v>-1.3748919358963569E-2</v>
      </c>
      <c r="H61" s="1" cm="1">
        <f t="array" ref="H61">OptionTheta("P",$E61,100,H$50,0.01,0.2,0)</f>
        <v>-1.3403979058221752E-2</v>
      </c>
      <c r="I61" s="1" cm="1">
        <f t="array" ref="I61">OptionTheta("P",$E61,100,I$50,0.01,0.2,0)</f>
        <v>-1.2622858717771737E-2</v>
      </c>
      <c r="J61" s="1" cm="1">
        <f t="array" ref="J61">OptionTheta("P",$E61,100,J$50,0.01,0.2,0)</f>
        <v>-1.1830226857952278E-2</v>
      </c>
      <c r="K61" s="1" cm="1">
        <f t="array" ref="K61">OptionTheta("P",$E61,100,K$50,0.01,0.2,0)</f>
        <v>-1.1110304871270228E-2</v>
      </c>
      <c r="L61" s="1" cm="1">
        <f t="array" ref="L61">OptionTheta("P",$E61,100,L$50,0.01,0.2,0)</f>
        <v>-1.0473173138676106E-2</v>
      </c>
      <c r="M61" s="1" cm="1">
        <f t="array" ref="M61">OptionTheta("P",$E61,100,M$50,0.01,0.2,0)</f>
        <v>-9.911388061711596E-3</v>
      </c>
      <c r="N61" s="1" cm="1">
        <f t="array" ref="N61">OptionTheta("P",$E61,100,N$50,0.01,0.2,0)</f>
        <v>-9.4143099762009474E-3</v>
      </c>
      <c r="O61" s="1" cm="1">
        <f t="array" ref="O61">OptionTheta("P",$E61,100,O$50,0.01,0.2,0)</f>
        <v>-8.9719113156662058E-3</v>
      </c>
      <c r="P61" s="1" cm="1">
        <f t="array" ref="P61">OptionTheta("P",$E61,100,P$50,0.01,0.2,0)</f>
        <v>-6.2509409052981593E-3</v>
      </c>
      <c r="Q61" s="1" cm="1">
        <f t="array" ref="Q61">OptionTheta("P",$E61,100,Q$50,0.01,0.2,0)</f>
        <v>-4.8854395779968493E-3</v>
      </c>
      <c r="R61" s="1" cm="1">
        <f t="array" ref="R61">OptionTheta("P",$E61,100,R$50,0.01,0.2,0)</f>
        <v>-4.0293175824571746E-3</v>
      </c>
      <c r="S61" s="1" cm="1">
        <f t="array" ref="S61">OptionTheta("P",$E61,100,S$50,0.01,0.2,0)</f>
        <v>-3.4279205896141289E-3</v>
      </c>
      <c r="W61" s="2">
        <f t="shared" si="16"/>
        <v>110</v>
      </c>
      <c r="X61" s="1" cm="1">
        <f t="array" ref="X61">OptionTheta("P",$E61,100,X$50,0.01,0.1,0)</f>
        <v>-1.7197037201915763E-4</v>
      </c>
      <c r="Y61" s="1" cm="1">
        <f t="array" ref="Y61">OptionTheta("P",$E61,100,Y$50,0.01,0.1,0)</f>
        <v>-1.157054108479694E-3</v>
      </c>
      <c r="Z61" s="1" cm="1">
        <f t="array" ref="Z61">OptionTheta("P",$E61,100,Z$50,0.01,0.1,0)</f>
        <v>-1.9807656054553558E-3</v>
      </c>
      <c r="AA61" s="1" cm="1">
        <f t="array" ref="AA61">OptionTheta("P",$E61,100,AA$50,0.01,0.1,0)</f>
        <v>-2.4658480216537353E-3</v>
      </c>
      <c r="AB61" s="1" cm="1">
        <f t="array" ref="AB61">OptionTheta("P",$E61,100,AB$50,0.01,0.1,0)</f>
        <v>-2.7271916938682987E-3</v>
      </c>
      <c r="AC61" s="1" cm="1">
        <f t="array" ref="AC61">OptionTheta("P",$E61,100,AC$50,0.01,0.1,0)</f>
        <v>-2.8558700327011317E-3</v>
      </c>
      <c r="AD61" s="1" cm="1">
        <f t="array" ref="AD61">OptionTheta("P",$E61,100,AD$50,0.01,0.1,0)</f>
        <v>-2.9062204233349172E-3</v>
      </c>
      <c r="AE61" s="1" cm="1">
        <f t="array" ref="AE61">OptionTheta("P",$E61,100,AE$50,0.01,0.1,0)</f>
        <v>-2.9097453916765111E-3</v>
      </c>
      <c r="AF61" s="1" cm="1">
        <f t="array" ref="AF61">OptionTheta("P",$E61,100,AF$50,0.01,0.1,0)</f>
        <v>-2.8850022800522403E-3</v>
      </c>
      <c r="AG61" s="1" cm="1">
        <f t="array" ref="AG61">OptionTheta("P",$E61,100,AG$50,0.01,0.1,0)</f>
        <v>-2.8431926698325306E-3</v>
      </c>
      <c r="AH61" s="1" cm="1">
        <f t="array" ref="AH61">OptionTheta("P",$E61,100,AH$50,0.01,0.1,0)</f>
        <v>-2.2576864412027428E-3</v>
      </c>
      <c r="AI61" s="1" cm="1">
        <f t="array" ref="AI61">OptionTheta("P",$E61,100,AI$50,0.01,0.1,0)</f>
        <v>-1.8030200646294589E-3</v>
      </c>
      <c r="AJ61" s="1" cm="1">
        <f t="array" ref="AJ61">OptionTheta("P",$E61,100,AJ$50,0.01,0.1,0)</f>
        <v>-1.4806986334198401E-3</v>
      </c>
      <c r="AK61" s="1" cm="1">
        <f t="array" ref="AK61">OptionTheta("P",$E61,100,AK$50,0.01,0.1,0)</f>
        <v>-1.2420099515542873E-3</v>
      </c>
      <c r="AO61" s="2">
        <f t="shared" si="17"/>
        <v>110</v>
      </c>
      <c r="AP61" s="1" cm="1">
        <f t="array" ref="AP61">OptionTheta("P",$E61,100,AP$50,0.01,0.3,0)</f>
        <v>-3.1970644617648467E-2</v>
      </c>
      <c r="AQ61" s="1" cm="1">
        <f t="array" ref="AQ61">OptionTheta("P",$E61,100,AQ$50,0.01,0.3,0)</f>
        <v>-2.8762962026924854E-2</v>
      </c>
      <c r="AR61" s="1" cm="1">
        <f t="array" ref="AR61">OptionTheta("P",$E61,100,AR$50,0.01,0.3,0)</f>
        <v>-2.5294125196318431E-2</v>
      </c>
      <c r="AS61" s="1" cm="1">
        <f t="array" ref="AS61">OptionTheta("P",$E61,100,AS$50,0.01,0.3,0)</f>
        <v>-2.264211835800814E-2</v>
      </c>
      <c r="AT61" s="1" cm="1">
        <f t="array" ref="AT61">OptionTheta("P",$E61,100,AT$50,0.01,0.3,0)</f>
        <v>-2.0596429872293411E-2</v>
      </c>
      <c r="AU61" s="1" cm="1">
        <f t="array" ref="AU61">OptionTheta("P",$E61,100,AU$50,0.01,0.3,0)</f>
        <v>-1.8970338278884745E-2</v>
      </c>
      <c r="AV61" s="1" cm="1">
        <f t="array" ref="AV61">OptionTheta("P",$E61,100,AV$50,0.01,0.3,0)</f>
        <v>-1.7641675930736744E-2</v>
      </c>
      <c r="AW61" s="1" cm="1">
        <f t="array" ref="AW61">OptionTheta("P",$E61,100,AW$50,0.01,0.3,0)</f>
        <v>-1.653099139192165E-2</v>
      </c>
      <c r="AX61" s="1" cm="1">
        <f t="array" ref="AX61">OptionTheta("P",$E61,100,AX$50,0.01,0.3,0)</f>
        <v>-1.558503699936176E-2</v>
      </c>
      <c r="AY61" s="1" cm="1">
        <f t="array" ref="AY61">OptionTheta("P",$E61,100,AY$50,0.01,0.3,0)</f>
        <v>-1.4766900984292366E-2</v>
      </c>
      <c r="AZ61" s="1" cm="1">
        <f t="array" ref="AZ61">OptionTheta("P",$E61,100,AZ$50,0.01,0.3,0)</f>
        <v>-1.0064315794168185E-2</v>
      </c>
      <c r="BA61" s="1" cm="1">
        <f t="array" ref="BA61">OptionTheta("P",$E61,100,BA$50,0.01,0.3,0)</f>
        <v>-7.8350894190576913E-3</v>
      </c>
      <c r="BB61" s="1" cm="1">
        <f t="array" ref="BB61">OptionTheta("P",$E61,100,BB$50,0.01,0.3,0)</f>
        <v>-6.4599060810362043E-3</v>
      </c>
      <c r="BC61" s="1" cm="1">
        <f t="array" ref="BC61">OptionTheta("P",$E61,100,BC$50,0.01,0.3,0)</f>
        <v>-5.4991180884398578E-3</v>
      </c>
    </row>
    <row r="62" spans="3:55" x14ac:dyDescent="0.3">
      <c r="E62" s="2">
        <f t="shared" si="15"/>
        <v>115</v>
      </c>
      <c r="F62" s="1" cm="1">
        <f t="array" ref="F62">OptionTheta("P",$E62,100,F$50,0.01,0.2,0)</f>
        <v>-3.0723408263804877E-3</v>
      </c>
      <c r="G62" s="1" cm="1">
        <f t="array" ref="G62">OptionTheta("P",$E62,100,G$50,0.01,0.2,0)</f>
        <v>-7.2801271656312378E-3</v>
      </c>
      <c r="H62" s="1" cm="1">
        <f t="array" ref="H62">OptionTheta("P",$E62,100,H$50,0.01,0.2,0)</f>
        <v>-8.8369860716336762E-3</v>
      </c>
      <c r="I62" s="1" cm="1">
        <f t="array" ref="I62">OptionTheta("P",$E62,100,I$50,0.01,0.2,0)</f>
        <v>-9.2899077420582205E-3</v>
      </c>
      <c r="J62" s="1" cm="1">
        <f t="array" ref="J62">OptionTheta("P",$E62,100,J$50,0.01,0.2,0)</f>
        <v>-9.3031841258980393E-3</v>
      </c>
      <c r="K62" s="1" cm="1">
        <f t="array" ref="K62">OptionTheta("P",$E62,100,K$50,0.01,0.2,0)</f>
        <v>-9.1334328622189338E-3</v>
      </c>
      <c r="L62" s="1" cm="1">
        <f t="array" ref="L62">OptionTheta("P",$E62,100,L$50,0.01,0.2,0)</f>
        <v>-8.8881062411593475E-3</v>
      </c>
      <c r="M62" s="1" cm="1">
        <f t="array" ref="M62">OptionTheta("P",$E62,100,M$50,0.01,0.2,0)</f>
        <v>-8.6154580731875336E-3</v>
      </c>
      <c r="N62" s="1" cm="1">
        <f t="array" ref="N62">OptionTheta("P",$E62,100,N$50,0.01,0.2,0)</f>
        <v>-8.3381205893114374E-3</v>
      </c>
      <c r="O62" s="1" cm="1">
        <f t="array" ref="O62">OptionTheta("P",$E62,100,O$50,0.01,0.2,0)</f>
        <v>-8.0668457030440462E-3</v>
      </c>
      <c r="P62" s="1" cm="1">
        <f t="array" ref="P62">OptionTheta("P",$E62,100,P$50,0.01,0.2,0)</f>
        <v>-6.0237333331058119E-3</v>
      </c>
      <c r="Q62" s="1" cm="1">
        <f t="array" ref="Q62">OptionTheta("P",$E62,100,Q$50,0.01,0.2,0)</f>
        <v>-4.8252397801522833E-3</v>
      </c>
      <c r="R62" s="1" cm="1">
        <f t="array" ref="R62">OptionTheta("P",$E62,100,R$50,0.01,0.2,0)</f>
        <v>-4.032957373223919E-3</v>
      </c>
      <c r="S62" s="1" cm="1">
        <f t="array" ref="S62">OptionTheta("P",$E62,100,S$50,0.01,0.2,0)</f>
        <v>-3.4611324953331248E-3</v>
      </c>
      <c r="W62" s="2">
        <f t="shared" si="16"/>
        <v>115</v>
      </c>
      <c r="X62" s="1" cm="1">
        <f t="array" ref="X62">OptionTheta("P",$E62,100,X$50,0.01,0.1,0)</f>
        <v>-9.1026597472338331E-7</v>
      </c>
      <c r="Y62" s="1" cm="1">
        <f t="array" ref="Y62">OptionTheta("P",$E62,100,Y$50,0.01,0.1,0)</f>
        <v>-8.3835276221432798E-5</v>
      </c>
      <c r="Z62" s="1" cm="1">
        <f t="array" ref="Z62">OptionTheta("P",$E62,100,Z$50,0.01,0.1,0)</f>
        <v>-3.4402057267930822E-4</v>
      </c>
      <c r="AA62" s="1" cm="1">
        <f t="array" ref="AA62">OptionTheta("P",$E62,100,AA$50,0.01,0.1,0)</f>
        <v>-6.6388258692422967E-4</v>
      </c>
      <c r="AB62" s="1" cm="1">
        <f t="array" ref="AB62">OptionTheta("P",$E62,100,AB$50,0.01,0.1,0)</f>
        <v>-9.5592565244897846E-4</v>
      </c>
      <c r="AC62" s="1" cm="1">
        <f t="array" ref="AC62">OptionTheta("P",$E62,100,AC$50,0.01,0.1,0)</f>
        <v>-1.1942517116109745E-3</v>
      </c>
      <c r="AD62" s="1" cm="1">
        <f t="array" ref="AD62">OptionTheta("P",$E62,100,AD$50,0.01,0.1,0)</f>
        <v>-1.3792194841931724E-3</v>
      </c>
      <c r="AE62" s="1" cm="1">
        <f t="array" ref="AE62">OptionTheta("P",$E62,100,AE$50,0.01,0.1,0)</f>
        <v>-1.5188932614896246E-3</v>
      </c>
      <c r="AF62" s="1" cm="1">
        <f t="array" ref="AF62">OptionTheta("P",$E62,100,AF$50,0.01,0.1,0)</f>
        <v>-1.6222622227578872E-3</v>
      </c>
      <c r="AG62" s="1" cm="1">
        <f t="array" ref="AG62">OptionTheta("P",$E62,100,AG$50,0.01,0.1,0)</f>
        <v>-1.6971887424640914E-3</v>
      </c>
      <c r="AH62" s="1" cm="1">
        <f t="array" ref="AH62">OptionTheta("P",$E62,100,AH$50,0.01,0.1,0)</f>
        <v>-1.7732027728926353E-3</v>
      </c>
      <c r="AI62" s="1" cm="1">
        <f t="array" ref="AI62">OptionTheta("P",$E62,100,AI$50,0.01,0.1,0)</f>
        <v>-1.5601833228523082E-3</v>
      </c>
      <c r="AJ62" s="1" cm="1">
        <f t="array" ref="AJ62">OptionTheta("P",$E62,100,AJ$50,0.01,0.1,0)</f>
        <v>-1.3496273756649013E-3</v>
      </c>
      <c r="AK62" s="1" cm="1">
        <f t="array" ref="AK62">OptionTheta("P",$E62,100,AK$50,0.01,0.1,0)</f>
        <v>-1.1711184750142871E-3</v>
      </c>
      <c r="AO62" s="2">
        <f t="shared" si="17"/>
        <v>115</v>
      </c>
      <c r="AP62" s="1" cm="1">
        <f t="array" ref="AP62">OptionTheta("P",$E62,100,AP$50,0.01,0.3,0)</f>
        <v>-1.8256034777468455E-2</v>
      </c>
      <c r="AQ62" s="1" cm="1">
        <f t="array" ref="AQ62">OptionTheta("P",$E62,100,AQ$50,0.01,0.3,0)</f>
        <v>-2.1982192809764389E-2</v>
      </c>
      <c r="AR62" s="1" cm="1">
        <f t="array" ref="AR62">OptionTheta("P",$E62,100,AR$50,0.01,0.3,0)</f>
        <v>-2.1311796544707853E-2</v>
      </c>
      <c r="AS62" s="1" cm="1">
        <f t="array" ref="AS62">OptionTheta("P",$E62,100,AS$50,0.01,0.3,0)</f>
        <v>-2.003485776805607E-2</v>
      </c>
      <c r="AT62" s="1" cm="1">
        <f t="array" ref="AT62">OptionTheta("P",$E62,100,AT$50,0.01,0.3,0)</f>
        <v>-1.8770554051707931E-2</v>
      </c>
      <c r="AU62" s="1" cm="1">
        <f t="array" ref="AU62">OptionTheta("P",$E62,100,AU$50,0.01,0.3,0)</f>
        <v>-1.7633653721619243E-2</v>
      </c>
      <c r="AV62" s="1" cm="1">
        <f t="array" ref="AV62">OptionTheta("P",$E62,100,AV$50,0.01,0.3,0)</f>
        <v>-1.6632811871094076E-2</v>
      </c>
      <c r="AW62" s="1" cm="1">
        <f t="array" ref="AW62">OptionTheta("P",$E62,100,AW$50,0.01,0.3,0)</f>
        <v>-1.575310331642172E-2</v>
      </c>
      <c r="AX62" s="1" cm="1">
        <f t="array" ref="AX62">OptionTheta("P",$E62,100,AX$50,0.01,0.3,0)</f>
        <v>-1.4976257870414924E-2</v>
      </c>
      <c r="AY62" s="1" cm="1">
        <f t="array" ref="AY62">OptionTheta("P",$E62,100,AY$50,0.01,0.3,0)</f>
        <v>-1.4285740306019208E-2</v>
      </c>
      <c r="AZ62" s="1" cm="1">
        <f t="array" ref="AZ62">OptionTheta("P",$E62,100,AZ$50,0.01,0.3,0)</f>
        <v>-1.0043430818825897E-2</v>
      </c>
      <c r="BA62" s="1" cm="1">
        <f t="array" ref="BA62">OptionTheta("P",$E62,100,BA$50,0.01,0.3,0)</f>
        <v>-7.9068389723219411E-3</v>
      </c>
      <c r="BB62" s="1" cm="1">
        <f t="array" ref="BB62">OptionTheta("P",$E62,100,BB$50,0.01,0.3,0)</f>
        <v>-6.5594505452163353E-3</v>
      </c>
      <c r="BC62" s="1" cm="1">
        <f t="array" ref="BC62">OptionTheta("P",$E62,100,BC$50,0.01,0.3,0)</f>
        <v>-5.6071708896345942E-3</v>
      </c>
    </row>
    <row r="63" spans="3:55" x14ac:dyDescent="0.3">
      <c r="E63" s="2">
        <f t="shared" si="15"/>
        <v>120</v>
      </c>
      <c r="F63" s="1" cm="1">
        <f t="array" ref="F63">OptionTheta("P",$E63,100,F$50,0.01,0.2,0)</f>
        <v>-5.6104741696458066E-4</v>
      </c>
      <c r="G63" s="1" cm="1">
        <f t="array" ref="G63">OptionTheta("P",$E63,100,G$50,0.01,0.2,0)</f>
        <v>-3.136389797684581E-3</v>
      </c>
      <c r="H63" s="1" cm="1">
        <f t="array" ref="H63">OptionTheta("P",$E63,100,H$50,0.01,0.2,0)</f>
        <v>-5.0715467988013624E-3</v>
      </c>
      <c r="I63" s="1" cm="1">
        <f t="array" ref="I63">OptionTheta("P",$E63,100,I$50,0.01,0.2,0)</f>
        <v>-6.1557878360793076E-3</v>
      </c>
      <c r="J63" s="1" cm="1">
        <f t="array" ref="J63">OptionTheta("P",$E63,100,J$50,0.01,0.2,0)</f>
        <v>-6.721572069511658E-3</v>
      </c>
      <c r="K63" s="1" cm="1">
        <f t="array" ref="K63">OptionTheta("P",$E63,100,K$50,0.01,0.2,0)</f>
        <v>-6.9918512955231011E-3</v>
      </c>
      <c r="L63" s="1" cm="1">
        <f t="array" ref="L63">OptionTheta("P",$E63,100,L$50,0.01,0.2,0)</f>
        <v>-7.091938203323646E-3</v>
      </c>
      <c r="M63" s="1" cm="1">
        <f t="array" ref="M63">OptionTheta("P",$E63,100,M$50,0.01,0.2,0)</f>
        <v>-7.0921118946542534E-3</v>
      </c>
      <c r="N63" s="1" cm="1">
        <f t="array" ref="N63">OptionTheta("P",$E63,100,N$50,0.01,0.2,0)</f>
        <v>-7.032870539297003E-3</v>
      </c>
      <c r="O63" s="1" cm="1">
        <f t="array" ref="O63">OptionTheta("P",$E63,100,O$50,0.01,0.2,0)</f>
        <v>-6.9382662430604305E-3</v>
      </c>
      <c r="P63" s="1" cm="1">
        <f t="array" ref="P63">OptionTheta("P",$E63,100,P$50,0.01,0.2,0)</f>
        <v>-5.6653259116828305E-3</v>
      </c>
      <c r="Q63" s="1" cm="1">
        <f t="array" ref="Q63">OptionTheta("P",$E63,100,Q$50,0.01,0.2,0)</f>
        <v>-4.6820071806894497E-3</v>
      </c>
      <c r="R63" s="1" cm="1">
        <f t="array" ref="R63">OptionTheta("P",$E63,100,R$50,0.01,0.2,0)</f>
        <v>-3.9783766429105413E-3</v>
      </c>
      <c r="S63" s="1" cm="1">
        <f t="array" ref="S63">OptionTheta("P",$E63,100,S$50,0.01,0.2,0)</f>
        <v>-3.4506231874944608E-3</v>
      </c>
      <c r="W63" s="2">
        <f t="shared" si="16"/>
        <v>120</v>
      </c>
      <c r="X63" s="1" cm="1">
        <f t="array" ref="X63">OptionTheta("P",$E63,100,X$50,0.01,0.1,0)</f>
        <v>-9.4327686789038751E-10</v>
      </c>
      <c r="Y63" s="1" cm="1">
        <f t="array" ref="Y63">OptionTheta("P",$E63,100,Y$50,0.01,0.1,0)</f>
        <v>-2.6810615988503049E-6</v>
      </c>
      <c r="Z63" s="1" cm="1">
        <f t="array" ref="Z63">OptionTheta("P",$E63,100,Z$50,0.01,0.1,0)</f>
        <v>-3.45569355231561E-5</v>
      </c>
      <c r="AA63" s="1" cm="1">
        <f t="array" ref="AA63">OptionTheta("P",$E63,100,AA$50,0.01,0.1,0)</f>
        <v>-1.1829354384093272E-4</v>
      </c>
      <c r="AB63" s="1" cm="1">
        <f t="array" ref="AB63">OptionTheta("P",$E63,100,AB$50,0.01,0.1,0)</f>
        <v>-2.4038869737890955E-4</v>
      </c>
      <c r="AC63" s="1" cm="1">
        <f t="array" ref="AC63">OptionTheta("P",$E63,100,AC$50,0.01,0.1,0)</f>
        <v>-3.7803578062776364E-4</v>
      </c>
      <c r="AD63" s="1" cm="1">
        <f t="array" ref="AD63">OptionTheta("P",$E63,100,AD$50,0.01,0.1,0)</f>
        <v>-5.1477471665191833E-4</v>
      </c>
      <c r="AE63" s="1" cm="1">
        <f t="array" ref="AE63">OptionTheta("P",$E63,100,AE$50,0.01,0.1,0)</f>
        <v>-6.4164780583293127E-4</v>
      </c>
      <c r="AF63" s="1" cm="1">
        <f t="array" ref="AF63">OptionTheta("P",$E63,100,AF$50,0.01,0.1,0)</f>
        <v>-7.5479226849663238E-4</v>
      </c>
      <c r="AG63" s="1" cm="1">
        <f t="array" ref="AG63">OptionTheta("P",$E63,100,AG$50,0.01,0.1,0)</f>
        <v>-8.532444068109537E-4</v>
      </c>
      <c r="AH63" s="1" cm="1">
        <f t="array" ref="AH63">OptionTheta("P",$E63,100,AH$50,0.01,0.1,0)</f>
        <v>-1.2690030597552933E-3</v>
      </c>
      <c r="AI63" s="1" cm="1">
        <f t="array" ref="AI63">OptionTheta("P",$E63,100,AI$50,0.01,0.1,0)</f>
        <v>-1.2617226552998602E-3</v>
      </c>
      <c r="AJ63" s="1" cm="1">
        <f t="array" ref="AJ63">OptionTheta("P",$E63,100,AJ$50,0.01,0.1,0)</f>
        <v>-1.1635882798017277E-3</v>
      </c>
      <c r="AK63" s="1" cm="1">
        <f t="array" ref="AK63">OptionTheta("P",$E63,100,AK$50,0.01,0.1,0)</f>
        <v>-1.0515086355217581E-3</v>
      </c>
      <c r="AO63" s="2">
        <f t="shared" si="17"/>
        <v>120</v>
      </c>
      <c r="AP63" s="1" cm="1">
        <f t="array" ref="AP63">OptionTheta("P",$E63,100,AP$50,0.01,0.3,0)</f>
        <v>-8.6835494009977875E-3</v>
      </c>
      <c r="AQ63" s="1" cm="1">
        <f t="array" ref="AQ63">OptionTheta("P",$E63,100,AQ$50,0.01,0.3,0)</f>
        <v>-1.5316564127066192E-2</v>
      </c>
      <c r="AR63" s="1" cm="1">
        <f t="array" ref="AR63">OptionTheta("P",$E63,100,AR$50,0.01,0.3,0)</f>
        <v>-1.6870781621426471E-2</v>
      </c>
      <c r="AS63" s="1" cm="1">
        <f t="array" ref="AS63">OptionTheta("P",$E63,100,AS$50,0.01,0.3,0)</f>
        <v>-1.6908236400234391E-2</v>
      </c>
      <c r="AT63" s="1" cm="1">
        <f t="array" ref="AT63">OptionTheta("P",$E63,100,AT$50,0.01,0.3,0)</f>
        <v>-1.6463447550282492E-2</v>
      </c>
      <c r="AU63" s="1" cm="1">
        <f t="array" ref="AU63">OptionTheta("P",$E63,100,AU$50,0.01,0.3,0)</f>
        <v>-1.5870035014832754E-2</v>
      </c>
      <c r="AV63" s="1" cm="1">
        <f t="array" ref="AV63">OptionTheta("P",$E63,100,AV$50,0.01,0.3,0)</f>
        <v>-1.5248371992372842E-2</v>
      </c>
      <c r="AW63" s="1" cm="1">
        <f t="array" ref="AW63">OptionTheta("P",$E63,100,AW$50,0.01,0.3,0)</f>
        <v>-1.4644096217387131E-2</v>
      </c>
      <c r="AX63" s="1" cm="1">
        <f t="array" ref="AX63">OptionTheta("P",$E63,100,AX$50,0.01,0.3,0)</f>
        <v>-1.4073896279568614E-2</v>
      </c>
      <c r="AY63" s="1" cm="1">
        <f t="array" ref="AY63">OptionTheta("P",$E63,100,AY$50,0.01,0.3,0)</f>
        <v>-1.3542547315404741E-2</v>
      </c>
      <c r="AZ63" s="1" cm="1">
        <f t="array" ref="AZ63">OptionTheta("P",$E63,100,AZ$50,0.01,0.3,0)</f>
        <v>-9.9096679360021617E-3</v>
      </c>
      <c r="BA63" s="1" cm="1">
        <f t="array" ref="BA63">OptionTheta("P",$E63,100,BA$50,0.01,0.3,0)</f>
        <v>-7.9125805802195137E-3</v>
      </c>
      <c r="BB63" s="1" cm="1">
        <f t="array" ref="BB63">OptionTheta("P",$E63,100,BB$50,0.01,0.3,0)</f>
        <v>-6.6143102463653179E-3</v>
      </c>
      <c r="BC63" s="1" cm="1">
        <f t="array" ref="BC63">OptionTheta("P",$E63,100,BC$50,0.01,0.3,0)</f>
        <v>-5.6823080917594443E-3</v>
      </c>
    </row>
    <row r="64" spans="3:55" x14ac:dyDescent="0.3">
      <c r="E64" s="2">
        <f t="shared" si="15"/>
        <v>125</v>
      </c>
      <c r="F64" s="1" cm="1">
        <f t="array" ref="F64">OptionTheta("P",$E64,100,F$50,0.01,0.2,0)</f>
        <v>-7.1710968338680714E-5</v>
      </c>
      <c r="G64" s="1" cm="1">
        <f t="array" ref="G64">OptionTheta("P",$E64,100,G$50,0.01,0.2,0)</f>
        <v>-1.1292793655355525E-3</v>
      </c>
      <c r="H64" s="1" cm="1">
        <f t="array" ref="H64">OptionTheta("P",$E64,100,H$50,0.01,0.2,0)</f>
        <v>-2.5803533415990182E-3</v>
      </c>
      <c r="I64" s="1" cm="1">
        <f t="array" ref="I64">OptionTheta("P",$E64,100,I$50,0.01,0.2,0)</f>
        <v>-3.724313657538292E-3</v>
      </c>
      <c r="J64" s="1" cm="1">
        <f t="array" ref="J64">OptionTheta("P",$E64,100,J$50,0.01,0.2,0)</f>
        <v>-4.5129520648673543E-3</v>
      </c>
      <c r="K64" s="1" cm="1">
        <f t="array" ref="K64">OptionTheta("P",$E64,100,K$50,0.01,0.2,0)</f>
        <v>-5.032689648778314E-3</v>
      </c>
      <c r="L64" s="1" cm="1">
        <f t="array" ref="L64">OptionTheta("P",$E64,100,L$50,0.01,0.2,0)</f>
        <v>-5.3654685291421563E-3</v>
      </c>
      <c r="M64" s="1" cm="1">
        <f t="array" ref="M64">OptionTheta("P",$E64,100,M$50,0.01,0.2,0)</f>
        <v>-5.570369512093362E-3</v>
      </c>
      <c r="N64" s="1" cm="1">
        <f t="array" ref="N64">OptionTheta("P",$E64,100,N$50,0.01,0.2,0)</f>
        <v>-5.6875385297949933E-3</v>
      </c>
      <c r="O64" s="1" cm="1">
        <f t="array" ref="O64">OptionTheta("P",$E64,100,O$50,0.01,0.2,0)</f>
        <v>-5.7440220500802573E-3</v>
      </c>
      <c r="P64" s="1" cm="1">
        <f t="array" ref="P64">OptionTheta("P",$E64,100,P$50,0.01,0.2,0)</f>
        <v>-5.2187209701390711E-3</v>
      </c>
      <c r="Q64" s="1" cm="1">
        <f t="array" ref="Q64">OptionTheta("P",$E64,100,Q$50,0.01,0.2,0)</f>
        <v>-4.4750693444743847E-3</v>
      </c>
      <c r="R64" s="1" cm="1">
        <f t="array" ref="R64">OptionTheta("P",$E64,100,R$50,0.01,0.2,0)</f>
        <v>-3.8765581575190581E-3</v>
      </c>
      <c r="S64" s="1" cm="1">
        <f t="array" ref="S64">OptionTheta("P",$E64,100,S$50,0.01,0.2,0)</f>
        <v>-3.4035226258233085E-3</v>
      </c>
      <c r="W64" s="2">
        <f t="shared" si="16"/>
        <v>125</v>
      </c>
      <c r="X64" s="1" cm="1">
        <f t="array" ref="X64">OptionTheta("P",$E64,100,X$50,0.01,0.1,0)</f>
        <v>-2.3571887370682295E-13</v>
      </c>
      <c r="Y64" s="1" cm="1">
        <f t="array" ref="Y64">OptionTheta("P",$E64,100,Y$50,0.01,0.1,0)</f>
        <v>-4.2062112762999357E-8</v>
      </c>
      <c r="Z64" s="1" cm="1">
        <f t="array" ref="Z64">OptionTheta("P",$E64,100,Z$50,0.01,0.1,0)</f>
        <v>-2.1568335382080204E-6</v>
      </c>
      <c r="AA64" s="1" cm="1">
        <f t="array" ref="AA64">OptionTheta("P",$E64,100,AA$50,0.01,0.1,0)</f>
        <v>-1.4735696929004577E-5</v>
      </c>
      <c r="AB64" s="1" cm="1">
        <f t="array" ref="AB64">OptionTheta("P",$E64,100,AB$50,0.01,0.1,0)</f>
        <v>-4.5352637540043614E-5</v>
      </c>
      <c r="AC64" s="1" cm="1">
        <f t="array" ref="AC64">OptionTheta("P",$E64,100,AC$50,0.01,0.1,0)</f>
        <v>-9.4093855533704476E-5</v>
      </c>
      <c r="AD64" s="1" cm="1">
        <f t="array" ref="AD64">OptionTheta("P",$E64,100,AD$50,0.01,0.1,0)</f>
        <v>-1.5621567508456447E-4</v>
      </c>
      <c r="AE64" s="1" cm="1">
        <f t="array" ref="AE64">OptionTheta("P",$E64,100,AE$50,0.01,0.1,0)</f>
        <v>-2.2597634049806292E-4</v>
      </c>
      <c r="AF64" s="1" cm="1">
        <f t="array" ref="AF64">OptionTheta("P",$E64,100,AF$50,0.01,0.1,0)</f>
        <v>-2.9851562770684929E-4</v>
      </c>
      <c r="AG64" s="1" cm="1">
        <f t="array" ref="AG64">OptionTheta("P",$E64,100,AG$50,0.01,0.1,0)</f>
        <v>-3.7032455483885655E-4</v>
      </c>
      <c r="AH64" s="1" cm="1">
        <f t="array" ref="AH64">OptionTheta("P",$E64,100,AH$50,0.01,0.1,0)</f>
        <v>-8.4000356312287925E-4</v>
      </c>
      <c r="AI64" s="1" cm="1">
        <f t="array" ref="AI64">OptionTheta("P",$E64,100,AI$50,0.01,0.1,0)</f>
        <v>-9.6499999305044116E-4</v>
      </c>
      <c r="AJ64" s="1" cm="1">
        <f t="array" ref="AJ64">OptionTheta("P",$E64,100,AJ$50,0.01,0.1,0)</f>
        <v>-9.5891884853933657E-4</v>
      </c>
      <c r="AK64" s="1" cm="1">
        <f t="array" ref="AK64">OptionTheta("P",$E64,100,AK$50,0.01,0.1,0)</f>
        <v>-9.0787747325871474E-4</v>
      </c>
      <c r="AO64" s="2">
        <f t="shared" si="17"/>
        <v>125</v>
      </c>
      <c r="AP64" s="1" cm="1">
        <f t="array" ref="AP64">OptionTheta("P",$E64,100,AP$50,0.01,0.3,0)</f>
        <v>-3.5222776176344313E-3</v>
      </c>
      <c r="AQ64" s="1" cm="1">
        <f t="array" ref="AQ64">OptionTheta("P",$E64,100,AQ$50,0.01,0.3,0)</f>
        <v>-9.847288009836079E-3</v>
      </c>
      <c r="AR64" s="1" cm="1">
        <f t="array" ref="AR64">OptionTheta("P",$E64,100,AR$50,0.01,0.3,0)</f>
        <v>-1.265052516692884E-2</v>
      </c>
      <c r="AS64" s="1" cm="1">
        <f t="array" ref="AS64">OptionTheta("P",$E64,100,AS$50,0.01,0.3,0)</f>
        <v>-1.3694903812861406E-2</v>
      </c>
      <c r="AT64" s="1" cm="1">
        <f t="array" ref="AT64">OptionTheta("P",$E64,100,AT$50,0.01,0.3,0)</f>
        <v>-1.3967678731699695E-2</v>
      </c>
      <c r="AU64" s="1" cm="1">
        <f t="array" ref="AU64">OptionTheta("P",$E64,100,AU$50,0.01,0.3,0)</f>
        <v>-1.3888182812305928E-2</v>
      </c>
      <c r="AV64" s="1" cm="1">
        <f t="array" ref="AV64">OptionTheta("P",$E64,100,AV$50,0.01,0.3,0)</f>
        <v>-1.3643787502838123E-2</v>
      </c>
      <c r="AW64" s="1" cm="1">
        <f t="array" ref="AW64">OptionTheta("P",$E64,100,AW$50,0.01,0.3,0)</f>
        <v>-1.3323796430345515E-2</v>
      </c>
      <c r="AX64" s="1" cm="1">
        <f t="array" ref="AX64">OptionTheta("P",$E64,100,AX$50,0.01,0.3,0)</f>
        <v>-1.2972951273900604E-2</v>
      </c>
      <c r="AY64" s="1" cm="1">
        <f t="array" ref="AY64">OptionTheta("P",$E64,100,AY$50,0.01,0.3,0)</f>
        <v>-1.2614390288216039E-2</v>
      </c>
      <c r="AZ64" s="1" cm="1">
        <f t="array" ref="AZ64">OptionTheta("P",$E64,100,AZ$50,0.01,0.3,0)</f>
        <v>-9.6824320596982875E-3</v>
      </c>
      <c r="BA64" s="1" cm="1">
        <f t="array" ref="BA64">OptionTheta("P",$E64,100,BA$50,0.01,0.3,0)</f>
        <v>-7.8611765466302941E-3</v>
      </c>
      <c r="BB64" s="1" cm="1">
        <f t="array" ref="BB64">OptionTheta("P",$E64,100,BB$50,0.01,0.3,0)</f>
        <v>-6.6296662431610401E-3</v>
      </c>
      <c r="BC64" s="1" cm="1">
        <f t="array" ref="BC64">OptionTheta("P",$E64,100,BC$50,0.01,0.3,0)</f>
        <v>-5.7279902432378575E-3</v>
      </c>
    </row>
    <row r="65" spans="5:55" x14ac:dyDescent="0.3">
      <c r="E65" s="2">
        <f t="shared" si="15"/>
        <v>130</v>
      </c>
      <c r="F65" s="1" cm="1">
        <f t="array" ref="F65">OptionTheta("P",$E65,100,F$50,0.01,0.2,0)</f>
        <v>-6.7083287840061452E-6</v>
      </c>
      <c r="G65" s="1" cm="1">
        <f t="array" ref="G65">OptionTheta("P",$E65,100,G$50,0.01,0.2,0)</f>
        <v>-3.476026125224739E-4</v>
      </c>
      <c r="H65" s="1" cm="1">
        <f t="array" ref="H65">OptionTheta("P",$E65,100,H$50,0.01,0.2,0)</f>
        <v>-1.1818803747454113E-3</v>
      </c>
      <c r="I65" s="1" cm="1">
        <f t="array" ref="I65">OptionTheta("P",$E65,100,I$50,0.01,0.2,0)</f>
        <v>-2.0814487313496398E-3</v>
      </c>
      <c r="J65" s="1" cm="1">
        <f t="array" ref="J65">OptionTheta("P",$E65,100,J$50,0.01,0.2,0)</f>
        <v>-2.8426010117029513E-3</v>
      </c>
      <c r="K65" s="1" cm="1">
        <f t="array" ref="K65">OptionTheta("P",$E65,100,K$50,0.01,0.2,0)</f>
        <v>-3.4335066038971751E-3</v>
      </c>
      <c r="L65" s="1" cm="1">
        <f t="array" ref="L65">OptionTheta("P",$E65,100,L$50,0.01,0.2,0)</f>
        <v>-3.87581998473537E-3</v>
      </c>
      <c r="M65" s="1" cm="1">
        <f t="array" ref="M65">OptionTheta("P",$E65,100,M$50,0.01,0.2,0)</f>
        <v>-4.2003869756897889E-3</v>
      </c>
      <c r="N65" s="1" cm="1">
        <f t="array" ref="N65">OptionTheta("P",$E65,100,N$50,0.01,0.2,0)</f>
        <v>-4.4346960683529198E-3</v>
      </c>
      <c r="O65" s="1" cm="1">
        <f t="array" ref="O65">OptionTheta("P",$E65,100,O$50,0.01,0.2,0)</f>
        <v>-4.6005244339118734E-3</v>
      </c>
      <c r="P65" s="1" cm="1">
        <f t="array" ref="P65">OptionTheta("P",$E65,100,P$50,0.01,0.2,0)</f>
        <v>-4.7220780021840353E-3</v>
      </c>
      <c r="Q65" s="1" cm="1">
        <f t="array" ref="Q65">OptionTheta("P",$E65,100,Q$50,0.01,0.2,0)</f>
        <v>-4.2223402775834482E-3</v>
      </c>
      <c r="R65" s="1" cm="1">
        <f t="array" ref="R65">OptionTheta("P",$E65,100,R$50,0.01,0.2,0)</f>
        <v>-3.737834668931427E-3</v>
      </c>
      <c r="S65" s="1" cm="1">
        <f t="array" ref="S65">OptionTheta("P",$E65,100,S$50,0.01,0.2,0)</f>
        <v>-3.326573504386927E-3</v>
      </c>
      <c r="W65" s="2">
        <f t="shared" si="16"/>
        <v>130</v>
      </c>
      <c r="X65" s="1" cm="1">
        <f t="array" ref="X65">OptionTheta("P",$E65,100,X$50,0.01,0.1,0)</f>
        <v>-1.7092084797681276E-17</v>
      </c>
      <c r="Y65" s="1" cm="1">
        <f t="array" ref="Y65">OptionTheta("P",$E65,100,Y$50,0.01,0.1,0)</f>
        <v>-3.5398846706622487E-10</v>
      </c>
      <c r="Z65" s="1" cm="1">
        <f t="array" ref="Z65">OptionTheta("P",$E65,100,Z$50,0.01,0.1,0)</f>
        <v>-8.8826832988843578E-8</v>
      </c>
      <c r="AA65" s="1" cm="1">
        <f t="array" ref="AA65">OptionTheta("P",$E65,100,AA$50,0.01,0.1,0)</f>
        <v>-1.3431444565806379E-6</v>
      </c>
      <c r="AB65" s="1" cm="1">
        <f t="array" ref="AB65">OptionTheta("P",$E65,100,AB$50,0.01,0.1,0)</f>
        <v>-6.6607628320193806E-6</v>
      </c>
      <c r="AC65" s="1" cm="1">
        <f t="array" ref="AC65">OptionTheta("P",$E65,100,AC$50,0.01,0.1,0)</f>
        <v>-1.8998334818575405E-5</v>
      </c>
      <c r="AD65" s="1" cm="1">
        <f t="array" ref="AD65">OptionTheta("P",$E65,100,AD$50,0.01,0.1,0)</f>
        <v>-3.9601624614972343E-5</v>
      </c>
      <c r="AE65" s="1" cm="1">
        <f t="array" ref="AE65">OptionTheta("P",$E65,100,AE$50,0.01,0.1,0)</f>
        <v>-6.796048941380101E-5</v>
      </c>
      <c r="AF65" s="1" cm="1">
        <f t="array" ref="AF65">OptionTheta("P",$E65,100,AF$50,0.01,0.1,0)</f>
        <v>-1.0255167468833492E-4</v>
      </c>
      <c r="AG65" s="1" cm="1">
        <f t="array" ref="AG65">OptionTheta("P",$E65,100,AG$50,0.01,0.1,0)</f>
        <v>-1.4152768968138935E-4</v>
      </c>
      <c r="AH65" s="1" cm="1">
        <f t="array" ref="AH65">OptionTheta("P",$E65,100,AH$50,0.01,0.1,0)</f>
        <v>-5.2021014622463939E-4</v>
      </c>
      <c r="AI65" s="1" cm="1">
        <f t="array" ref="AI65">OptionTheta("P",$E65,100,AI$50,0.01,0.1,0)</f>
        <v>-7.0418355798821221E-4</v>
      </c>
      <c r="AJ65" s="1" cm="1">
        <f t="array" ref="AJ65">OptionTheta("P",$E65,100,AJ$50,0.01,0.1,0)</f>
        <v>-7.611234775459359E-4</v>
      </c>
      <c r="AK65" s="1" cm="1">
        <f t="array" ref="AK65">OptionTheta("P",$E65,100,AK$50,0.01,0.1,0)</f>
        <v>-7.5903956329621608E-4</v>
      </c>
      <c r="AO65" s="2">
        <f t="shared" si="17"/>
        <v>130</v>
      </c>
      <c r="AP65" s="1" cm="1">
        <f t="array" ref="AP65">OptionTheta("P",$E65,100,AP$50,0.01,0.3,0)</f>
        <v>-1.2429256242580886E-3</v>
      </c>
      <c r="AQ65" s="1" cm="1">
        <f t="array" ref="AQ65">OptionTheta("P",$E65,100,AQ$50,0.01,0.3,0)</f>
        <v>-5.9012111557048205E-3</v>
      </c>
      <c r="AR65" s="1" cm="1">
        <f t="array" ref="AR65">OptionTheta("P",$E65,100,AR$50,0.01,0.3,0)</f>
        <v>-9.0474289005563931E-3</v>
      </c>
      <c r="AS65" s="1" cm="1">
        <f t="array" ref="AS65">OptionTheta("P",$E65,100,AS$50,0.01,0.3,0)</f>
        <v>-1.0701449995665607E-2</v>
      </c>
      <c r="AT65" s="1" cm="1">
        <f t="array" ref="AT65">OptionTheta("P",$E65,100,AT$50,0.01,0.3,0)</f>
        <v>-1.1511569516793704E-2</v>
      </c>
      <c r="AU65" s="1" cm="1">
        <f t="array" ref="AU65">OptionTheta("P",$E65,100,AU$50,0.01,0.3,0)</f>
        <v>-1.1860599154107971E-2</v>
      </c>
      <c r="AV65" s="1" cm="1">
        <f t="array" ref="AV65">OptionTheta("P",$E65,100,AV$50,0.01,0.3,0)</f>
        <v>-1.195246693943542E-2</v>
      </c>
      <c r="AW65" s="1" cm="1">
        <f t="array" ref="AW65">OptionTheta("P",$E65,100,AW$50,0.01,0.3,0)</f>
        <v>-1.1897792642507902E-2</v>
      </c>
      <c r="AX65" s="1" cm="1">
        <f t="array" ref="AX65">OptionTheta("P",$E65,100,AX$50,0.01,0.3,0)</f>
        <v>-1.1758749273191451E-2</v>
      </c>
      <c r="AY65" s="1" cm="1">
        <f t="array" ref="AY65">OptionTheta("P",$E65,100,AY$50,0.01,0.3,0)</f>
        <v>-1.1571487678689008E-2</v>
      </c>
      <c r="AZ65" s="1" cm="1">
        <f t="array" ref="AZ65">OptionTheta("P",$E65,100,AZ$50,0.01,0.3,0)</f>
        <v>-9.3802536497604051E-3</v>
      </c>
      <c r="BA65" s="1" cm="1">
        <f t="array" ref="BA65">OptionTheta("P",$E65,100,BA$50,0.01,0.3,0)</f>
        <v>-7.7611143161545586E-3</v>
      </c>
      <c r="BB65" s="1" cm="1">
        <f t="array" ref="BB65">OptionTheta("P",$E65,100,BB$50,0.01,0.3,0)</f>
        <v>-6.6104604105655584E-3</v>
      </c>
      <c r="BC65" s="1" cm="1">
        <f t="array" ref="BC65">OptionTheta("P",$E65,100,BC$50,0.01,0.3,0)</f>
        <v>-5.7475009149815463E-3</v>
      </c>
    </row>
    <row r="66" spans="5:55" x14ac:dyDescent="0.3">
      <c r="E66" s="2">
        <f t="shared" si="15"/>
        <v>135</v>
      </c>
      <c r="F66" s="1" cm="1">
        <f t="array" ref="F66">OptionTheta("P",$E66,100,F$50,0.01,0.2,0)</f>
        <v>-4.77193182814048E-7</v>
      </c>
      <c r="G66" s="1" cm="1">
        <f t="array" ref="G66">OptionTheta("P",$E66,100,G$50,0.01,0.2,0)</f>
        <v>-9.3252521724367709E-5</v>
      </c>
      <c r="H66" s="1" cm="1">
        <f t="array" ref="H66">OptionTheta("P",$E66,100,H$50,0.01,0.2,0)</f>
        <v>-4.9371602905946019E-4</v>
      </c>
      <c r="I66" s="1" cm="1">
        <f t="array" ref="I66">OptionTheta("P",$E66,100,I$50,0.01,0.2,0)</f>
        <v>-1.0852581265595436E-3</v>
      </c>
      <c r="J66" s="1" cm="1">
        <f t="array" ref="J66">OptionTheta("P",$E66,100,J$50,0.01,0.2,0)</f>
        <v>-1.6932109103448476E-3</v>
      </c>
      <c r="K66" s="1" cm="1">
        <f t="array" ref="K66">OptionTheta("P",$E66,100,K$50,0.01,0.2,0)</f>
        <v>-2.2353029611994137E-3</v>
      </c>
      <c r="L66" s="1" cm="1">
        <f t="array" ref="L66">OptionTheta("P",$E66,100,L$50,0.01,0.2,0)</f>
        <v>-2.6889067992530305E-3</v>
      </c>
      <c r="M66" s="1" cm="1">
        <f t="array" ref="M66">OptionTheta("P",$E66,100,M$50,0.01,0.2,0)</f>
        <v>-3.0566349010857532E-3</v>
      </c>
      <c r="N66" s="1" cm="1">
        <f t="array" ref="N66">OptionTheta("P",$E66,100,N$50,0.01,0.2,0)</f>
        <v>-3.3494776845680997E-3</v>
      </c>
      <c r="O66" s="1" cm="1">
        <f t="array" ref="O66">OptionTheta("P",$E66,100,O$50,0.01,0.2,0)</f>
        <v>-3.5798905673844849E-3</v>
      </c>
      <c r="P66" s="1" cm="1">
        <f t="array" ref="P66">OptionTheta("P",$E66,100,P$50,0.01,0.2,0)</f>
        <v>-4.2069199577750094E-3</v>
      </c>
      <c r="Q66" s="1" cm="1">
        <f t="array" ref="Q66">OptionTheta("P",$E66,100,Q$50,0.01,0.2,0)</f>
        <v>-3.9396344046232117E-3</v>
      </c>
      <c r="R66" s="1" cm="1">
        <f t="array" ref="R66">OptionTheta("P",$E66,100,R$50,0.01,0.2,0)</f>
        <v>-3.571571888440709E-3</v>
      </c>
      <c r="S66" s="1" cm="1">
        <f t="array" ref="S66">OptionTheta("P",$E66,100,S$50,0.01,0.2,0)</f>
        <v>-3.2259640839824287E-3</v>
      </c>
      <c r="W66" s="2">
        <f t="shared" si="16"/>
        <v>135</v>
      </c>
      <c r="X66" s="1" cm="1">
        <f t="array" ref="X66">OptionTheta("P",$E66,100,X$50,0.01,0.1,0)</f>
        <v>-4.1214544252196709E-22</v>
      </c>
      <c r="Y66" s="1" cm="1">
        <f t="array" ref="Y66">OptionTheta("P",$E66,100,Y$50,0.01,0.1,0)</f>
        <v>-1.7250462593439746E-12</v>
      </c>
      <c r="Z66" s="1" cm="1">
        <f t="array" ref="Z66">OptionTheta("P",$E66,100,Z$50,0.01,0.1,0)</f>
        <v>-2.5408119636916923E-9</v>
      </c>
      <c r="AA66" s="1" cm="1">
        <f t="array" ref="AA66">OptionTheta("P",$E66,100,AA$50,0.01,0.1,0)</f>
        <v>-9.311532834199606E-8</v>
      </c>
      <c r="AB66" s="1" cm="1">
        <f t="array" ref="AB66">OptionTheta("P",$E66,100,AB$50,0.01,0.1,0)</f>
        <v>-7.8564373082263762E-7</v>
      </c>
      <c r="AC66" s="1" cm="1">
        <f t="array" ref="AC66">OptionTheta("P",$E66,100,AC$50,0.01,0.1,0)</f>
        <v>-3.1943402597006314E-6</v>
      </c>
      <c r="AD66" s="1" cm="1">
        <f t="array" ref="AD66">OptionTheta("P",$E66,100,AD$50,0.01,0.1,0)</f>
        <v>-8.5788714931118337E-6</v>
      </c>
      <c r="AE66" s="1" cm="1">
        <f t="array" ref="AE66">OptionTheta("P",$E66,100,AE$50,0.01,0.1,0)</f>
        <v>-1.7806421570445618E-5</v>
      </c>
      <c r="AF66" s="1" cm="1">
        <f t="array" ref="AF66">OptionTheta("P",$E66,100,AF$50,0.01,0.1,0)</f>
        <v>-3.1157625335136652E-5</v>
      </c>
      <c r="AG66" s="1" cm="1">
        <f t="array" ref="AG66">OptionTheta("P",$E66,100,AG$50,0.01,0.1,0)</f>
        <v>-4.8411813287537353E-5</v>
      </c>
      <c r="AH66" s="1" cm="1">
        <f t="array" ref="AH66">OptionTheta("P",$E66,100,AH$50,0.01,0.1,0)</f>
        <v>-3.0417599944527411E-4</v>
      </c>
      <c r="AI66" s="1" cm="1">
        <f t="array" ref="AI66">OptionTheta("P",$E66,100,AI$50,0.01,0.1,0)</f>
        <v>-4.9364540928879743E-4</v>
      </c>
      <c r="AJ66" s="1" cm="1">
        <f t="array" ref="AJ66">OptionTheta("P",$E66,100,AJ$50,0.01,0.1,0)</f>
        <v>-5.8523608335436436E-4</v>
      </c>
      <c r="AK66" s="1" cm="1">
        <f t="array" ref="AK66">OptionTheta("P",$E66,100,AK$50,0.01,0.1,0)</f>
        <v>-6.1771276838781222E-4</v>
      </c>
      <c r="AO66" s="2">
        <f t="shared" si="17"/>
        <v>135</v>
      </c>
      <c r="AP66" s="1" cm="1">
        <f t="array" ref="AP66">OptionTheta("P",$E66,100,AP$50,0.01,0.3,0)</f>
        <v>-3.8812948063912634E-4</v>
      </c>
      <c r="AQ66" s="1" cm="1">
        <f t="array" ref="AQ66">OptionTheta("P",$E66,100,AQ$50,0.01,0.3,0)</f>
        <v>-3.3250125344702623E-3</v>
      </c>
      <c r="AR66" s="1" cm="1">
        <f t="array" ref="AR66">OptionTheta("P",$E66,100,AR$50,0.01,0.3,0)</f>
        <v>-6.2076331745189259E-3</v>
      </c>
      <c r="AS66" s="1" cm="1">
        <f t="array" ref="AS66">OptionTheta("P",$E66,100,AS$50,0.01,0.3,0)</f>
        <v>-8.1036654110936152E-3</v>
      </c>
      <c r="AT66" s="1" cm="1">
        <f t="array" ref="AT66">OptionTheta("P",$E66,100,AT$50,0.01,0.3,0)</f>
        <v>-9.2495066110793982E-3</v>
      </c>
      <c r="AU66" s="1" cm="1">
        <f t="array" ref="AU66">OptionTheta("P",$E66,100,AU$50,0.01,0.3,0)</f>
        <v>-9.9148146749049437E-3</v>
      </c>
      <c r="AV66" s="1" cm="1">
        <f t="array" ref="AV66">OptionTheta("P",$E66,100,AV$50,0.01,0.3,0)</f>
        <v>-1.0278746077886911E-2</v>
      </c>
      <c r="AW66" s="1" cm="1">
        <f t="array" ref="AW66">OptionTheta("P",$E66,100,AW$50,0.01,0.3,0)</f>
        <v>-1.0451914438433286E-2</v>
      </c>
      <c r="AX66" s="1" cm="1">
        <f t="array" ref="AX66">OptionTheta("P",$E66,100,AX$50,0.01,0.3,0)</f>
        <v>-1.0502619294046396E-2</v>
      </c>
      <c r="AY66" s="1" cm="1">
        <f t="array" ref="AY66">OptionTheta("P",$E66,100,AY$50,0.01,0.3,0)</f>
        <v>-1.0473791234868529E-2</v>
      </c>
      <c r="AZ66" s="1" cm="1">
        <f t="array" ref="AZ66">OptionTheta("P",$E66,100,AZ$50,0.01,0.3,0)</f>
        <v>-9.0202205281117373E-3</v>
      </c>
      <c r="BA66" s="1" cm="1">
        <f t="array" ref="BA66">OptionTheta("P",$E66,100,BA$50,0.01,0.3,0)</f>
        <v>-7.6203336961118114E-3</v>
      </c>
      <c r="BB66" s="1" cm="1">
        <f t="array" ref="BB66">OptionTheta("P",$E66,100,BB$50,0.01,0.3,0)</f>
        <v>-6.5613271378758813E-3</v>
      </c>
      <c r="BC66" s="1" cm="1">
        <f t="array" ref="BC66">OptionTheta("P",$E66,100,BC$50,0.01,0.3,0)</f>
        <v>-5.7439163156703761E-3</v>
      </c>
    </row>
    <row r="67" spans="5:55" x14ac:dyDescent="0.3">
      <c r="E67" s="2">
        <f t="shared" si="15"/>
        <v>140</v>
      </c>
      <c r="F67" s="1" cm="1">
        <f t="array" ref="F67">OptionTheta("P",$E67,100,F$50,0.01,0.2,0)</f>
        <v>-2.6677459502926939E-8</v>
      </c>
      <c r="G67" s="1" cm="1">
        <f t="array" ref="G67">OptionTheta("P",$E67,100,G$50,0.01,0.2,0)</f>
        <v>-2.2168953354892726E-5</v>
      </c>
      <c r="H67" s="1" cm="1">
        <f t="array" ref="H67">OptionTheta("P",$E67,100,H$50,0.01,0.2,0)</f>
        <v>-1.902127436565496E-4</v>
      </c>
      <c r="I67" s="1" cm="1">
        <f t="array" ref="I67">OptionTheta("P",$E67,100,I$50,0.01,0.2,0)</f>
        <v>-5.3237761856354078E-4</v>
      </c>
      <c r="J67" s="1" cm="1">
        <f t="array" ref="J67">OptionTheta("P",$E67,100,J$50,0.01,0.2,0)</f>
        <v>-9.6031261788383844E-4</v>
      </c>
      <c r="K67" s="1" cm="1">
        <f t="array" ref="K67">OptionTheta("P",$E67,100,K$50,0.01,0.2,0)</f>
        <v>-1.3966671669448823E-3</v>
      </c>
      <c r="L67" s="1" cm="1">
        <f t="array" ref="L67">OptionTheta("P",$E67,100,L$50,0.01,0.2,0)</f>
        <v>-1.80055641051715E-3</v>
      </c>
      <c r="M67" s="1" cm="1">
        <f t="array" ref="M67">OptionTheta("P",$E67,100,M$50,0.01,0.2,0)</f>
        <v>-2.1560497796347662E-3</v>
      </c>
      <c r="N67" s="1" cm="1">
        <f t="array" ref="N67">OptionTheta("P",$E67,100,N$50,0.01,0.2,0)</f>
        <v>-2.4602616949728345E-3</v>
      </c>
      <c r="O67" s="1" cm="1">
        <f t="array" ref="O67">OptionTheta("P",$E67,100,O$50,0.01,0.2,0)</f>
        <v>-2.71622027950277E-3</v>
      </c>
      <c r="P67" s="1" cm="1">
        <f t="array" ref="P67">OptionTheta("P",$E67,100,P$50,0.01,0.2,0)</f>
        <v>-3.6976151421703653E-3</v>
      </c>
      <c r="Q67" s="1" cm="1">
        <f t="array" ref="Q67">OptionTheta("P",$E67,100,Q$50,0.01,0.2,0)</f>
        <v>-3.6403476552568136E-3</v>
      </c>
      <c r="R67" s="1" cm="1">
        <f t="array" ref="R67">OptionTheta("P",$E67,100,R$50,0.01,0.2,0)</f>
        <v>-3.3860028351736086E-3</v>
      </c>
      <c r="S67" s="1" cm="1">
        <f t="array" ref="S67">OptionTheta("P",$E67,100,S$50,0.01,0.2,0)</f>
        <v>-3.1072372734374278E-3</v>
      </c>
      <c r="W67" s="2">
        <f t="shared" si="16"/>
        <v>140</v>
      </c>
      <c r="X67" s="1" cm="1">
        <f t="array" ref="X67">OptionTheta("P",$E67,100,X$50,0.01,0.1,0)</f>
        <v>-3.802078748469247E-27</v>
      </c>
      <c r="Y67" s="1" cm="1">
        <f t="array" ref="Y67">OptionTheta("P",$E67,100,Y$50,0.01,0.1,0)</f>
        <v>-5.1991470097616873E-15</v>
      </c>
      <c r="Z67" s="1" cm="1">
        <f t="array" ref="Z67">OptionTheta("P",$E67,100,Z$50,0.01,0.1,0)</f>
        <v>-5.2751895684107299E-11</v>
      </c>
      <c r="AA67" s="1" cm="1">
        <f t="array" ref="AA67">OptionTheta("P",$E67,100,AA$50,0.01,0.1,0)</f>
        <v>-5.0755296123552296E-9</v>
      </c>
      <c r="AB67" s="1" cm="1">
        <f t="array" ref="AB67">OptionTheta("P",$E67,100,AB$50,0.01,0.1,0)</f>
        <v>-7.6436282668983804E-8</v>
      </c>
      <c r="AC67" s="1" cm="1">
        <f t="array" ref="AC67">OptionTheta("P",$E67,100,AC$50,0.01,0.1,0)</f>
        <v>-4.5737711017686157E-7</v>
      </c>
      <c r="AD67" s="1" cm="1">
        <f t="array" ref="AD67">OptionTheta("P",$E67,100,AD$50,0.01,0.1,0)</f>
        <v>-1.6190390032836951E-6</v>
      </c>
      <c r="AE67" s="1" cm="1">
        <f t="array" ref="AE67">OptionTheta("P",$E67,100,AE$50,0.01,0.1,0)</f>
        <v>-4.1343479108071655E-6</v>
      </c>
      <c r="AF67" s="1" cm="1">
        <f t="array" ref="AF67">OptionTheta("P",$E67,100,AF$50,0.01,0.1,0)</f>
        <v>-8.5004585925970107E-6</v>
      </c>
      <c r="AG67" s="1" cm="1">
        <f t="array" ref="AG67">OptionTheta("P",$E67,100,AG$50,0.01,0.1,0)</f>
        <v>-1.502818847742091E-5</v>
      </c>
      <c r="AH67" s="1" cm="1">
        <f t="array" ref="AH67">OptionTheta("P",$E67,100,AH$50,0.01,0.1,0)</f>
        <v>-1.6919483046220864E-4</v>
      </c>
      <c r="AI67" s="1" cm="1">
        <f t="array" ref="AI67">OptionTheta("P",$E67,100,AI$50,0.01,0.1,0)</f>
        <v>-3.3428262422333479E-4</v>
      </c>
      <c r="AJ67" s="1" cm="1">
        <f t="array" ref="AJ67">OptionTheta("P",$E67,100,AJ$50,0.01,0.1,0)</f>
        <v>-4.3792444295589079E-4</v>
      </c>
      <c r="AK67" s="1" cm="1">
        <f t="array" ref="AK67">OptionTheta("P",$E67,100,AK$50,0.01,0.1,0)</f>
        <v>-4.9131216454326046E-4</v>
      </c>
      <c r="AO67" s="2">
        <f t="shared" si="17"/>
        <v>140</v>
      </c>
      <c r="AP67" s="1" cm="1">
        <f t="array" ref="AP67">OptionTheta("P",$E67,100,AP$50,0.01,0.3,0)</f>
        <v>-1.0884479513561149E-4</v>
      </c>
      <c r="AQ67" s="1" cm="1">
        <f t="array" ref="AQ67">OptionTheta("P",$E67,100,AQ$50,0.01,0.3,0)</f>
        <v>-1.7746152051570988E-3</v>
      </c>
      <c r="AR67" s="1" cm="1">
        <f t="array" ref="AR67">OptionTheta("P",$E67,100,AR$50,0.01,0.3,0)</f>
        <v>-4.1066857421157132E-3</v>
      </c>
      <c r="AS67" s="1" cm="1">
        <f t="array" ref="AS67">OptionTheta("P",$E67,100,AS$50,0.01,0.3,0)</f>
        <v>-5.9694045681502605E-3</v>
      </c>
      <c r="AT67" s="1" cm="1">
        <f t="array" ref="AT67">OptionTheta("P",$E67,100,AT$50,0.01,0.3,0)</f>
        <v>-7.2680334862315829E-3</v>
      </c>
      <c r="AU67" s="1" cm="1">
        <f t="array" ref="AU67">OptionTheta("P",$E67,100,AU$50,0.01,0.3,0)</f>
        <v>-8.134111396140788E-3</v>
      </c>
      <c r="AV67" s="1" cm="1">
        <f t="array" ref="AV67">OptionTheta("P",$E67,100,AV$50,0.01,0.3,0)</f>
        <v>-8.6968826158502887E-3</v>
      </c>
      <c r="AW67" s="1" cm="1">
        <f t="array" ref="AW67">OptionTheta("P",$E67,100,AW$50,0.01,0.3,0)</f>
        <v>-9.0507555181672389E-3</v>
      </c>
      <c r="AX67" s="1" cm="1">
        <f t="array" ref="AX67">OptionTheta("P",$E67,100,AX$50,0.01,0.3,0)</f>
        <v>-9.2603910874088126E-3</v>
      </c>
      <c r="AY67" s="1" cm="1">
        <f t="array" ref="AY67">OptionTheta("P",$E67,100,AY$50,0.01,0.3,0)</f>
        <v>-9.3696102770110309E-3</v>
      </c>
      <c r="AZ67" s="1" cm="1">
        <f t="array" ref="AZ67">OptionTheta("P",$E67,100,AZ$50,0.01,0.3,0)</f>
        <v>-8.6176505031720467E-3</v>
      </c>
      <c r="BA67" s="1" cm="1">
        <f t="array" ref="BA67">OptionTheta("P",$E67,100,BA$50,0.01,0.3,0)</f>
        <v>-7.4461239388309165E-3</v>
      </c>
      <c r="BB67" s="1" cm="1">
        <f t="array" ref="BB67">OptionTheta("P",$E67,100,BB$50,0.01,0.3,0)</f>
        <v>-6.4865538459903532E-3</v>
      </c>
      <c r="BC67" s="1" cm="1">
        <f t="array" ref="BC67">OptionTheta("P",$E67,100,BC$50,0.01,0.3,0)</f>
        <v>-5.7200891374558933E-3</v>
      </c>
    </row>
    <row r="89" spans="3:55" x14ac:dyDescent="0.3">
      <c r="C89" t="s">
        <v>10</v>
      </c>
      <c r="E89" s="1"/>
      <c r="F89" s="2">
        <v>0.1</v>
      </c>
      <c r="G89" s="2">
        <f>F89+0.1</f>
        <v>0.2</v>
      </c>
      <c r="H89" s="2">
        <f t="shared" ref="H89:N89" si="18">G89+0.1</f>
        <v>0.30000000000000004</v>
      </c>
      <c r="I89" s="2">
        <f t="shared" si="18"/>
        <v>0.4</v>
      </c>
      <c r="J89" s="2">
        <f t="shared" si="18"/>
        <v>0.5</v>
      </c>
      <c r="K89" s="2">
        <f t="shared" si="18"/>
        <v>0.6</v>
      </c>
      <c r="L89" s="2">
        <f t="shared" si="18"/>
        <v>0.7</v>
      </c>
      <c r="M89" s="2">
        <f t="shared" si="18"/>
        <v>0.79999999999999993</v>
      </c>
      <c r="N89" s="2">
        <f t="shared" si="18"/>
        <v>0.89999999999999991</v>
      </c>
      <c r="O89" s="2">
        <f>N89+0.1</f>
        <v>0.99999999999999989</v>
      </c>
      <c r="P89" s="2">
        <f>O89+1</f>
        <v>2</v>
      </c>
      <c r="Q89" s="2">
        <f t="shared" ref="Q89:S89" si="19">P89+1</f>
        <v>3</v>
      </c>
      <c r="R89" s="2">
        <f t="shared" si="19"/>
        <v>4</v>
      </c>
      <c r="S89" s="2">
        <f t="shared" si="19"/>
        <v>5</v>
      </c>
      <c r="U89" t="s">
        <v>10</v>
      </c>
      <c r="W89" s="1"/>
      <c r="X89" s="2">
        <v>0.1</v>
      </c>
      <c r="Y89" s="2">
        <f>X89+0.1</f>
        <v>0.2</v>
      </c>
      <c r="Z89" s="2">
        <f t="shared" ref="Z89:AF89" si="20">Y89+0.1</f>
        <v>0.30000000000000004</v>
      </c>
      <c r="AA89" s="2">
        <f t="shared" si="20"/>
        <v>0.4</v>
      </c>
      <c r="AB89" s="2">
        <f t="shared" si="20"/>
        <v>0.5</v>
      </c>
      <c r="AC89" s="2">
        <f t="shared" si="20"/>
        <v>0.6</v>
      </c>
      <c r="AD89" s="2">
        <f t="shared" si="20"/>
        <v>0.7</v>
      </c>
      <c r="AE89" s="2">
        <f t="shared" si="20"/>
        <v>0.79999999999999993</v>
      </c>
      <c r="AF89" s="2">
        <f t="shared" si="20"/>
        <v>0.89999999999999991</v>
      </c>
      <c r="AG89" s="2">
        <f>AF89+0.1</f>
        <v>0.99999999999999989</v>
      </c>
      <c r="AH89" s="2">
        <f>AG89+1</f>
        <v>2</v>
      </c>
      <c r="AI89" s="2">
        <f t="shared" ref="AI89:AK89" si="21">AH89+1</f>
        <v>3</v>
      </c>
      <c r="AJ89" s="2">
        <f t="shared" si="21"/>
        <v>4</v>
      </c>
      <c r="AK89" s="2">
        <f t="shared" si="21"/>
        <v>5</v>
      </c>
      <c r="AM89" t="s">
        <v>10</v>
      </c>
      <c r="AO89" s="1"/>
      <c r="AP89" s="2">
        <v>0.1</v>
      </c>
      <c r="AQ89" s="2">
        <f>AP89+0.1</f>
        <v>0.2</v>
      </c>
      <c r="AR89" s="2">
        <f t="shared" ref="AR89:AX89" si="22">AQ89+0.1</f>
        <v>0.30000000000000004</v>
      </c>
      <c r="AS89" s="2">
        <f t="shared" si="22"/>
        <v>0.4</v>
      </c>
      <c r="AT89" s="2">
        <f t="shared" si="22"/>
        <v>0.5</v>
      </c>
      <c r="AU89" s="2">
        <f t="shared" si="22"/>
        <v>0.6</v>
      </c>
      <c r="AV89" s="2">
        <f t="shared" si="22"/>
        <v>0.7</v>
      </c>
      <c r="AW89" s="2">
        <f t="shared" si="22"/>
        <v>0.79999999999999993</v>
      </c>
      <c r="AX89" s="2">
        <f t="shared" si="22"/>
        <v>0.89999999999999991</v>
      </c>
      <c r="AY89" s="2">
        <f>AX89+0.1</f>
        <v>0.99999999999999989</v>
      </c>
      <c r="AZ89" s="2">
        <f>AY89+1</f>
        <v>2</v>
      </c>
      <c r="BA89" s="2">
        <f t="shared" ref="BA89:BC89" si="23">AZ89+1</f>
        <v>3</v>
      </c>
      <c r="BB89" s="2">
        <f t="shared" si="23"/>
        <v>4</v>
      </c>
      <c r="BC89" s="2">
        <f t="shared" si="23"/>
        <v>5</v>
      </c>
    </row>
    <row r="90" spans="3:55" x14ac:dyDescent="0.3">
      <c r="C90" t="s">
        <v>6</v>
      </c>
      <c r="E90" s="2">
        <v>60</v>
      </c>
      <c r="F90" s="1" cm="1">
        <f t="array" ref="F90">OptionRho("P",$E90,100,F$89,0.01,0.2,0)</f>
        <v>-9.9900049983337486E-2</v>
      </c>
      <c r="G90" s="1" cm="1">
        <f t="array" ref="G90">OptionRho("P",$E90,100,G$89,0.01,0.2,0)</f>
        <v>-0.19960039875201666</v>
      </c>
      <c r="H90" s="1" cm="1">
        <f t="array" ref="H90">OptionRho("P",$E90,100,H$89,0.01,0.2,0)</f>
        <v>-0.29910094119721542</v>
      </c>
      <c r="I90" s="1" cm="1">
        <f t="array" ref="I90">OptionRho("P",$E90,100,I$89,0.01,0.2,0)</f>
        <v>-0.39839383281279955</v>
      </c>
      <c r="J90" s="1" cm="1">
        <f t="array" ref="J90">OptionRho("P",$E90,100,J$89,0.01,0.2,0)</f>
        <v>-0.49744035279710597</v>
      </c>
      <c r="K90" s="1" cm="1">
        <f t="array" ref="K90">OptionRho("P",$E90,100,K$89,0.01,0.2,0)</f>
        <v>-0.59615741088545715</v>
      </c>
      <c r="L90" s="1" cm="1">
        <f t="array" ref="L90">OptionRho("P",$E90,100,L$89,0.01,0.2,0)</f>
        <v>-0.69443214691678545</v>
      </c>
      <c r="M90" s="1" cm="1">
        <f t="array" ref="M90">OptionRho("P",$E90,100,M$89,0.01,0.2,0)</f>
        <v>-0.7921463018864362</v>
      </c>
      <c r="N90" s="1" cm="1">
        <f t="array" ref="N90">OptionRho("P",$E90,100,N$89,0.01,0.2,0)</f>
        <v>-0.88919402699541394</v>
      </c>
      <c r="O90" s="1" cm="1">
        <f t="array" ref="O90">OptionRho("P",$E90,100,O$89,0.01,0.2,0)</f>
        <v>-0.98549024249215711</v>
      </c>
      <c r="P90" s="1" cm="1">
        <f t="array" ref="P90">OptionRho("P",$E90,100,P$89,0.01,0.2,0)</f>
        <v>-1.9010442651574975</v>
      </c>
      <c r="Q90" s="1" cm="1">
        <f t="array" ref="Q90">OptionRho("P",$E90,100,Q$89,0.01,0.2,0)</f>
        <v>-2.7388840052041403</v>
      </c>
      <c r="R90" s="1" cm="1">
        <f t="array" ref="R90">OptionRho("P",$E90,100,R$89,0.01,0.2,0)</f>
        <v>-3.5193862364046682</v>
      </c>
      <c r="S90" s="1" cm="1">
        <f t="array" ref="S90">OptionRho("P",$E90,100,S$89,0.01,0.2,0)</f>
        <v>-4.2571656170608438</v>
      </c>
      <c r="U90" t="s">
        <v>8</v>
      </c>
      <c r="W90" s="2">
        <v>60</v>
      </c>
      <c r="X90" s="1" cm="1">
        <f t="array" ref="X90">OptionRho("P",$E90,100,X$89,0.01,0.1,0)</f>
        <v>-9.9900049983337513E-2</v>
      </c>
      <c r="Y90" s="1" cm="1">
        <f t="array" ref="Y90">OptionRho("P",$E90,100,Y$89,0.01,0.1,0)</f>
        <v>-0.19960039973346663</v>
      </c>
      <c r="Z90" s="1" cm="1">
        <f t="array" ref="Z90">OptionRho("P",$E90,100,Z$89,0.01,0.1,0)</f>
        <v>-0.29910134865101196</v>
      </c>
      <c r="AA90" s="1" cm="1">
        <f t="array" ref="AA90">OptionRho("P",$E90,100,AA$89,0.01,0.1,0)</f>
        <v>-0.39840319573759647</v>
      </c>
      <c r="AB90" s="1" cm="1">
        <f t="array" ref="AB90">OptionRho("P",$E90,100,AB$89,0.01,0.1,0)</f>
        <v>-0.49750623959617862</v>
      </c>
      <c r="AC90" s="1" cm="1">
        <f t="array" ref="AC90">OptionRho("P",$E90,100,AC$89,0.01,0.1,0)</f>
        <v>-0.59641077841587931</v>
      </c>
      <c r="AD90" s="1" cm="1">
        <f t="array" ref="AD90">OptionRho("P",$E90,100,AD$89,0.01,0.1,0)</f>
        <v>-0.69511710959092698</v>
      </c>
      <c r="AE90" s="1" cm="1">
        <f t="array" ref="AE90">OptionRho("P",$E90,100,AE$89,0.01,0.1,0)</f>
        <v>-0.79362552608576475</v>
      </c>
      <c r="AF90" s="1" cm="1">
        <f t="array" ref="AF90">OptionRho("P",$E90,100,AF$89,0.01,0.1,0)</f>
        <v>-0.89193629878559955</v>
      </c>
      <c r="AG90" s="1" cm="1">
        <f t="array" ref="AG90">OptionRho("P",$E90,100,AG$89,0.01,0.1,0)</f>
        <v>-0.99004962430033638</v>
      </c>
      <c r="AH90" s="1" cm="1">
        <f t="array" ref="AH90">OptionRho("P",$E90,100,AH$89,0.01,0.1,0)</f>
        <v>-1.9600071765528573</v>
      </c>
      <c r="AI90" s="1" cm="1">
        <f t="array" ref="AI90">OptionRho("P",$E90,100,AI$89,0.01,0.1,0)</f>
        <v>-2.9052211402699148</v>
      </c>
      <c r="AJ90" s="1" cm="1">
        <f t="array" ref="AJ90">OptionRho("P",$E90,100,AJ$89,0.01,0.1,0)</f>
        <v>-3.8160199409351754</v>
      </c>
      <c r="AK90" s="1" cm="1">
        <f t="array" ref="AK90">OptionRho("P",$E90,100,AK$89,0.01,0.1,0)</f>
        <v>-4.6852697276379232</v>
      </c>
      <c r="AM90" t="s">
        <v>7</v>
      </c>
      <c r="AO90" s="2">
        <v>60</v>
      </c>
      <c r="AP90" s="1" cm="1">
        <f t="array" ref="AP90">OptionRho("P",$E90,100,AP$89,0.01,0.3,0)</f>
        <v>-9.9900047030714284E-2</v>
      </c>
      <c r="AQ90" s="1" cm="1">
        <f t="array" ref="AQ90">OptionRho("P",$E90,100,AQ$89,0.01,0.3,0)</f>
        <v>-0.19958906720312347</v>
      </c>
      <c r="AR90" s="1" cm="1">
        <f t="array" ref="AR90">OptionRho("P",$E90,100,AR$89,0.01,0.3,0)</f>
        <v>-0.29887547417898269</v>
      </c>
      <c r="AS90" s="1" cm="1">
        <f t="array" ref="AS90">OptionRho("P",$E90,100,AS$89,0.01,0.3,0)</f>
        <v>-0.39727301203731991</v>
      </c>
      <c r="AT90" s="1" cm="1">
        <f t="array" ref="AT90">OptionRho("P",$E90,100,AT$89,0.01,0.3,0)</f>
        <v>-0.49433351210635079</v>
      </c>
      <c r="AU90" s="1" cm="1">
        <f t="array" ref="AU90">OptionRho("P",$E90,100,AU$89,0.01,0.3,0)</f>
        <v>-0.58981988989516643</v>
      </c>
      <c r="AV90" s="1" cm="1">
        <f t="array" ref="AV90">OptionRho("P",$E90,100,AV$89,0.01,0.3,0)</f>
        <v>-0.68366780363485458</v>
      </c>
      <c r="AW90" s="1" cm="1">
        <f t="array" ref="AW90">OptionRho("P",$E90,100,AW$89,0.01,0.3,0)</f>
        <v>-0.77591406824195042</v>
      </c>
      <c r="AX90" s="1" cm="1">
        <f t="array" ref="AX90">OptionRho("P",$E90,100,AX$89,0.01,0.3,0)</f>
        <v>-0.86664540920771516</v>
      </c>
      <c r="AY90" s="1" cm="1">
        <f t="array" ref="AY90">OptionRho("P",$E90,100,AY$89,0.01,0.3,0)</f>
        <v>-0.95596857167456883</v>
      </c>
      <c r="AZ90" s="1" cm="1">
        <f t="array" ref="AZ90">OptionRho("P",$E90,100,AZ$89,0.01,0.3,0)</f>
        <v>-1.7927899437333634</v>
      </c>
      <c r="BA90" s="1" cm="1">
        <f t="array" ref="BA90">OptionRho("P",$E90,100,BA$89,0.01,0.3,0)</f>
        <v>-2.5678638170961969</v>
      </c>
      <c r="BB90" s="1" cm="1">
        <f t="array" ref="BB90">OptionRho("P",$E90,100,BB$89,0.01,0.3,0)</f>
        <v>-3.3088619900105747</v>
      </c>
      <c r="BC90" s="1" cm="1">
        <f t="array" ref="BC90">OptionRho("P",$E90,100,BC$89,0.01,0.3,0)</f>
        <v>-4.0270142293204847</v>
      </c>
    </row>
    <row r="91" spans="3:55" x14ac:dyDescent="0.3">
      <c r="E91" s="2">
        <f>E90+5</f>
        <v>65</v>
      </c>
      <c r="F91" s="1" cm="1">
        <f t="array" ref="F91">OptionRho("P",$E91,100,F$89,0.01,0.2,0)</f>
        <v>-9.9900049982904665E-2</v>
      </c>
      <c r="G91" s="1" cm="1">
        <f t="array" ref="G91">OptionRho("P",$E91,100,G$89,0.01,0.2,0)</f>
        <v>-0.19960026927726371</v>
      </c>
      <c r="H91" s="1" cm="1">
        <f t="array" ref="H91">OptionRho("P",$E91,100,H$89,0.01,0.2,0)</f>
        <v>-0.29909013414212166</v>
      </c>
      <c r="I91" s="1" cm="1">
        <f t="array" ref="I91">OptionRho("P",$E91,100,I$89,0.01,0.2,0)</f>
        <v>-0.39828613898434018</v>
      </c>
      <c r="J91" s="1" cm="1">
        <f t="array" ref="J91">OptionRho("P",$E91,100,J$89,0.01,0.2,0)</f>
        <v>-0.49699382138164072</v>
      </c>
      <c r="K91" s="1" cm="1">
        <f t="array" ref="K91">OptionRho("P",$E91,100,K$89,0.01,0.2,0)</f>
        <v>-0.59497610389550271</v>
      </c>
      <c r="L91" s="1" cm="1">
        <f t="array" ref="L91">OptionRho("P",$E91,100,L$89,0.01,0.2,0)</f>
        <v>-0.69202729459779011</v>
      </c>
      <c r="M91" s="1" cm="1">
        <f t="array" ref="M91">OptionRho("P",$E91,100,M$89,0.01,0.2,0)</f>
        <v>-0.78800185672066991</v>
      </c>
      <c r="N91" s="1" cm="1">
        <f t="array" ref="N91">OptionRho("P",$E91,100,N$89,0.01,0.2,0)</f>
        <v>-0.88281318832772093</v>
      </c>
      <c r="O91" s="1" cm="1">
        <f t="array" ref="O91">OptionRho("P",$E91,100,O$89,0.01,0.2,0)</f>
        <v>-0.97642162356209616</v>
      </c>
      <c r="P91" s="1" cm="1">
        <f t="array" ref="P91">OptionRho("P",$E91,100,P$89,0.01,0.2,0)</f>
        <v>-1.8516049152267084</v>
      </c>
      <c r="Q91" s="1" cm="1">
        <f t="array" ref="Q91">OptionRho("P",$E91,100,Q$89,0.01,0.2,0)</f>
        <v>-2.6442743352052376</v>
      </c>
      <c r="R91" s="1" cm="1">
        <f t="array" ref="R91">OptionRho("P",$E91,100,R$89,0.01,0.2,0)</f>
        <v>-3.3834919661091263</v>
      </c>
      <c r="S91" s="1" cm="1">
        <f t="array" ref="S91">OptionRho("P",$E91,100,S$89,0.01,0.2,0)</f>
        <v>-4.0847066211875553</v>
      </c>
      <c r="W91" s="2">
        <f>W90+5</f>
        <v>65</v>
      </c>
      <c r="X91" s="1" cm="1">
        <f t="array" ref="X91">OptionRho("P",$E91,100,X$89,0.01,0.1,0)</f>
        <v>-9.9900049983337513E-2</v>
      </c>
      <c r="Y91" s="1" cm="1">
        <f t="array" ref="Y91">OptionRho("P",$E91,100,Y$89,0.01,0.1,0)</f>
        <v>-0.19960039973346663</v>
      </c>
      <c r="Z91" s="1" cm="1">
        <f t="array" ref="Z91">OptionRho("P",$E91,100,Z$89,0.01,0.1,0)</f>
        <v>-0.29910134865101123</v>
      </c>
      <c r="AA91" s="1" cm="1">
        <f t="array" ref="AA91">OptionRho("P",$E91,100,AA$89,0.01,0.1,0)</f>
        <v>-0.398403195735197</v>
      </c>
      <c r="AB91" s="1" cm="1">
        <f t="array" ref="AB91">OptionRho("P",$E91,100,AB$89,0.01,0.1,0)</f>
        <v>-0.49750623925100773</v>
      </c>
      <c r="AC91" s="1" cm="1">
        <f t="array" ref="AC91">OptionRho("P",$E91,100,AC$89,0.01,0.1,0)</f>
        <v>-0.59641076847476215</v>
      </c>
      <c r="AD91" s="1" cm="1">
        <f t="array" ref="AD91">OptionRho("P",$E91,100,AD$89,0.01,0.1,0)</f>
        <v>-0.69511699629717827</v>
      </c>
      <c r="AE91" s="1" cm="1">
        <f t="array" ref="AE91">OptionRho("P",$E91,100,AE$89,0.01,0.1,0)</f>
        <v>-0.79362480654308254</v>
      </c>
      <c r="AF91" s="1" cm="1">
        <f t="array" ref="AF91">OptionRho("P",$E91,100,AF$89,0.01,0.1,0)</f>
        <v>-0.89193321512612045</v>
      </c>
      <c r="AG91" s="1" cm="1">
        <f t="array" ref="AG91">OptionRho("P",$E91,100,AG$89,0.01,0.1,0)</f>
        <v>-0.99003961536586416</v>
      </c>
      <c r="AH91" s="1" cm="1">
        <f t="array" ref="AH91">OptionRho("P",$E91,100,AH$89,0.01,0.1,0)</f>
        <v>-1.957529074674156</v>
      </c>
      <c r="AI91" s="1" cm="1">
        <f t="array" ref="AI91">OptionRho("P",$E91,100,AI$89,0.01,0.1,0)</f>
        <v>-2.8875049425784916</v>
      </c>
      <c r="AJ91" s="1" cm="1">
        <f t="array" ref="AJ91">OptionRho("P",$E91,100,AJ$89,0.01,0.1,0)</f>
        <v>-3.76632542383236</v>
      </c>
      <c r="AK91" s="1" cm="1">
        <f t="array" ref="AK91">OptionRho("P",$E91,100,AK$89,0.01,0.1,0)</f>
        <v>-4.5907104705252273</v>
      </c>
      <c r="AO91" s="2">
        <f>AO90+5</f>
        <v>65</v>
      </c>
      <c r="AP91" s="1" cm="1">
        <f t="array" ref="AP91">OptionRho("P",$E91,100,AP$89,0.01,0.3,0)</f>
        <v>-9.9899815209394241E-2</v>
      </c>
      <c r="AQ91" s="1" cm="1">
        <f t="array" ref="AQ91">OptionRho("P",$E91,100,AQ$89,0.01,0.3,0)</f>
        <v>-0.19949039646523606</v>
      </c>
      <c r="AR91" s="1" cm="1">
        <f t="array" ref="AR91">OptionRho("P",$E91,100,AR$89,0.01,0.3,0)</f>
        <v>-0.29801848402060011</v>
      </c>
      <c r="AS91" s="1" cm="1">
        <f t="array" ref="AS91">OptionRho("P",$E91,100,AS$89,0.01,0.3,0)</f>
        <v>-0.39460495109785848</v>
      </c>
      <c r="AT91" s="1" cm="1">
        <f t="array" ref="AT91">OptionRho("P",$E91,100,AT$89,0.01,0.3,0)</f>
        <v>-0.48890399982000055</v>
      </c>
      <c r="AU91" s="1" cm="1">
        <f t="array" ref="AU91">OptionRho("P",$E91,100,AU$89,0.01,0.3,0)</f>
        <v>-0.58094117623133856</v>
      </c>
      <c r="AV91" s="1" cm="1">
        <f t="array" ref="AV91">OptionRho("P",$E91,100,AV$89,0.01,0.3,0)</f>
        <v>-0.67089416355798881</v>
      </c>
      <c r="AW91" s="1" cm="1">
        <f t="array" ref="AW91">OptionRho("P",$E91,100,AW$89,0.01,0.3,0)</f>
        <v>-0.75898139189468827</v>
      </c>
      <c r="AX91" s="1" cm="1">
        <f t="array" ref="AX91">OptionRho("P",$E91,100,AX$89,0.01,0.3,0)</f>
        <v>-0.8454162758756868</v>
      </c>
      <c r="AY91" s="1" cm="1">
        <f t="array" ref="AY91">OptionRho("P",$E91,100,AY$89,0.01,0.3,0)</f>
        <v>-0.93039121185323026</v>
      </c>
      <c r="AZ91" s="1" cm="1">
        <f t="array" ref="AZ91">OptionRho("P",$E91,100,AZ$89,0.01,0.3,0)</f>
        <v>-1.7272488638506938</v>
      </c>
      <c r="BA91" s="1" cm="1">
        <f t="array" ref="BA91">OptionRho("P",$E91,100,BA$89,0.01,0.3,0)</f>
        <v>-2.4710158142886698</v>
      </c>
      <c r="BB91" s="1" cm="1">
        <f t="array" ref="BB91">OptionRho("P",$E91,100,BB$89,0.01,0.3,0)</f>
        <v>-3.1870353394131872</v>
      </c>
      <c r="BC91" s="1" cm="1">
        <f t="array" ref="BC91">OptionRho("P",$E91,100,BC$89,0.01,0.3,0)</f>
        <v>-3.8845819777009787</v>
      </c>
    </row>
    <row r="92" spans="3:55" x14ac:dyDescent="0.3">
      <c r="E92" s="2">
        <f t="shared" ref="E92:E106" si="24">E91+5</f>
        <v>70</v>
      </c>
      <c r="F92" s="1" cm="1">
        <f t="array" ref="F92">OptionRho("P",$E92,100,F$89,0.01,0.2,0)</f>
        <v>-9.990004920641285E-2</v>
      </c>
      <c r="G92" s="1" cm="1">
        <f t="array" ref="G92">OptionRho("P",$E92,100,G$89,0.01,0.2,0)</f>
        <v>-0.19959434275580998</v>
      </c>
      <c r="H92" s="1" cm="1">
        <f t="array" ref="H92">OptionRho("P",$E92,100,H$89,0.01,0.2,0)</f>
        <v>-0.29894794754297288</v>
      </c>
      <c r="I92" s="1" cm="1">
        <f t="array" ref="I92">OptionRho("P",$E92,100,I$89,0.01,0.2,0)</f>
        <v>-0.39753608871221147</v>
      </c>
      <c r="J92" s="1" cm="1">
        <f t="array" ref="J92">OptionRho("P",$E92,100,J$89,0.01,0.2,0)</f>
        <v>-0.49488315365673735</v>
      </c>
      <c r="K92" s="1" cm="1">
        <f t="array" ref="K92">OptionRho("P",$E92,100,K$89,0.01,0.2,0)</f>
        <v>-0.59067651342831895</v>
      </c>
      <c r="L92" s="1" cm="1">
        <f t="array" ref="L92">OptionRho("P",$E92,100,L$89,0.01,0.2,0)</f>
        <v>-0.68477647194821667</v>
      </c>
      <c r="M92" s="1" cm="1">
        <f t="array" ref="M92">OptionRho("P",$E92,100,M$89,0.01,0.2,0)</f>
        <v>-0.77716158229035659</v>
      </c>
      <c r="N92" s="1" cm="1">
        <f t="array" ref="N92">OptionRho("P",$E92,100,N$89,0.01,0.2,0)</f>
        <v>-0.86787848942993051</v>
      </c>
      <c r="O92" s="1" cm="1">
        <f t="array" ref="O92">OptionRho("P",$E92,100,O$89,0.01,0.2,0)</f>
        <v>-0.95700847271534695</v>
      </c>
      <c r="P92" s="1" cm="1">
        <f t="array" ref="P92">OptionRho("P",$E92,100,P$89,0.01,0.2,0)</f>
        <v>-1.7810765397615398</v>
      </c>
      <c r="Q92" s="1" cm="1">
        <f t="array" ref="Q92">OptionRho("P",$E92,100,Q$89,0.01,0.2,0)</f>
        <v>-2.5265717253150868</v>
      </c>
      <c r="R92" s="1" cm="1">
        <f t="array" ref="R92">OptionRho("P",$E92,100,R$89,0.01,0.2,0)</f>
        <v>-3.2256582707604915</v>
      </c>
      <c r="S92" s="1" cm="1">
        <f t="array" ref="S92">OptionRho("P",$E92,100,S$89,0.01,0.2,0)</f>
        <v>-3.8925166110455169</v>
      </c>
      <c r="W92" s="2">
        <f t="shared" ref="W92:W106" si="25">W91+5</f>
        <v>70</v>
      </c>
      <c r="X92" s="1" cm="1">
        <f t="array" ref="X92">OptionRho("P",$E92,100,X$89,0.01,0.1,0)</f>
        <v>-9.9900049983337513E-2</v>
      </c>
      <c r="Y92" s="1" cm="1">
        <f t="array" ref="Y92">OptionRho("P",$E92,100,Y$89,0.01,0.1,0)</f>
        <v>-0.19960039973346647</v>
      </c>
      <c r="Z92" s="1" cm="1">
        <f t="array" ref="Z92">OptionRho("P",$E92,100,Z$89,0.01,0.1,0)</f>
        <v>-0.29910134863770482</v>
      </c>
      <c r="AA92" s="1" cm="1">
        <f t="array" ref="AA92">OptionRho("P",$E92,100,AA$89,0.01,0.1,0)</f>
        <v>-0.39840319165809857</v>
      </c>
      <c r="AB92" s="1" cm="1">
        <f t="array" ref="AB92">OptionRho("P",$E92,100,AB$89,0.01,0.1,0)</f>
        <v>-0.4975061033461215</v>
      </c>
      <c r="AC92" s="1" cm="1">
        <f t="array" ref="AC92">OptionRho("P",$E92,100,AC$89,0.01,0.1,0)</f>
        <v>-0.59640929545940014</v>
      </c>
      <c r="AD92" s="1" cm="1">
        <f t="array" ref="AD92">OptionRho("P",$E92,100,AD$89,0.01,0.1,0)</f>
        <v>-0.69510866599683718</v>
      </c>
      <c r="AE92" s="1" cm="1">
        <f t="array" ref="AE92">OptionRho("P",$E92,100,AE$89,0.01,0.1,0)</f>
        <v>-0.7935936043085654</v>
      </c>
      <c r="AF92" s="1" cm="1">
        <f t="array" ref="AF92">OptionRho("P",$E92,100,AF$89,0.01,0.1,0)</f>
        <v>-0.89184472786438251</v>
      </c>
      <c r="AG92" s="1" cm="1">
        <f t="array" ref="AG92">OptionRho("P",$E92,100,AG$89,0.01,0.1,0)</f>
        <v>-0.98983357421253237</v>
      </c>
      <c r="AH92" s="1" cm="1">
        <f t="array" ref="AH92">OptionRho("P",$E92,100,AH$89,0.01,0.1,0)</f>
        <v>-1.9464474795042803</v>
      </c>
      <c r="AI92" s="1" cm="1">
        <f t="array" ref="AI92">OptionRho("P",$E92,100,AI$89,0.01,0.1,0)</f>
        <v>-2.8406869415859761</v>
      </c>
      <c r="AJ92" s="1" cm="1">
        <f t="array" ref="AJ92">OptionRho("P",$E92,100,AJ$89,0.01,0.1,0)</f>
        <v>-3.6657910800281894</v>
      </c>
      <c r="AK92" s="1" cm="1">
        <f t="array" ref="AK92">OptionRho("P",$E92,100,AK$89,0.01,0.1,0)</f>
        <v>-4.4279826431888436</v>
      </c>
      <c r="AO92" s="2">
        <f t="shared" ref="AO92:AO106" si="26">AO91+5</f>
        <v>70</v>
      </c>
      <c r="AP92" s="1" cm="1">
        <f t="array" ref="AP92">OptionRho("P",$E92,100,AP$89,0.01,0.3,0)</f>
        <v>-9.9892721932446818E-2</v>
      </c>
      <c r="AQ92" s="1" cm="1">
        <f t="array" ref="AQ92">OptionRho("P",$E92,100,AQ$89,0.01,0.3,0)</f>
        <v>-0.19893027320196227</v>
      </c>
      <c r="AR92" s="1" cm="1">
        <f t="array" ref="AR92">OptionRho("P",$E92,100,AR$89,0.01,0.3,0)</f>
        <v>-0.29529580115074588</v>
      </c>
      <c r="AS92" s="1" cm="1">
        <f t="array" ref="AS92">OptionRho("P",$E92,100,AS$89,0.01,0.3,0)</f>
        <v>-0.38829467704337572</v>
      </c>
      <c r="AT92" s="1" cm="1">
        <f t="array" ref="AT92">OptionRho("P",$E92,100,AT$89,0.01,0.3,0)</f>
        <v>-0.47816504058929116</v>
      </c>
      <c r="AU92" s="1" cm="1">
        <f t="array" ref="AU92">OptionRho("P",$E92,100,AU$89,0.01,0.3,0)</f>
        <v>-0.56536508987617051</v>
      </c>
      <c r="AV92" s="1" cm="1">
        <f t="array" ref="AV92">OptionRho("P",$E92,100,AV$89,0.01,0.3,0)</f>
        <v>-0.65033286603069052</v>
      </c>
      <c r="AW92" s="1" cm="1">
        <f t="array" ref="AW92">OptionRho("P",$E92,100,AW$89,0.01,0.3,0)</f>
        <v>-0.73343428698687674</v>
      </c>
      <c r="AX92" s="1" cm="1">
        <f t="array" ref="AX92">OptionRho("P",$E92,100,AX$89,0.01,0.3,0)</f>
        <v>-0.81496374700015883</v>
      </c>
      <c r="AY92" s="1" cm="1">
        <f t="array" ref="AY92">OptionRho("P",$E92,100,AY$89,0.01,0.3,0)</f>
        <v>-0.89515635172001196</v>
      </c>
      <c r="AZ92" s="1" cm="1">
        <f t="array" ref="AZ92">OptionRho("P",$E92,100,AZ$89,0.01,0.3,0)</f>
        <v>-1.6520578868565337</v>
      </c>
      <c r="BA92" s="1" cm="1">
        <f t="array" ref="BA92">OptionRho("P",$E92,100,BA$89,0.01,0.3,0)</f>
        <v>-2.3665161061527402</v>
      </c>
      <c r="BB92" s="1" cm="1">
        <f t="array" ref="BB92">OptionRho("P",$E92,100,BB$89,0.01,0.3,0)</f>
        <v>-3.0595598963054811</v>
      </c>
      <c r="BC92" s="1" cm="1">
        <f t="array" ref="BC92">OptionRho("P",$E92,100,BC$89,0.01,0.3,0)</f>
        <v>-3.7382699537451458</v>
      </c>
    </row>
    <row r="93" spans="3:55" x14ac:dyDescent="0.3">
      <c r="E93" s="2">
        <f t="shared" si="24"/>
        <v>75</v>
      </c>
      <c r="F93" s="1" cm="1">
        <f t="array" ref="F93">OptionRho("P",$E93,100,F$89,0.01,0.2,0)</f>
        <v>-9.9899799847947279E-2</v>
      </c>
      <c r="G93" s="1" cm="1">
        <f t="array" ref="G93">OptionRho("P",$E93,100,G$89,0.01,0.2,0)</f>
        <v>-0.19948058234037422</v>
      </c>
      <c r="H93" s="1" cm="1">
        <f t="array" ref="H93">OptionRho("P",$E93,100,H$89,0.01,0.2,0)</f>
        <v>-0.29791018552939924</v>
      </c>
      <c r="I93" s="1" cm="1">
        <f t="array" ref="I93">OptionRho("P",$E93,100,I$89,0.01,0.2,0)</f>
        <v>-0.39419735917183096</v>
      </c>
      <c r="J93" s="1" cm="1">
        <f t="array" ref="J93">OptionRho("P",$E93,100,J$89,0.01,0.2,0)</f>
        <v>-0.48793118931720991</v>
      </c>
      <c r="K93" s="1" cm="1">
        <f t="array" ref="K93">OptionRho("P",$E93,100,K$89,0.01,0.2,0)</f>
        <v>-0.57911532755875661</v>
      </c>
      <c r="L93" s="1" cm="1">
        <f t="array" ref="L93">OptionRho("P",$E93,100,L$89,0.01,0.2,0)</f>
        <v>-0.66792834360049602</v>
      </c>
      <c r="M93" s="1" cm="1">
        <f t="array" ref="M93">OptionRho("P",$E93,100,M$89,0.01,0.2,0)</f>
        <v>-0.75459956615962376</v>
      </c>
      <c r="N93" s="1" cm="1">
        <f t="array" ref="N93">OptionRho("P",$E93,100,N$89,0.01,0.2,0)</f>
        <v>-0.83935697944585186</v>
      </c>
      <c r="O93" s="1" cm="1">
        <f t="array" ref="O93">OptionRho("P",$E93,100,O$89,0.01,0.2,0)</f>
        <v>-0.9224082898162046</v>
      </c>
      <c r="P93" s="1" cm="1">
        <f t="array" ref="P93">OptionRho("P",$E93,100,P$89,0.01,0.2,0)</f>
        <v>-1.6892014647187603</v>
      </c>
      <c r="Q93" s="1" cm="1">
        <f t="array" ref="Q93">OptionRho("P",$E93,100,Q$89,0.01,0.2,0)</f>
        <v>-2.3885967896533566</v>
      </c>
      <c r="R93" s="1" cm="1">
        <f t="array" ref="R93">OptionRho("P",$E93,100,R$89,0.01,0.2,0)</f>
        <v>-3.0501810319303875</v>
      </c>
      <c r="S93" s="1" cm="1">
        <f t="array" ref="S93">OptionRho("P",$E93,100,S$89,0.01,0.2,0)</f>
        <v>-3.6855361666166675</v>
      </c>
      <c r="W93" s="2">
        <f t="shared" si="25"/>
        <v>75</v>
      </c>
      <c r="X93" s="1" cm="1">
        <f t="array" ref="X93">OptionRho("P",$E93,100,X$89,0.01,0.1,0)</f>
        <v>-9.9900049983337513E-2</v>
      </c>
      <c r="Y93" s="1" cm="1">
        <f t="array" ref="Y93">OptionRho("P",$E93,100,Y$89,0.01,0.1,0)</f>
        <v>-0.19960039971898239</v>
      </c>
      <c r="Z93" s="1" cm="1">
        <f t="array" ref="Z93">OptionRho("P",$E93,100,Z$89,0.01,0.1,0)</f>
        <v>-0.29910132259838013</v>
      </c>
      <c r="AA93" s="1" cm="1">
        <f t="array" ref="AA93">OptionRho("P",$E93,100,AA$89,0.01,0.1,0)</f>
        <v>-0.39840194648520061</v>
      </c>
      <c r="AB93" s="1" cm="1">
        <f t="array" ref="AB93">OptionRho("P",$E93,100,AB$89,0.01,0.1,0)</f>
        <v>-0.49749254581248636</v>
      </c>
      <c r="AC93" s="1" cm="1">
        <f t="array" ref="AC93">OptionRho("P",$E93,100,AC$89,0.01,0.1,0)</f>
        <v>-0.59633991425530064</v>
      </c>
      <c r="AD93" s="1" cm="1">
        <f t="array" ref="AD93">OptionRho("P",$E93,100,AD$89,0.01,0.1,0)</f>
        <v>-0.69487999767534259</v>
      </c>
      <c r="AE93" s="1" cm="1">
        <f t="array" ref="AE93">OptionRho("P",$E93,100,AE$89,0.01,0.1,0)</f>
        <v>-0.79302408550228254</v>
      </c>
      <c r="AF93" s="1" cm="1">
        <f t="array" ref="AF93">OptionRho("P",$E93,100,AF$89,0.01,0.1,0)</f>
        <v>-0.89067167653905832</v>
      </c>
      <c r="AG93" s="1" cm="1">
        <f t="array" ref="AG93">OptionRho("P",$E93,100,AG$89,0.01,0.1,0)</f>
        <v>-0.98772259095825909</v>
      </c>
      <c r="AH93" s="1" cm="1">
        <f t="array" ref="AH93">OptionRho("P",$E93,100,AH$89,0.01,0.1,0)</f>
        <v>-1.9117921496304346</v>
      </c>
      <c r="AI93" s="1" cm="1">
        <f t="array" ref="AI93">OptionRho("P",$E93,100,AI$89,0.01,0.1,0)</f>
        <v>-2.7433364363860733</v>
      </c>
      <c r="AJ93" s="1" cm="1">
        <f t="array" ref="AJ93">OptionRho("P",$E93,100,AJ$89,0.01,0.1,0)</f>
        <v>-3.4958079648603313</v>
      </c>
      <c r="AK93" s="1" cm="1">
        <f t="array" ref="AK93">OptionRho("P",$E93,100,AK$89,0.01,0.1,0)</f>
        <v>-4.1851840910857252</v>
      </c>
      <c r="AO93" s="2">
        <f t="shared" si="26"/>
        <v>75</v>
      </c>
      <c r="AP93" s="1" cm="1">
        <f t="array" ref="AP93">OptionRho("P",$E93,100,AP$89,0.01,0.3,0)</f>
        <v>-9.9792886943120107E-2</v>
      </c>
      <c r="AQ93" s="1" cm="1">
        <f t="array" ref="AQ93">OptionRho("P",$E93,100,AQ$89,0.01,0.3,0)</f>
        <v>-0.19679989179304899</v>
      </c>
      <c r="AR93" s="1" cm="1">
        <f t="array" ref="AR93">OptionRho("P",$E93,100,AR$89,0.01,0.3,0)</f>
        <v>-0.28869660557168264</v>
      </c>
      <c r="AS93" s="1" cm="1">
        <f t="array" ref="AS93">OptionRho("P",$E93,100,AS$89,0.01,0.3,0)</f>
        <v>-0.37612570933400952</v>
      </c>
      <c r="AT93" s="1" cm="1">
        <f t="array" ref="AT93">OptionRho("P",$E93,100,AT$89,0.01,0.3,0)</f>
        <v>-0.46013059686234931</v>
      </c>
      <c r="AU93" s="1" cm="1">
        <f t="array" ref="AU93">OptionRho("P",$E93,100,AU$89,0.01,0.3,0)</f>
        <v>-0.54152295085709456</v>
      </c>
      <c r="AV93" s="1" cm="1">
        <f t="array" ref="AV93">OptionRho("P",$E93,100,AV$89,0.01,0.3,0)</f>
        <v>-0.62088320880276149</v>
      </c>
      <c r="AW93" s="1" cm="1">
        <f t="array" ref="AW93">OptionRho("P",$E93,100,AW$89,0.01,0.3,0)</f>
        <v>-0.69862694084171661</v>
      </c>
      <c r="AX93" s="1" cm="1">
        <f t="array" ref="AX93">OptionRho("P",$E93,100,AX$89,0.01,0.3,0)</f>
        <v>-0.77505757645217743</v>
      </c>
      <c r="AY93" s="1" cm="1">
        <f t="array" ref="AY93">OptionRho("P",$E93,100,AY$89,0.01,0.3,0)</f>
        <v>-0.85040177182801169</v>
      </c>
      <c r="AZ93" s="1" cm="1">
        <f t="array" ref="AZ93">OptionRho("P",$E93,100,AZ$89,0.01,0.3,0)</f>
        <v>-1.5691096395405175</v>
      </c>
      <c r="BA93" s="1" cm="1">
        <f t="array" ref="BA93">OptionRho("P",$E93,100,BA$89,0.01,0.3,0)</f>
        <v>-2.2565495032723408</v>
      </c>
      <c r="BB93" s="1" cm="1">
        <f t="array" ref="BB93">OptionRho("P",$E93,100,BB$89,0.01,0.3,0)</f>
        <v>-2.9285488771785357</v>
      </c>
      <c r="BC93" s="1" cm="1">
        <f t="array" ref="BC93">OptionRho("P",$E93,100,BC$89,0.01,0.3,0)</f>
        <v>-3.5900190517536217</v>
      </c>
    </row>
    <row r="94" spans="3:55" x14ac:dyDescent="0.3">
      <c r="E94" s="2">
        <f t="shared" si="24"/>
        <v>80</v>
      </c>
      <c r="F94" s="1" cm="1">
        <f t="array" ref="F94">OptionRho("P",$E94,100,F$89,0.01,0.2,0)</f>
        <v>-9.9880365963861073E-2</v>
      </c>
      <c r="G94" s="1" cm="1">
        <f t="array" ref="G94">OptionRho("P",$E94,100,G$89,0.01,0.2,0)</f>
        <v>-0.19841978436548499</v>
      </c>
      <c r="H94" s="1" cm="1">
        <f t="array" ref="H94">OptionRho("P",$E94,100,H$89,0.01,0.2,0)</f>
        <v>-0.29327187442853186</v>
      </c>
      <c r="I94" s="1" cm="1">
        <f t="array" ref="I94">OptionRho("P",$E94,100,I$89,0.01,0.2,0)</f>
        <v>-0.38395353517001568</v>
      </c>
      <c r="J94" s="1" cm="1">
        <f t="array" ref="J94">OptionRho("P",$E94,100,J$89,0.01,0.2,0)</f>
        <v>-0.47096501783520417</v>
      </c>
      <c r="K94" s="1" cm="1">
        <f t="array" ref="K94">OptionRho("P",$E94,100,K$89,0.01,0.2,0)</f>
        <v>-0.55492757242980617</v>
      </c>
      <c r="L94" s="1" cm="1">
        <f t="array" ref="L94">OptionRho("P",$E94,100,L$89,0.01,0.2,0)</f>
        <v>-0.63637397192903389</v>
      </c>
      <c r="M94" s="1" cm="1">
        <f t="array" ref="M94">OptionRho("P",$E94,100,M$89,0.01,0.2,0)</f>
        <v>-0.71572661144250882</v>
      </c>
      <c r="N94" s="1" cm="1">
        <f t="array" ref="N94">OptionRho("P",$E94,100,N$89,0.01,0.2,0)</f>
        <v>-0.79331520033742708</v>
      </c>
      <c r="O94" s="1" cm="1">
        <f t="array" ref="O94">OptionRho("P",$E94,100,O$89,0.01,0.2,0)</f>
        <v>-0.86939811441071058</v>
      </c>
      <c r="P94" s="1" cm="1">
        <f t="array" ref="P94">OptionRho("P",$E94,100,P$89,0.01,0.2,0)</f>
        <v>-1.5781333252461023</v>
      </c>
      <c r="Q94" s="1" cm="1">
        <f t="array" ref="Q94">OptionRho("P",$E94,100,Q$89,0.01,0.2,0)</f>
        <v>-2.2345611221477659</v>
      </c>
      <c r="R94" s="1" cm="1">
        <f t="array" ref="R94">OptionRho("P",$E94,100,R$89,0.01,0.2,0)</f>
        <v>-2.8619442081618183</v>
      </c>
      <c r="S94" s="1" cm="1">
        <f t="array" ref="S94">OptionRho("P",$E94,100,S$89,0.01,0.2,0)</f>
        <v>-3.4687687242801872</v>
      </c>
      <c r="W94" s="2">
        <f t="shared" si="25"/>
        <v>80</v>
      </c>
      <c r="X94" s="1" cm="1">
        <f t="array" ref="X94">OptionRho("P",$E94,100,X$89,0.01,0.1,0)</f>
        <v>-9.9900049983241909E-2</v>
      </c>
      <c r="Y94" s="1" cm="1">
        <f t="array" ref="Y94">OptionRho("P",$E94,100,Y$89,0.01,0.1,0)</f>
        <v>-0.19960033197089475</v>
      </c>
      <c r="Z94" s="1" cm="1">
        <f t="array" ref="Z94">OptionRho("P",$E94,100,Z$89,0.01,0.1,0)</f>
        <v>-0.29909357825878446</v>
      </c>
      <c r="AA94" s="1" cm="1">
        <f t="array" ref="AA94">OptionRho("P",$E94,100,AA$89,0.01,0.1,0)</f>
        <v>-0.39830932167047484</v>
      </c>
      <c r="AB94" s="1" cm="1">
        <f t="array" ref="AB94">OptionRho("P",$E94,100,AB$89,0.01,0.1,0)</f>
        <v>-0.49705693331611972</v>
      </c>
      <c r="AC94" s="1" cm="1">
        <f t="array" ref="AC94">OptionRho("P",$E94,100,AC$89,0.01,0.1,0)</f>
        <v>-0.59507405122365842</v>
      </c>
      <c r="AD94" s="1" cm="1">
        <f t="array" ref="AD94">OptionRho("P",$E94,100,AD$89,0.01,0.1,0)</f>
        <v>-0.69210769581279641</v>
      </c>
      <c r="AE94" s="1" cm="1">
        <f t="array" ref="AE94">OptionRho("P",$E94,100,AE$89,0.01,0.1,0)</f>
        <v>-0.78795837941602975</v>
      </c>
      <c r="AF94" s="1" cm="1">
        <f t="array" ref="AF94">OptionRho("P",$E94,100,AF$89,0.01,0.1,0)</f>
        <v>-0.88248936205981066</v>
      </c>
      <c r="AG94" s="1" cm="1">
        <f t="array" ref="AG94">OptionRho("P",$E94,100,AG$89,0.01,0.1,0)</f>
        <v>-0.97561925382655401</v>
      </c>
      <c r="AH94" s="1" cm="1">
        <f t="array" ref="AH94">OptionRho("P",$E94,100,AH$89,0.01,0.1,0)</f>
        <v>-1.8312350274293627</v>
      </c>
      <c r="AI94" s="1" cm="1">
        <f t="array" ref="AI94">OptionRho("P",$E94,100,AI$89,0.01,0.1,0)</f>
        <v>-2.5772999483671151</v>
      </c>
      <c r="AJ94" s="1" cm="1">
        <f t="array" ref="AJ94">OptionRho("P",$E94,100,AJ$89,0.01,0.1,0)</f>
        <v>-3.2479221622975731</v>
      </c>
      <c r="AK94" s="1" cm="1">
        <f t="array" ref="AK94">OptionRho("P",$E94,100,AK$89,0.01,0.1,0)</f>
        <v>-3.8630610577321525</v>
      </c>
      <c r="AO94" s="2">
        <f t="shared" si="26"/>
        <v>80</v>
      </c>
      <c r="AP94" s="1" cm="1">
        <f t="array" ref="AP94">OptionRho("P",$E94,100,AP$89,0.01,0.3,0)</f>
        <v>-9.9056254487734446E-2</v>
      </c>
      <c r="AQ94" s="1" cm="1">
        <f t="array" ref="AQ94">OptionRho("P",$E94,100,AQ$89,0.01,0.3,0)</f>
        <v>-0.19099023964378906</v>
      </c>
      <c r="AR94" s="1" cm="1">
        <f t="array" ref="AR94">OptionRho("P",$E94,100,AR$89,0.01,0.3,0)</f>
        <v>-0.27591313342368479</v>
      </c>
      <c r="AS94" s="1" cm="1">
        <f t="array" ref="AS94">OptionRho("P",$E94,100,AS$89,0.01,0.3,0)</f>
        <v>-0.35630152749774369</v>
      </c>
      <c r="AT94" s="1" cm="1">
        <f t="array" ref="AT94">OptionRho("P",$E94,100,AT$89,0.01,0.3,0)</f>
        <v>-0.43367000036610232</v>
      </c>
      <c r="AU94" s="1" cm="1">
        <f t="array" ref="AU94">OptionRho("P",$E94,100,AU$89,0.01,0.3,0)</f>
        <v>-0.50890833069967678</v>
      </c>
      <c r="AV94" s="1" cm="1">
        <f t="array" ref="AV94">OptionRho("P",$E94,100,AV$89,0.01,0.3,0)</f>
        <v>-0.58257023016842235</v>
      </c>
      <c r="AW94" s="1" cm="1">
        <f t="array" ref="AW94">OptionRho("P",$E94,100,AW$89,0.01,0.3,0)</f>
        <v>-0.65502063668732957</v>
      </c>
      <c r="AX94" s="1" cm="1">
        <f t="array" ref="AX94">OptionRho("P",$E94,100,AX$89,0.01,0.3,0)</f>
        <v>-0.72651182904195077</v>
      </c>
      <c r="AY94" s="1" cm="1">
        <f t="array" ref="AY94">OptionRho("P",$E94,100,AY$89,0.01,0.3,0)</f>
        <v>-0.79722509078333048</v>
      </c>
      <c r="AZ94" s="1" cm="1">
        <f t="array" ref="AZ94">OptionRho("P",$E94,100,AZ$89,0.01,0.3,0)</f>
        <v>-1.4804925745616104</v>
      </c>
      <c r="BA94" s="1" cm="1">
        <f t="array" ref="BA94">OptionRho("P",$E94,100,BA$89,0.01,0.3,0)</f>
        <v>-2.1431725195190503</v>
      </c>
      <c r="BB94" s="1" cm="1">
        <f t="array" ref="BB94">OptionRho("P",$E94,100,BB$89,0.01,0.3,0)</f>
        <v>-2.795858762583689</v>
      </c>
      <c r="BC94" s="1" cm="1">
        <f t="array" ref="BC94">OptionRho("P",$E94,100,BC$89,0.01,0.3,0)</f>
        <v>-3.4414649060133029</v>
      </c>
    </row>
    <row r="95" spans="3:55" x14ac:dyDescent="0.3">
      <c r="E95" s="2">
        <f t="shared" si="24"/>
        <v>85</v>
      </c>
      <c r="F95" s="1" cm="1">
        <f t="array" ref="F95">OptionRho("P",$E95,100,F$89,0.01,0.2,0)</f>
        <v>-9.9414292021761066E-2</v>
      </c>
      <c r="G95" s="1" cm="1">
        <f t="array" ref="G95">OptionRho("P",$E95,100,G$89,0.01,0.2,0)</f>
        <v>-0.19302759112036566</v>
      </c>
      <c r="H95" s="1" cm="1">
        <f t="array" ref="H95">OptionRho("P",$E95,100,H$89,0.01,0.2,0)</f>
        <v>-0.27954086416817803</v>
      </c>
      <c r="I95" s="1" cm="1">
        <f t="array" ref="I95">OptionRho("P",$E95,100,I$89,0.01,0.2,0)</f>
        <v>-0.36094855187459557</v>
      </c>
      <c r="J95" s="1" cm="1">
        <f t="array" ref="J95">OptionRho("P",$E95,100,J$89,0.01,0.2,0)</f>
        <v>-0.43875068358505365</v>
      </c>
      <c r="K95" s="1" cm="1">
        <f t="array" ref="K95">OptionRho("P",$E95,100,K$89,0.01,0.2,0)</f>
        <v>-0.51390032109866013</v>
      </c>
      <c r="L95" s="1" cm="1">
        <f t="array" ref="L95">OptionRho("P",$E95,100,L$89,0.01,0.2,0)</f>
        <v>-0.58701700610865204</v>
      </c>
      <c r="M95" s="1" cm="1">
        <f t="array" ref="M95">OptionRho("P",$E95,100,M$89,0.01,0.2,0)</f>
        <v>-0.65852123968914777</v>
      </c>
      <c r="N95" s="1" cm="1">
        <f t="array" ref="N95">OptionRho("P",$E95,100,N$89,0.01,0.2,0)</f>
        <v>-0.72871028885159717</v>
      </c>
      <c r="O95" s="1" cm="1">
        <f t="array" ref="O95">OptionRho("P",$E95,100,O$89,0.01,0.2,0)</f>
        <v>-0.79780177175508094</v>
      </c>
      <c r="P95" s="1" cm="1">
        <f t="array" ref="P95">OptionRho("P",$E95,100,P$89,0.01,0.2,0)</f>
        <v>-1.4519373350091147</v>
      </c>
      <c r="Q95" s="1" cm="1">
        <f t="array" ref="Q95">OptionRho("P",$E95,100,Q$89,0.01,0.2,0)</f>
        <v>-2.0694088502785388</v>
      </c>
      <c r="R95" s="1" cm="1">
        <f t="array" ref="R95">OptionRho("P",$E95,100,R$89,0.01,0.2,0)</f>
        <v>-2.665906412411668</v>
      </c>
      <c r="S95" s="1" cm="1">
        <f t="array" ref="S95">OptionRho("P",$E95,100,S$89,0.01,0.2,0)</f>
        <v>-3.2469274685521823</v>
      </c>
      <c r="W95" s="2">
        <f t="shared" si="25"/>
        <v>85</v>
      </c>
      <c r="X95" s="1" cm="1">
        <f t="array" ref="X95">OptionRho("P",$E95,100,X$89,0.01,0.1,0)</f>
        <v>-9.9900035001622409E-2</v>
      </c>
      <c r="Y95" s="1" cm="1">
        <f t="array" ref="Y95">OptionRho("P",$E95,100,Y$89,0.01,0.1,0)</f>
        <v>-0.19957003772239573</v>
      </c>
      <c r="Z95" s="1" cm="1">
        <f t="array" ref="Z95">OptionRho("P",$E95,100,Z$89,0.01,0.1,0)</f>
        <v>-0.29861017224298619</v>
      </c>
      <c r="AA95" s="1" cm="1">
        <f t="array" ref="AA95">OptionRho("P",$E95,100,AA$89,0.01,0.1,0)</f>
        <v>-0.39618250939212946</v>
      </c>
      <c r="AB95" s="1" cm="1">
        <f t="array" ref="AB95">OptionRho("P",$E95,100,AB$89,0.01,0.1,0)</f>
        <v>-0.49162693233839566</v>
      </c>
      <c r="AC95" s="1" cm="1">
        <f t="array" ref="AC95">OptionRho("P",$E95,100,AC$89,0.01,0.1,0)</f>
        <v>-0.58464424984096153</v>
      </c>
      <c r="AD95" s="1" cm="1">
        <f t="array" ref="AD95">OptionRho("P",$E95,100,AD$89,0.01,0.1,0)</f>
        <v>-0.67518489921089653</v>
      </c>
      <c r="AE95" s="1" cm="1">
        <f t="array" ref="AE95">OptionRho("P",$E95,100,AE$89,0.01,0.1,0)</f>
        <v>-0.76333065645166875</v>
      </c>
      <c r="AF95" s="1" cm="1">
        <f t="array" ref="AF95">OptionRho("P",$E95,100,AF$89,0.01,0.1,0)</f>
        <v>-0.84922150791862006</v>
      </c>
      <c r="AG95" s="1" cm="1">
        <f t="array" ref="AG95">OptionRho("P",$E95,100,AG$89,0.01,0.1,0)</f>
        <v>-0.93301664808441942</v>
      </c>
      <c r="AH95" s="1" cm="1">
        <f t="array" ref="AH95">OptionRho("P",$E95,100,AH$89,0.01,0.1,0)</f>
        <v>-1.6851347130193406</v>
      </c>
      <c r="AI95" s="1" cm="1">
        <f t="array" ref="AI95">OptionRho("P",$E95,100,AI$89,0.01,0.1,0)</f>
        <v>-2.3372499898052825</v>
      </c>
      <c r="AJ95" s="1" cm="1">
        <f t="array" ref="AJ95">OptionRho("P",$E95,100,AJ$89,0.01,0.1,0)</f>
        <v>-2.9283005382871439</v>
      </c>
      <c r="AK95" s="1" cm="1">
        <f t="array" ref="AK95">OptionRho("P",$E95,100,AK$89,0.01,0.1,0)</f>
        <v>-3.4754296402903977</v>
      </c>
      <c r="AO95" s="2">
        <f t="shared" si="26"/>
        <v>85</v>
      </c>
      <c r="AP95" s="1" cm="1">
        <f t="array" ref="AP95">OptionRho("P",$E95,100,AP$89,0.01,0.3,0)</f>
        <v>-9.5898079367803174E-2</v>
      </c>
      <c r="AQ95" s="1" cm="1">
        <f t="array" ref="AQ95">OptionRho("P",$E95,100,AQ$89,0.01,0.3,0)</f>
        <v>-0.17900138464702656</v>
      </c>
      <c r="AR95" s="1" cm="1">
        <f t="array" ref="AR95">OptionRho("P",$E95,100,AR$89,0.01,0.3,0)</f>
        <v>-0.2553787920141718</v>
      </c>
      <c r="AS95" s="1" cm="1">
        <f t="array" ref="AS95">OptionRho("P",$E95,100,AS$89,0.01,0.3,0)</f>
        <v>-0.32824500784124316</v>
      </c>
      <c r="AT95" s="1" cm="1">
        <f t="array" ref="AT95">OptionRho("P",$E95,100,AT$89,0.01,0.3,0)</f>
        <v>-0.3989765623363617</v>
      </c>
      <c r="AU95" s="1" cm="1">
        <f t="array" ref="AU95">OptionRho("P",$E95,100,AU$89,0.01,0.3,0)</f>
        <v>-0.4682779514529069</v>
      </c>
      <c r="AV95" s="1" cm="1">
        <f t="array" ref="AV95">OptionRho("P",$E95,100,AV$89,0.01,0.3,0)</f>
        <v>-0.5365572432015524</v>
      </c>
      <c r="AW95" s="1" cm="1">
        <f t="array" ref="AW95">OptionRho("P",$E95,100,AW$89,0.01,0.3,0)</f>
        <v>-0.60407187755530889</v>
      </c>
      <c r="AX95" s="1" cm="1">
        <f t="array" ref="AX95">OptionRho("P",$E95,100,AX$89,0.01,0.3,0)</f>
        <v>-0.67099459943799777</v>
      </c>
      <c r="AY95" s="1" cm="1">
        <f t="array" ref="AY95">OptionRho("P",$E95,100,AY$89,0.01,0.3,0)</f>
        <v>-0.73744682235929226</v>
      </c>
      <c r="AZ95" s="1" cm="1">
        <f t="array" ref="AZ95">OptionRho("P",$E95,100,AZ$89,0.01,0.3,0)</f>
        <v>-1.3882985664860106</v>
      </c>
      <c r="BA95" s="1" cm="1">
        <f t="array" ref="BA95">OptionRho("P",$E95,100,BA$89,0.01,0.3,0)</f>
        <v>-2.0282342641574003</v>
      </c>
      <c r="BB95" s="1" cm="1">
        <f t="array" ref="BB95">OptionRho("P",$E95,100,BB$89,0.01,0.3,0)</f>
        <v>-2.6630737119348518</v>
      </c>
      <c r="BC95" s="1" cm="1">
        <f t="array" ref="BC95">OptionRho("P",$E95,100,BC$89,0.01,0.3,0)</f>
        <v>-3.2939567853055052</v>
      </c>
    </row>
    <row r="96" spans="3:55" x14ac:dyDescent="0.3">
      <c r="E96" s="2">
        <f t="shared" si="24"/>
        <v>90</v>
      </c>
      <c r="F96" s="1" cm="1">
        <f t="array" ref="F96">OptionRho("P",$E96,100,F$89,0.01,0.2,0)</f>
        <v>-9.5273399454231758E-2</v>
      </c>
      <c r="G96" s="1" cm="1">
        <f t="array" ref="G96">OptionRho("P",$E96,100,G$89,0.01,0.2,0)</f>
        <v>-0.17664512161955698</v>
      </c>
      <c r="H96" s="1" cm="1">
        <f t="array" ref="H96">OptionRho("P",$E96,100,H$89,0.01,0.2,0)</f>
        <v>-0.25086087962514608</v>
      </c>
      <c r="I96" s="1" cm="1">
        <f t="array" ref="I96">OptionRho("P",$E96,100,I$89,0.01,0.2,0)</f>
        <v>-0.32125751421305254</v>
      </c>
      <c r="J96" s="1" cm="1">
        <f t="array" ref="J96">OptionRho("P",$E96,100,J$89,0.01,0.2,0)</f>
        <v>-0.38925508361484984</v>
      </c>
      <c r="K96" s="1" cm="1">
        <f t="array" ref="K96">OptionRho("P",$E96,100,K$89,0.01,0.2,0)</f>
        <v>-0.45558439750236124</v>
      </c>
      <c r="L96" s="1" cm="1">
        <f t="array" ref="L96">OptionRho("P",$E96,100,L$89,0.01,0.2,0)</f>
        <v>-0.52067288526246502</v>
      </c>
      <c r="M96" s="1" cm="1">
        <f t="array" ref="M96">OptionRho("P",$E96,100,M$89,0.01,0.2,0)</f>
        <v>-0.58479342652948596</v>
      </c>
      <c r="N96" s="1" cm="1">
        <f t="array" ref="N96">OptionRho("P",$E96,100,N$89,0.01,0.2,0)</f>
        <v>-0.64813159334649983</v>
      </c>
      <c r="O96" s="1" cm="1">
        <f t="array" ref="O96">OptionRho("P",$E96,100,O$89,0.01,0.2,0)</f>
        <v>-0.71081972912872315</v>
      </c>
      <c r="P96" s="1" cm="1">
        <f t="array" ref="P96">OptionRho("P",$E96,100,P$89,0.01,0.2,0)</f>
        <v>-1.3158096309700396</v>
      </c>
      <c r="Q96" s="1" cm="1">
        <f t="array" ref="Q96">OptionRho("P",$E96,100,Q$89,0.01,0.2,0)</f>
        <v>-1.8982199268452462</v>
      </c>
      <c r="R96" s="1" cm="1">
        <f t="array" ref="R96">OptionRho("P",$E96,100,R$89,0.01,0.2,0)</f>
        <v>-2.4667209312610385</v>
      </c>
      <c r="S96" s="1" cm="1">
        <f t="array" ref="S96">OptionRho("P",$E96,100,S$89,0.01,0.2,0)</f>
        <v>-3.024212005593808</v>
      </c>
      <c r="W96" s="2">
        <f t="shared" si="25"/>
        <v>90</v>
      </c>
      <c r="X96" s="1" cm="1">
        <f t="array" ref="X96">OptionRho("P",$E96,100,X$89,0.01,0.1,0)</f>
        <v>-9.985443454753605E-2</v>
      </c>
      <c r="Y96" s="1" cm="1">
        <f t="array" ref="Y96">OptionRho("P",$E96,100,Y$89,0.01,0.1,0)</f>
        <v>-0.19764250540073477</v>
      </c>
      <c r="Z96" s="1" cm="1">
        <f t="array" ref="Z96">OptionRho("P",$E96,100,Z$89,0.01,0.1,0)</f>
        <v>-0.29043783160633657</v>
      </c>
      <c r="AA96" s="1" cm="1">
        <f t="array" ref="AA96">OptionRho("P",$E96,100,AA$89,0.01,0.1,0)</f>
        <v>-0.37804449596512069</v>
      </c>
      <c r="AB96" s="1" cm="1">
        <f t="array" ref="AB96">OptionRho("P",$E96,100,AB$89,0.01,0.1,0)</f>
        <v>-0.46124764352636227</v>
      </c>
      <c r="AC96" s="1" cm="1">
        <f t="array" ref="AC96">OptionRho("P",$E96,100,AC$89,0.01,0.1,0)</f>
        <v>-0.54084164328407514</v>
      </c>
      <c r="AD96" s="1" cm="1">
        <f t="array" ref="AD96">OptionRho("P",$E96,100,AD$89,0.01,0.1,0)</f>
        <v>-0.61746316022743397</v>
      </c>
      <c r="AE96" s="1" cm="1">
        <f t="array" ref="AE96">OptionRho("P",$E96,100,AE$89,0.01,0.1,0)</f>
        <v>-0.69160045612128529</v>
      </c>
      <c r="AF96" s="1" cm="1">
        <f t="array" ref="AF96">OptionRho("P",$E96,100,AF$89,0.01,0.1,0)</f>
        <v>-0.76362775076181966</v>
      </c>
      <c r="AG96" s="1" cm="1">
        <f t="array" ref="AG96">OptionRho("P",$E96,100,AG$89,0.01,0.1,0)</f>
        <v>-0.83383533155302381</v>
      </c>
      <c r="AH96" s="1" cm="1">
        <f t="array" ref="AH96">OptionRho("P",$E96,100,AH$89,0.01,0.1,0)</f>
        <v>-1.470180213210559</v>
      </c>
      <c r="AI96" s="1" cm="1">
        <f t="array" ref="AI96">OptionRho("P",$E96,100,AI$89,0.01,0.1,0)</f>
        <v>-2.035196727627282</v>
      </c>
      <c r="AJ96" s="1" cm="1">
        <f t="array" ref="AJ96">OptionRho("P",$E96,100,AJ$89,0.01,0.1,0)</f>
        <v>-2.5566162545287616</v>
      </c>
      <c r="AK96" s="1" cm="1">
        <f t="array" ref="AK96">OptionRho("P",$E96,100,AK$89,0.01,0.1,0)</f>
        <v>-3.0455786504962985</v>
      </c>
      <c r="AO96" s="2">
        <f t="shared" si="26"/>
        <v>90</v>
      </c>
      <c r="AP96" s="1" cm="1">
        <f t="array" ref="AP96">OptionRho("P",$E96,100,AP$89,0.01,0.3,0)</f>
        <v>-8.7353656633138821E-2</v>
      </c>
      <c r="AQ96" s="1" cm="1">
        <f t="array" ref="AQ96">OptionRho("P",$E96,100,AQ$89,0.01,0.3,0)</f>
        <v>-0.15944882974268879</v>
      </c>
      <c r="AR96" s="1" cm="1">
        <f t="array" ref="AR96">OptionRho("P",$E96,100,AR$89,0.01,0.3,0)</f>
        <v>-0.22720559225843825</v>
      </c>
      <c r="AS96" s="1" cm="1">
        <f t="array" ref="AS96">OptionRho("P",$E96,100,AS$89,0.01,0.3,0)</f>
        <v>-0.29296712274180514</v>
      </c>
      <c r="AT96" s="1" cm="1">
        <f t="array" ref="AT96">OptionRho("P",$E96,100,AT$89,0.01,0.3,0)</f>
        <v>-0.35758896429098663</v>
      </c>
      <c r="AU96" s="1" cm="1">
        <f t="array" ref="AU96">OptionRho("P",$E96,100,AU$89,0.01,0.3,0)</f>
        <v>-0.4214833813816844</v>
      </c>
      <c r="AV96" s="1" cm="1">
        <f t="array" ref="AV96">OptionRho("P",$E96,100,AV$89,0.01,0.3,0)</f>
        <v>-0.48488129083332387</v>
      </c>
      <c r="AW96" s="1" cm="1">
        <f t="array" ref="AW96">OptionRho("P",$E96,100,AW$89,0.01,0.3,0)</f>
        <v>-0.54792489416524304</v>
      </c>
      <c r="AX96" s="1" cm="1">
        <f t="array" ref="AX96">OptionRho("P",$E96,100,AX$89,0.01,0.3,0)</f>
        <v>-0.61070764584295278</v>
      </c>
      <c r="AY96" s="1" cm="1">
        <f t="array" ref="AY96">OptionRho("P",$E96,100,AY$89,0.01,0.3,0)</f>
        <v>-0.67329392708837987</v>
      </c>
      <c r="AZ96" s="1" cm="1">
        <f t="array" ref="AZ96">OptionRho("P",$E96,100,AZ$89,0.01,0.3,0)</f>
        <v>-1.2944838850232225</v>
      </c>
      <c r="BA96" s="1" cm="1">
        <f t="array" ref="BA96">OptionRho("P",$E96,100,BA$89,0.01,0.3,0)</f>
        <v>-1.9133364425328785</v>
      </c>
      <c r="BB96" s="1" cm="1">
        <f t="array" ref="BB96">OptionRho("P",$E96,100,BB$89,0.01,0.3,0)</f>
        <v>-2.5315111590315631</v>
      </c>
      <c r="BC96" s="1" cm="1">
        <f t="array" ref="BC96">OptionRho("P",$E96,100,BC$89,0.01,0.3,0)</f>
        <v>-3.1485852336066738</v>
      </c>
    </row>
    <row r="97" spans="5:55" x14ac:dyDescent="0.3">
      <c r="E97" s="2">
        <f t="shared" si="24"/>
        <v>95</v>
      </c>
      <c r="F97" s="1" cm="1">
        <f t="array" ref="F97">OptionRho("P",$E97,100,F$89,0.01,0.2,0)</f>
        <v>-7.950377346604158E-2</v>
      </c>
      <c r="G97" s="1" cm="1">
        <f t="array" ref="G97">OptionRho("P",$E97,100,G$89,0.01,0.2,0)</f>
        <v>-0.14458214370301661</v>
      </c>
      <c r="H97" s="1" cm="1">
        <f t="array" ref="H97">OptionRho("P",$E97,100,H$89,0.01,0.2,0)</f>
        <v>-0.2063564353985079</v>
      </c>
      <c r="I97" s="1" cm="1">
        <f t="array" ref="I97">OptionRho("P",$E97,100,I$89,0.01,0.2,0)</f>
        <v>-0.26652860795022792</v>
      </c>
      <c r="J97" s="1" cm="1">
        <f t="array" ref="J97">OptionRho("P",$E97,100,J$89,0.01,0.2,0)</f>
        <v>-0.32571967311131306</v>
      </c>
      <c r="K97" s="1" cm="1">
        <f t="array" ref="K97">OptionRho("P",$E97,100,K$89,0.01,0.2,0)</f>
        <v>-0.38423416226145973</v>
      </c>
      <c r="L97" s="1" cm="1">
        <f t="array" ref="L97">OptionRho("P",$E97,100,L$89,0.01,0.2,0)</f>
        <v>-0.44224635428979553</v>
      </c>
      <c r="M97" s="1" cm="1">
        <f t="array" ref="M97">OptionRho("P",$E97,100,M$89,0.01,0.2,0)</f>
        <v>-0.4998660895201758</v>
      </c>
      <c r="N97" s="1" cm="1">
        <f t="array" ref="N97">OptionRho("P",$E97,100,N$89,0.01,0.2,0)</f>
        <v>-0.55716734327099027</v>
      </c>
      <c r="O97" s="1" cm="1">
        <f t="array" ref="O97">OptionRho("P",$E97,100,O$89,0.01,0.2,0)</f>
        <v>-0.61420241114846619</v>
      </c>
      <c r="P97" s="1" cm="1">
        <f t="array" ref="P97">OptionRho("P",$E97,100,P$89,0.01,0.2,0)</f>
        <v>-1.1752633104385721</v>
      </c>
      <c r="Q97" s="1" cm="1">
        <f t="array" ref="Q97">OptionRho("P",$E97,100,Q$89,0.01,0.2,0)</f>
        <v>-1.7257498868906036</v>
      </c>
      <c r="R97" s="1" cm="1">
        <f t="array" ref="R97">OptionRho("P",$E97,100,R$89,0.01,0.2,0)</f>
        <v>-2.2684912659159515</v>
      </c>
      <c r="S97" s="1" cm="1">
        <f t="array" ref="S97">OptionRho("P",$E97,100,S$89,0.01,0.2,0)</f>
        <v>-2.804192057514328</v>
      </c>
      <c r="W97" s="2">
        <f t="shared" si="25"/>
        <v>95</v>
      </c>
      <c r="X97" s="1" cm="1">
        <f t="array" ref="X97">OptionRho("P",$E97,100,X$89,0.01,0.1,0)</f>
        <v>-9.449423440245025E-2</v>
      </c>
      <c r="Y97" s="1" cm="1">
        <f t="array" ref="Y97">OptionRho("P",$E97,100,Y$89,0.01,0.1,0)</f>
        <v>-0.17357631408340382</v>
      </c>
      <c r="Z97" s="1" cm="1">
        <f t="array" ref="Z97">OptionRho("P",$E97,100,Z$89,0.01,0.1,0)</f>
        <v>-0.24476975072349663</v>
      </c>
      <c r="AA97" s="1" cm="1">
        <f t="array" ref="AA97">OptionRho("P",$E97,100,AA$89,0.01,0.1,0)</f>
        <v>-0.31160173252766643</v>
      </c>
      <c r="AB97" s="1" cm="1">
        <f t="array" ref="AB97">OptionRho("P",$E97,100,AB$89,0.01,0.1,0)</f>
        <v>-0.37557538029528142</v>
      </c>
      <c r="AC97" s="1" cm="1">
        <f t="array" ref="AC97">OptionRho("P",$E97,100,AC$89,0.01,0.1,0)</f>
        <v>-0.43747332474639966</v>
      </c>
      <c r="AD97" s="1" cm="1">
        <f t="array" ref="AD97">OptionRho("P",$E97,100,AD$89,0.01,0.1,0)</f>
        <v>-0.49776030881182393</v>
      </c>
      <c r="AE97" s="1" cm="1">
        <f t="array" ref="AE97">OptionRho("P",$E97,100,AE$89,0.01,0.1,0)</f>
        <v>-0.55673809412580411</v>
      </c>
      <c r="AF97" s="1" cm="1">
        <f t="array" ref="AF97">OptionRho("P",$E97,100,AF$89,0.01,0.1,0)</f>
        <v>-0.6146156073126241</v>
      </c>
      <c r="AG97" s="1" cm="1">
        <f t="array" ref="AG97">OptionRho("P",$E97,100,AG$89,0.01,0.1,0)</f>
        <v>-0.67154464766556188</v>
      </c>
      <c r="AH97" s="1" cm="1">
        <f t="array" ref="AH97">OptionRho("P",$E97,100,AH$89,0.01,0.1,0)</f>
        <v>-1.2053541901517708</v>
      </c>
      <c r="AI97" s="1" cm="1">
        <f t="array" ref="AI97">OptionRho("P",$E97,100,AI$89,0.01,0.1,0)</f>
        <v>-1.6972697086452215</v>
      </c>
      <c r="AJ97" s="1" cm="1">
        <f t="array" ref="AJ97">OptionRho("P",$E97,100,AJ$89,0.01,0.1,0)</f>
        <v>-2.1604977247507242</v>
      </c>
      <c r="AK97" s="1" cm="1">
        <f t="array" ref="AK97">OptionRho("P",$E97,100,AK$89,0.01,0.1,0)</f>
        <v>-2.6006737133094067</v>
      </c>
      <c r="AO97" s="2">
        <f t="shared" si="26"/>
        <v>95</v>
      </c>
      <c r="AP97" s="1" cm="1">
        <f t="array" ref="AP97">OptionRho("P",$E97,100,AP$89,0.01,0.3,0)</f>
        <v>-7.1750558994645955E-2</v>
      </c>
      <c r="AQ97" s="1" cm="1">
        <f t="array" ref="AQ97">OptionRho("P",$E97,100,AQ$89,0.01,0.3,0)</f>
        <v>-0.13333997377192364</v>
      </c>
      <c r="AR97" s="1" cm="1">
        <f t="array" ref="AR97">OptionRho("P",$E97,100,AR$89,0.01,0.3,0)</f>
        <v>-0.19338834480645489</v>
      </c>
      <c r="AS97" s="1" cm="1">
        <f t="array" ref="AS97">OptionRho("P",$E97,100,AS$89,0.01,0.3,0)</f>
        <v>-0.25283630479182273</v>
      </c>
      <c r="AT97" s="1" cm="1">
        <f t="array" ref="AT97">OptionRho("P",$E97,100,AT$89,0.01,0.3,0)</f>
        <v>-0.31200732377082802</v>
      </c>
      <c r="AU97" s="1" cm="1">
        <f t="array" ref="AU97">OptionRho("P",$E97,100,AU$89,0.01,0.3,0)</f>
        <v>-0.37104981227197853</v>
      </c>
      <c r="AV97" s="1" cm="1">
        <f t="array" ref="AV97">OptionRho("P",$E97,100,AV$89,0.01,0.3,0)</f>
        <v>-0.43004230654885534</v>
      </c>
      <c r="AW97" s="1" cm="1">
        <f t="array" ref="AW97">OptionRho("P",$E97,100,AW$89,0.01,0.3,0)</f>
        <v>-0.48902993481693974</v>
      </c>
      <c r="AX97" s="1" cm="1">
        <f t="array" ref="AX97">OptionRho("P",$E97,100,AX$89,0.01,0.3,0)</f>
        <v>-0.54803992710897964</v>
      </c>
      <c r="AY97" s="1" cm="1">
        <f t="array" ref="AY97">OptionRho("P",$E97,100,AY$89,0.01,0.3,0)</f>
        <v>-0.60708914287474691</v>
      </c>
      <c r="AZ97" s="1" cm="1">
        <f t="array" ref="AZ97">OptionRho("P",$E97,100,AZ$89,0.01,0.3,0)</f>
        <v>-1.200781034883954</v>
      </c>
      <c r="BA97" s="1" cm="1">
        <f t="array" ref="BA97">OptionRho("P",$E97,100,BA$89,0.01,0.3,0)</f>
        <v>-1.7998214198901894</v>
      </c>
      <c r="BB97" s="1" cm="1">
        <f t="array" ref="BB97">OptionRho("P",$E97,100,BB$89,0.01,0.3,0)</f>
        <v>-2.4022399761725204</v>
      </c>
      <c r="BC97" s="1" cm="1">
        <f t="array" ref="BC97">OptionRho("P",$E97,100,BC$89,0.01,0.3,0)</f>
        <v>-3.0062131035960546</v>
      </c>
    </row>
    <row r="98" spans="5:55" x14ac:dyDescent="0.3">
      <c r="E98" s="2">
        <f t="shared" si="24"/>
        <v>100</v>
      </c>
      <c r="F98" s="1" cm="1">
        <f t="array" ref="F98">OptionRho("P",$E98,100,F$89,0.01,0.2,0)</f>
        <v>-5.0580151398953388E-2</v>
      </c>
      <c r="G98" s="1" cm="1">
        <f t="array" ref="G98">OptionRho("P",$E98,100,G$89,0.01,0.2,0)</f>
        <v>-0.10158061093169939</v>
      </c>
      <c r="H98" s="1" cm="1">
        <f t="array" ref="H98">OptionRho("P",$E98,100,H$89,0.01,0.2,0)</f>
        <v>-0.15281809298363574</v>
      </c>
      <c r="I98" s="1" cm="1">
        <f t="array" ref="I98">OptionRho("P",$E98,100,I$89,0.01,0.2,0)</f>
        <v>-0.20422688060793115</v>
      </c>
      <c r="J98" s="1" cm="1">
        <f t="array" ref="J98">OptionRho("P",$E98,100,J$89,0.01,0.2,0)</f>
        <v>-0.25576885410967215</v>
      </c>
      <c r="K98" s="1" cm="1">
        <f t="array" ref="K98">OptionRho("P",$E98,100,K$89,0.01,0.2,0)</f>
        <v>-0.30741820985414314</v>
      </c>
      <c r="L98" s="1" cm="1">
        <f t="array" ref="L98">OptionRho("P",$E98,100,L$89,0.01,0.2,0)</f>
        <v>-0.35915594909590859</v>
      </c>
      <c r="M98" s="1" cm="1">
        <f t="array" ref="M98">OptionRho("P",$E98,100,M$89,0.01,0.2,0)</f>
        <v>-0.41096731210161042</v>
      </c>
      <c r="N98" s="1" cm="1">
        <f t="array" ref="N98">OptionRho("P",$E98,100,N$89,0.01,0.2,0)</f>
        <v>-0.46284039504608732</v>
      </c>
      <c r="O98" s="1" cm="1">
        <f t="array" ref="O98">OptionRho("P",$E98,100,O$89,0.01,0.2,0)</f>
        <v>-0.51476532828002164</v>
      </c>
      <c r="P98" s="1" cm="1">
        <f t="array" ref="P98">OptionRho("P",$E98,100,P$89,0.01,0.2,0)</f>
        <v>-1.0354544111550688</v>
      </c>
      <c r="Q98" s="1" cm="1">
        <f t="array" ref="Q98">OptionRho("P",$E98,100,Q$89,0.01,0.2,0)</f>
        <v>-1.5561276866903309</v>
      </c>
      <c r="R98" s="1" cm="1">
        <f t="array" ref="R98">OptionRho("P",$E98,100,R$89,0.01,0.2,0)</f>
        <v>-2.0746435400648329</v>
      </c>
      <c r="S98" s="1" cm="1">
        <f t="array" ref="S98">OptionRho("P",$E98,100,S$89,0.01,0.2,0)</f>
        <v>-2.5897713521361756</v>
      </c>
      <c r="W98" s="2">
        <f t="shared" si="25"/>
        <v>100</v>
      </c>
      <c r="X98" s="1" cm="1">
        <f t="array" ref="X98">OptionRho("P",$E98,100,X$89,0.01,0.1,0)</f>
        <v>-4.9319898584384125E-2</v>
      </c>
      <c r="Y98" s="1" cm="1">
        <f t="array" ref="Y98">OptionRho("P",$E98,100,Y$89,0.01,0.1,0)</f>
        <v>-9.8019788801767246E-2</v>
      </c>
      <c r="Z98" s="1" cm="1">
        <f t="array" ref="Z98">OptionRho("P",$E98,100,Z$89,0.01,0.1,0)</f>
        <v>-0.14628325566737621</v>
      </c>
      <c r="AA98" s="1" cm="1">
        <f t="array" ref="AA98">OptionRho("P",$E98,100,AA$89,0.01,0.1,0)</f>
        <v>-0.19417631512966549</v>
      </c>
      <c r="AB98" s="1" cm="1">
        <f t="array" ref="AB98">OptionRho("P",$E98,100,AB$89,0.01,0.1,0)</f>
        <v>-0.24173738548666898</v>
      </c>
      <c r="AC98" s="1" cm="1">
        <f t="array" ref="AC98">OptionRho("P",$E98,100,AC$89,0.01,0.1,0)</f>
        <v>-0.28899256857821798</v>
      </c>
      <c r="AD98" s="1" cm="1">
        <f t="array" ref="AD98">OptionRho("P",$E98,100,AD$89,0.01,0.1,0)</f>
        <v>-0.3359611609573559</v>
      </c>
      <c r="AE98" s="1" cm="1">
        <f t="array" ref="AE98">OptionRho("P",$E98,100,AE$89,0.01,0.1,0)</f>
        <v>-0.38265821976803804</v>
      </c>
      <c r="AF98" s="1" cm="1">
        <f t="array" ref="AF98">OptionRho("P",$E98,100,AF$89,0.01,0.1,0)</f>
        <v>-0.42909594584950783</v>
      </c>
      <c r="AG98" s="1" cm="1">
        <f t="array" ref="AG98">OptionRho("P",$E98,100,AG$89,0.01,0.1,0)</f>
        <v>-0.47528450546914636</v>
      </c>
      <c r="AH98" s="1" cm="1">
        <f t="array" ref="AH98">OptionRho("P",$E98,100,AH$89,0.01,0.1,0)</f>
        <v>-0.92494293545844164</v>
      </c>
      <c r="AI98" s="1" cm="1">
        <f t="array" ref="AI98">OptionRho("P",$E98,100,AI$89,0.01,0.1,0)</f>
        <v>-1.3552089139551935</v>
      </c>
      <c r="AJ98" s="1" cm="1">
        <f t="array" ref="AJ98">OptionRho("P",$E98,100,AJ$89,0.01,0.1,0)</f>
        <v>-1.7685142165444596</v>
      </c>
      <c r="AK98" s="1" cm="1">
        <f t="array" ref="AK98">OptionRho("P",$E98,100,AK$89,0.01,0.1,0)</f>
        <v>-2.1663757703673947</v>
      </c>
      <c r="AO98" s="2">
        <f t="shared" si="26"/>
        <v>100</v>
      </c>
      <c r="AP98" s="1" cm="1">
        <f t="array" ref="AP98">OptionRho("P",$E98,100,AP$89,0.01,0.3,0)</f>
        <v>-5.1420047719604019E-2</v>
      </c>
      <c r="AQ98" s="1" cm="1">
        <f t="array" ref="AQ98">OptionRho("P",$E98,100,AQ$89,0.01,0.3,0)</f>
        <v>-0.10395295434007169</v>
      </c>
      <c r="AR98" s="1" cm="1">
        <f t="array" ref="AR98">OptionRho("P",$E98,100,AR$89,0.01,0.3,0)</f>
        <v>-0.15717041819193844</v>
      </c>
      <c r="AS98" s="1" cm="1">
        <f t="array" ref="AS98">OptionRho("P",$E98,100,AS$89,0.01,0.3,0)</f>
        <v>-0.21091857886389082</v>
      </c>
      <c r="AT98" s="1" cm="1">
        <f t="array" ref="AT98">OptionRho("P",$E98,100,AT$89,0.01,0.3,0)</f>
        <v>-0.26510802422028057</v>
      </c>
      <c r="AU98" s="1" cm="1">
        <f t="array" ref="AU98">OptionRho("P",$E98,100,AU$89,0.01,0.3,0)</f>
        <v>-0.31967811425022302</v>
      </c>
      <c r="AV98" s="1" cm="1">
        <f t="array" ref="AV98">OptionRho("P",$E98,100,AV$89,0.01,0.3,0)</f>
        <v>-0.37458411170844053</v>
      </c>
      <c r="AW98" s="1" cm="1">
        <f t="array" ref="AW98">OptionRho("P",$E98,100,AW$89,0.01,0.3,0)</f>
        <v>-0.42979118922043491</v>
      </c>
      <c r="AX98" s="1" cm="1">
        <f t="array" ref="AX98">OptionRho("P",$E98,100,AX$89,0.01,0.3,0)</f>
        <v>-0.48527119824799542</v>
      </c>
      <c r="AY98" s="1" cm="1">
        <f t="array" ref="AY98">OptionRho("P",$E98,100,AY$89,0.01,0.3,0)</f>
        <v>-0.54100074908396822</v>
      </c>
      <c r="AZ98" s="1" cm="1">
        <f t="array" ref="AZ98">OptionRho("P",$E98,100,AZ$89,0.01,0.3,0)</f>
        <v>-1.1086531138504709</v>
      </c>
      <c r="BA98" s="1" cm="1">
        <f t="array" ref="BA98">OptionRho("P",$E98,100,BA$89,0.01,0.3,0)</f>
        <v>-1.6887790619090959</v>
      </c>
      <c r="BB98" s="1" cm="1">
        <f t="array" ref="BB98">OptionRho("P",$E98,100,BB$89,0.01,0.3,0)</f>
        <v>-2.2761052302236475</v>
      </c>
      <c r="BC98" s="1" cm="1">
        <f t="array" ref="BC98">OptionRho("P",$E98,100,BC$89,0.01,0.3,0)</f>
        <v>-2.8675067475462073</v>
      </c>
    </row>
    <row r="99" spans="5:55" x14ac:dyDescent="0.3">
      <c r="E99" s="2">
        <f t="shared" si="24"/>
        <v>105</v>
      </c>
      <c r="F99" s="1" cm="1">
        <f t="array" ref="F99">OptionRho("P",$E99,100,F$89,0.01,0.2,0)</f>
        <v>-2.247110555512432E-2</v>
      </c>
      <c r="G99" s="1" cm="1">
        <f t="array" ref="G99">OptionRho("P",$E99,100,G$89,0.01,0.2,0)</f>
        <v>-5.9968326579861765E-2</v>
      </c>
      <c r="H99" s="1" cm="1">
        <f t="array" ref="H99">OptionRho("P",$E99,100,H$89,0.01,0.2,0)</f>
        <v>-0.10108778985951711</v>
      </c>
      <c r="I99" s="1" cm="1">
        <f t="array" ref="I99">OptionRho("P",$E99,100,I$89,0.01,0.2,0)</f>
        <v>-0.14407573020157963</v>
      </c>
      <c r="J99" s="1" cm="1">
        <f t="array" ref="J99">OptionRho("P",$E99,100,J$89,0.01,0.2,0)</f>
        <v>-0.18826439216165011</v>
      </c>
      <c r="K99" s="1" cm="1">
        <f t="array" ref="K99">OptionRho("P",$E99,100,K$89,0.01,0.2,0)</f>
        <v>-0.23331210863230878</v>
      </c>
      <c r="L99" s="1" cm="1">
        <f t="array" ref="L99">OptionRho("P",$E99,100,L$89,0.01,0.2,0)</f>
        <v>-0.27901490922210381</v>
      </c>
      <c r="M99" s="1" cm="1">
        <f t="array" ref="M99">OptionRho("P",$E99,100,M$89,0.01,0.2,0)</f>
        <v>-0.32523870361512375</v>
      </c>
      <c r="N99" s="1" cm="1">
        <f t="array" ref="N99">OptionRho("P",$E99,100,N$89,0.01,0.2,0)</f>
        <v>-0.37188929290105366</v>
      </c>
      <c r="O99" s="1" cm="1">
        <f t="array" ref="O99">OptionRho("P",$E99,100,O$89,0.01,0.2,0)</f>
        <v>-0.418897208004952</v>
      </c>
      <c r="P99" s="1" cm="1">
        <f t="array" ref="P99">OptionRho("P",$E99,100,P$89,0.01,0.2,0)</f>
        <v>-0.90072854957655835</v>
      </c>
      <c r="Q99" s="1" cm="1">
        <f t="array" ref="Q99">OptionRho("P",$E99,100,Q$89,0.01,0.2,0)</f>
        <v>-1.3926989065749853</v>
      </c>
      <c r="R99" s="1" cm="1">
        <f t="array" ref="R99">OptionRho("P",$E99,100,R$89,0.01,0.2,0)</f>
        <v>-1.8878889319767538</v>
      </c>
      <c r="S99" s="1" cm="1">
        <f t="array" ref="S99">OptionRho("P",$E99,100,S$89,0.01,0.2,0)</f>
        <v>-2.3832066203088491</v>
      </c>
      <c r="W99" s="2">
        <f t="shared" si="25"/>
        <v>105</v>
      </c>
      <c r="X99" s="1" cm="1">
        <f t="array" ref="X99">OptionRho("P",$E99,100,X$89,0.01,0.1,0)</f>
        <v>-5.9475160906577321E-3</v>
      </c>
      <c r="Y99" s="1" cm="1">
        <f t="array" ref="Y99">OptionRho("P",$E99,100,Y$89,0.01,0.1,0)</f>
        <v>-2.6503101786800851E-2</v>
      </c>
      <c r="Z99" s="1" cm="1">
        <f t="array" ref="Z99">OptionRho("P",$E99,100,Z$89,0.01,0.1,0)</f>
        <v>-5.3618495455553902E-2</v>
      </c>
      <c r="AA99" s="1" cm="1">
        <f t="array" ref="AA99">OptionRho("P",$E99,100,AA$89,0.01,0.1,0)</f>
        <v>-8.4050787077902478E-2</v>
      </c>
      <c r="AB99" s="1" cm="1">
        <f t="array" ref="AB99">OptionRho("P",$E99,100,AB$89,0.01,0.1,0)</f>
        <v>-0.11647512386205333</v>
      </c>
      <c r="AC99" s="1" cm="1">
        <f t="array" ref="AC99">OptionRho("P",$E99,100,AC$89,0.01,0.1,0)</f>
        <v>-0.15021961569853939</v>
      </c>
      <c r="AD99" s="1" cm="1">
        <f t="array" ref="AD99">OptionRho("P",$E99,100,AD$89,0.01,0.1,0)</f>
        <v>-0.18489405725331284</v>
      </c>
      <c r="AE99" s="1" cm="1">
        <f t="array" ref="AE99">OptionRho("P",$E99,100,AE$89,0.01,0.1,0)</f>
        <v>-0.22025034744081642</v>
      </c>
      <c r="AF99" s="1" cm="1">
        <f t="array" ref="AF99">OptionRho("P",$E99,100,AF$89,0.01,0.1,0)</f>
        <v>-0.25612022988471972</v>
      </c>
      <c r="AG99" s="1" cm="1">
        <f t="array" ref="AG99">OptionRho("P",$E99,100,AG$89,0.01,0.1,0)</f>
        <v>-0.29238396974088871</v>
      </c>
      <c r="AH99" s="1" cm="1">
        <f t="array" ref="AH99">OptionRho("P",$E99,100,AH$89,0.01,0.1,0)</f>
        <v>-0.66420495083359443</v>
      </c>
      <c r="AI99" s="1" cm="1">
        <f t="array" ref="AI99">OptionRho("P",$E99,100,AI$89,0.01,0.1,0)</f>
        <v>-1.0373893022772123</v>
      </c>
      <c r="AJ99" s="1" cm="1">
        <f t="array" ref="AJ99">OptionRho("P",$E99,100,AJ$89,0.01,0.1,0)</f>
        <v>-1.4044498566974728</v>
      </c>
      <c r="AK99" s="1" cm="1">
        <f t="array" ref="AK99">OptionRho("P",$E99,100,AK$89,0.01,0.1,0)</f>
        <v>-1.7631042837691091</v>
      </c>
      <c r="AO99" s="2">
        <f t="shared" si="26"/>
        <v>105</v>
      </c>
      <c r="AP99" s="1" cm="1">
        <f t="array" ref="AP99">OptionRho("P",$E99,100,AP$89,0.01,0.3,0)</f>
        <v>-3.1622218849540334E-2</v>
      </c>
      <c r="AQ99" s="1" cm="1">
        <f t="array" ref="AQ99">OptionRho("P",$E99,100,AQ$89,0.01,0.3,0)</f>
        <v>-7.5392221644094592E-2</v>
      </c>
      <c r="AR99" s="1" cm="1">
        <f t="array" ref="AR99">OptionRho("P",$E99,100,AR$89,0.01,0.3,0)</f>
        <v>-0.12199458879506281</v>
      </c>
      <c r="AS99" s="1" cm="1">
        <f t="array" ref="AS99">OptionRho("P",$E99,100,AS$89,0.01,0.3,0)</f>
        <v>-0.17022082337465497</v>
      </c>
      <c r="AT99" s="1" cm="1">
        <f t="array" ref="AT99">OptionRho("P",$E99,100,AT$89,0.01,0.3,0)</f>
        <v>-0.21958303940413396</v>
      </c>
      <c r="AU99" s="1" cm="1">
        <f t="array" ref="AU99">OptionRho("P",$E99,100,AU$89,0.01,0.3,0)</f>
        <v>-0.26981864563056945</v>
      </c>
      <c r="AV99" s="1" cm="1">
        <f t="array" ref="AV99">OptionRho("P",$E99,100,AV$89,0.01,0.3,0)</f>
        <v>-0.32076374008132214</v>
      </c>
      <c r="AW99" s="1" cm="1">
        <f t="array" ref="AW99">OptionRho("P",$E99,100,AW$89,0.01,0.3,0)</f>
        <v>-0.37230616861503457</v>
      </c>
      <c r="AX99" s="1" cm="1">
        <f t="array" ref="AX99">OptionRho("P",$E99,100,AX$89,0.01,0.3,0)</f>
        <v>-0.4243642060166441</v>
      </c>
      <c r="AY99" s="1" cm="1">
        <f t="array" ref="AY99">OptionRho("P",$E99,100,AY$89,0.01,0.3,0)</f>
        <v>-0.47687551231937875</v>
      </c>
      <c r="AZ99" s="1" cm="1">
        <f t="array" ref="AZ99">OptionRho("P",$E99,100,AZ$89,0.01,0.3,0)</f>
        <v>-1.0192804553013126</v>
      </c>
      <c r="BA99" s="1" cm="1">
        <f t="array" ref="BA99">OptionRho("P",$E99,100,BA$89,0.01,0.3,0)</f>
        <v>-1.5810651312244381</v>
      </c>
      <c r="BB99" s="1" cm="1">
        <f t="array" ref="BB99">OptionRho("P",$E99,100,BB$89,0.01,0.3,0)</f>
        <v>-2.1537555560688664</v>
      </c>
      <c r="BC99" s="1" cm="1">
        <f t="array" ref="BC99">OptionRho("P",$E99,100,BC$89,0.01,0.3,0)</f>
        <v>-2.7329655259278365</v>
      </c>
    </row>
    <row r="100" spans="5:55" x14ac:dyDescent="0.3">
      <c r="E100" s="2">
        <f t="shared" si="24"/>
        <v>110</v>
      </c>
      <c r="F100" s="1" cm="1">
        <f t="array" ref="F100">OptionRho("P",$E100,100,F$89,0.01,0.2,0)</f>
        <v>-6.7889870502825947E-3</v>
      </c>
      <c r="G100" s="1" cm="1">
        <f t="array" ref="G100">OptionRho("P",$E100,100,G$89,0.01,0.2,0)</f>
        <v>-2.9624429034828429E-2</v>
      </c>
      <c r="H100" s="1" cm="1">
        <f t="array" ref="H100">OptionRho("P",$E100,100,H$89,0.01,0.2,0)</f>
        <v>-5.9732254020951656E-2</v>
      </c>
      <c r="I100" s="1" cm="1">
        <f t="array" ref="I100">OptionRho("P",$E100,100,I$89,0.01,0.2,0)</f>
        <v>-9.3699290121329132E-2</v>
      </c>
      <c r="J100" s="1" cm="1">
        <f t="array" ref="J100">OptionRho("P",$E100,100,J$89,0.01,0.2,0)</f>
        <v>-0.13012028815236004</v>
      </c>
      <c r="K100" s="1" cm="1">
        <f t="array" ref="K100">OptionRho("P",$E100,100,K$89,0.01,0.2,0)</f>
        <v>-0.16827158447361532</v>
      </c>
      <c r="L100" s="1" cm="1">
        <f t="array" ref="L100">OptionRho("P",$E100,100,L$89,0.01,0.2,0)</f>
        <v>-0.20772528778888061</v>
      </c>
      <c r="M100" s="1" cm="1">
        <f t="array" ref="M100">OptionRho("P",$E100,100,M$89,0.01,0.2,0)</f>
        <v>-0.24820403087334711</v>
      </c>
      <c r="N100" s="1" cm="1">
        <f t="array" ref="N100">OptionRho("P",$E100,100,N$89,0.01,0.2,0)</f>
        <v>-0.28951588055875799</v>
      </c>
      <c r="O100" s="1" cm="1">
        <f t="array" ref="O100">OptionRho("P",$E100,100,O$89,0.01,0.2,0)</f>
        <v>-0.33152138842643392</v>
      </c>
      <c r="P100" s="1" cm="1">
        <f t="array" ref="P100">OptionRho("P",$E100,100,P$89,0.01,0.2,0)</f>
        <v>-0.77439387810982696</v>
      </c>
      <c r="Q100" s="1" cm="1">
        <f t="array" ref="Q100">OptionRho("P",$E100,100,Q$89,0.01,0.2,0)</f>
        <v>-1.2379845616845606</v>
      </c>
      <c r="R100" s="1" cm="1">
        <f t="array" ref="R100">OptionRho("P",$E100,100,R$89,0.01,0.2,0)</f>
        <v>-1.7102488744895861</v>
      </c>
      <c r="S100" s="1" cm="1">
        <f t="array" ref="S100">OptionRho("P",$E100,100,S$89,0.01,0.2,0)</f>
        <v>-2.186160898088068</v>
      </c>
      <c r="W100" s="2">
        <f t="shared" si="25"/>
        <v>110</v>
      </c>
      <c r="X100" s="1" cm="1">
        <f t="array" ref="X100">OptionRho("P",$E100,100,X$89,0.01,0.1,0)</f>
        <v>-1.2224207973860371E-4</v>
      </c>
      <c r="Y100" s="1" cm="1">
        <f t="array" ref="Y100">OptionRho("P",$E100,100,Y$89,0.01,0.1,0)</f>
        <v>-3.1212121757166339E-3</v>
      </c>
      <c r="Z100" s="1" cm="1">
        <f t="array" ref="Z100">OptionRho("P",$E100,100,Z$89,0.01,0.1,0)</f>
        <v>-1.1536916845379731E-2</v>
      </c>
      <c r="AA100" s="1" cm="1">
        <f t="array" ref="AA100">OptionRho("P",$E100,100,AA$89,0.01,0.1,0)</f>
        <v>-2.4681032286023089E-2</v>
      </c>
      <c r="AB100" s="1" cm="1">
        <f t="array" ref="AB100">OptionRho("P",$E100,100,AB$89,0.01,0.1,0)</f>
        <v>-4.1439734620382668E-2</v>
      </c>
      <c r="AC100" s="1" cm="1">
        <f t="array" ref="AC100">OptionRho("P",$E100,100,AC$89,0.01,0.1,0)</f>
        <v>-6.0946395009041206E-2</v>
      </c>
      <c r="AD100" s="1" cm="1">
        <f t="array" ref="AD100">OptionRho("P",$E100,100,AD$89,0.01,0.1,0)</f>
        <v>-8.2579818420475543E-2</v>
      </c>
      <c r="AE100" s="1" cm="1">
        <f t="array" ref="AE100">OptionRho("P",$E100,100,AE$89,0.01,0.1,0)</f>
        <v>-0.10589364670422448</v>
      </c>
      <c r="AF100" s="1" cm="1">
        <f t="array" ref="AF100">OptionRho("P",$E100,100,AF$89,0.01,0.1,0)</f>
        <v>-0.13056052320905742</v>
      </c>
      <c r="AG100" s="1" cm="1">
        <f t="array" ref="AG100">OptionRho("P",$E100,100,AG$89,0.01,0.1,0)</f>
        <v>-0.15633468393362243</v>
      </c>
      <c r="AH100" s="1" cm="1">
        <f t="array" ref="AH100">OptionRho("P",$E100,100,AH$89,0.01,0.1,0)</f>
        <v>-0.44744114329833878</v>
      </c>
      <c r="AI100" s="1" cm="1">
        <f t="array" ref="AI100">OptionRho("P",$E100,100,AI$89,0.01,0.1,0)</f>
        <v>-0.76306938538913072</v>
      </c>
      <c r="AJ100" s="1" cm="1">
        <f t="array" ref="AJ100">OptionRho("P",$E100,100,AJ$89,0.01,0.1,0)</f>
        <v>-1.0842371938523891</v>
      </c>
      <c r="AK100" s="1" cm="1">
        <f t="array" ref="AK100">OptionRho("P",$E100,100,AK$89,0.01,0.1,0)</f>
        <v>-1.4043642802347476</v>
      </c>
      <c r="AO100" s="2">
        <f t="shared" si="26"/>
        <v>110</v>
      </c>
      <c r="AP100" s="1" cm="1">
        <f t="array" ref="AP100">OptionRho("P",$E100,100,AP$89,0.01,0.3,0)</f>
        <v>-1.6641455853283121E-2</v>
      </c>
      <c r="AQ100" s="1" cm="1">
        <f t="array" ref="AQ100">OptionRho("P",$E100,100,AQ$89,0.01,0.3,0)</f>
        <v>-5.0937365645645362E-2</v>
      </c>
      <c r="AR100" s="1" cm="1">
        <f t="array" ref="AR100">OptionRho("P",$E100,100,AR$89,0.01,0.3,0)</f>
        <v>-9.0591488575332904E-2</v>
      </c>
      <c r="AS100" s="1" cm="1">
        <f t="array" ref="AS100">OptionRho("P",$E100,100,AS$89,0.01,0.3,0)</f>
        <v>-0.13311773507029778</v>
      </c>
      <c r="AT100" s="1" cm="1">
        <f t="array" ref="AT100">OptionRho("P",$E100,100,AT$89,0.01,0.3,0)</f>
        <v>-0.17755193759705692</v>
      </c>
      <c r="AU100" s="1" cm="1">
        <f t="array" ref="AU100">OptionRho("P",$E100,100,AU$89,0.01,0.3,0)</f>
        <v>-0.22339610469459531</v>
      </c>
      <c r="AV100" s="1" cm="1">
        <f t="array" ref="AV100">OptionRho("P",$E100,100,AV$89,0.01,0.3,0)</f>
        <v>-0.27035040597686349</v>
      </c>
      <c r="AW100" s="1" cm="1">
        <f t="array" ref="AW100">OptionRho("P",$E100,100,AW$89,0.01,0.3,0)</f>
        <v>-0.31821602385224951</v>
      </c>
      <c r="AX100" s="1" cm="1">
        <f t="array" ref="AX100">OptionRho("P",$E100,100,AX$89,0.01,0.3,0)</f>
        <v>-0.36685204488746515</v>
      </c>
      <c r="AY100" s="1" cm="1">
        <f t="array" ref="AY100">OptionRho("P",$E100,100,AY$89,0.01,0.3,0)</f>
        <v>-0.41615360732585677</v>
      </c>
      <c r="AZ100" s="1" cm="1">
        <f t="array" ref="AZ100">OptionRho("P",$E100,100,AZ$89,0.01,0.3,0)</f>
        <v>-0.93356972634263113</v>
      </c>
      <c r="BA100" s="1" cm="1">
        <f t="array" ref="BA100">OptionRho("P",$E100,100,BA$89,0.01,0.3,0)</f>
        <v>-1.4773259413933515</v>
      </c>
      <c r="BB100" s="1" cm="1">
        <f t="array" ref="BB100">OptionRho("P",$E100,100,BB$89,0.01,0.3,0)</f>
        <v>-2.0356706241422411</v>
      </c>
      <c r="BC100" s="1" cm="1">
        <f t="array" ref="BC100">OptionRho("P",$E100,100,BC$89,0.01,0.3,0)</f>
        <v>-2.6029486901086254</v>
      </c>
    </row>
    <row r="101" spans="5:55" x14ac:dyDescent="0.3">
      <c r="E101" s="2">
        <f t="shared" si="24"/>
        <v>115</v>
      </c>
      <c r="F101" s="1" cm="1">
        <f t="array" ref="F101">OptionRho("P",$E101,100,F$89,0.01,0.2,0)</f>
        <v>-1.4102913577582136E-3</v>
      </c>
      <c r="G101" s="1" cm="1">
        <f t="array" ref="G101">OptionRho("P",$E101,100,G$89,0.01,0.2,0)</f>
        <v>-1.2325867132738097E-2</v>
      </c>
      <c r="H101" s="1" cm="1">
        <f t="array" ref="H101">OptionRho("P",$E101,100,H$89,0.01,0.2,0)</f>
        <v>-3.1684201115692687E-2</v>
      </c>
      <c r="I101" s="1" cm="1">
        <f t="array" ref="I101">OptionRho("P",$E101,100,I$89,0.01,0.2,0)</f>
        <v>-5.6401929841114549E-2</v>
      </c>
      <c r="J101" s="1" cm="1">
        <f t="array" ref="J101">OptionRho("P",$E101,100,J$89,0.01,0.2,0)</f>
        <v>-8.4734081361611549E-2</v>
      </c>
      <c r="K101" s="1" cm="1">
        <f t="array" ref="K101">OptionRho("P",$E101,100,K$89,0.01,0.2,0)</f>
        <v>-0.1156742572149194</v>
      </c>
      <c r="L101" s="1" cm="1">
        <f t="array" ref="L101">OptionRho("P",$E101,100,L$89,0.01,0.2,0)</f>
        <v>-0.14859597428160154</v>
      </c>
      <c r="M101" s="1" cm="1">
        <f t="array" ref="M101">OptionRho("P",$E101,100,M$89,0.01,0.2,0)</f>
        <v>-0.18308261698945505</v>
      </c>
      <c r="N101" s="1" cm="1">
        <f t="array" ref="N101">OptionRho("P",$E101,100,N$89,0.01,0.2,0)</f>
        <v>-0.21884217828463354</v>
      </c>
      <c r="O101" s="1" cm="1">
        <f t="array" ref="O101">OptionRho("P",$E101,100,O$89,0.01,0.2,0)</f>
        <v>-0.25566125133901568</v>
      </c>
      <c r="P101" s="1" cm="1">
        <f t="array" ref="P101">OptionRho("P",$E101,100,P$89,0.01,0.2,0)</f>
        <v>-0.65868086279061155</v>
      </c>
      <c r="Q101" s="1" cm="1">
        <f t="array" ref="Q101">OptionRho("P",$E101,100,Q$89,0.01,0.2,0)</f>
        <v>-1.0937211792786214</v>
      </c>
      <c r="R101" s="1" cm="1">
        <f t="array" ref="R101">OptionRho("P",$E101,100,R$89,0.01,0.2,0)</f>
        <v>-1.5431193627647783</v>
      </c>
      <c r="S101" s="1" cm="1">
        <f t="array" ref="S101">OptionRho("P",$E101,100,S$89,0.01,0.2,0)</f>
        <v>-1.9997752423204445</v>
      </c>
      <c r="W101" s="2">
        <f t="shared" si="25"/>
        <v>115</v>
      </c>
      <c r="X101" s="1" cm="1">
        <f t="array" ref="X101">OptionRho("P",$E101,100,X$89,0.01,0.1,0)</f>
        <v>-4.5889459193781019E-7</v>
      </c>
      <c r="Y101" s="1" cm="1">
        <f t="array" ref="Y101">OptionRho("P",$E101,100,Y$89,0.01,0.1,0)</f>
        <v>-1.6432569767061279E-4</v>
      </c>
      <c r="Z101" s="1" cm="1">
        <f t="array" ref="Z101">OptionRho("P",$E101,100,Z$89,0.01,0.1,0)</f>
        <v>-1.4815132448374971E-3</v>
      </c>
      <c r="AA101" s="1" cm="1">
        <f t="array" ref="AA101">OptionRho("P",$E101,100,AA$89,0.01,0.1,0)</f>
        <v>-4.979390376682576E-3</v>
      </c>
      <c r="AB101" s="1" cm="1">
        <f t="array" ref="AB101">OptionRho("P",$E101,100,AB$89,0.01,0.1,0)</f>
        <v>-1.1002792784816771E-2</v>
      </c>
      <c r="AC101" s="1" cm="1">
        <f t="array" ref="AC101">OptionRho("P",$E101,100,AC$89,0.01,0.1,0)</f>
        <v>-1.9479340505072669E-2</v>
      </c>
      <c r="AD101" s="1" cm="1">
        <f t="array" ref="AD101">OptionRho("P",$E101,100,AD$89,0.01,0.1,0)</f>
        <v>-3.018197603843184E-2</v>
      </c>
      <c r="AE101" s="1" cm="1">
        <f t="array" ref="AE101">OptionRho("P",$E101,100,AE$89,0.01,0.1,0)</f>
        <v>-4.2850602886025962E-2</v>
      </c>
      <c r="AF101" s="1" cm="1">
        <f t="array" ref="AF101">OptionRho("P",$E101,100,AF$89,0.01,0.1,0)</f>
        <v>-5.7238493731413063E-2</v>
      </c>
      <c r="AG101" s="1" cm="1">
        <f t="array" ref="AG101">OptionRho("P",$E101,100,AG$89,0.01,0.1,0)</f>
        <v>-7.3126821154321606E-2</v>
      </c>
      <c r="AH101" s="1" cm="1">
        <f t="array" ref="AH101">OptionRho("P",$E101,100,AH$89,0.01,0.1,0)</f>
        <v>-0.28387565416432975</v>
      </c>
      <c r="AI101" s="1" cm="1">
        <f t="array" ref="AI101">OptionRho("P",$E101,100,AI$89,0.01,0.1,0)</f>
        <v>-0.54089660745686829</v>
      </c>
      <c r="AJ101" s="1" cm="1">
        <f t="array" ref="AJ101">OptionRho("P",$E101,100,AJ$89,0.01,0.1,0)</f>
        <v>-0.81551953305242597</v>
      </c>
      <c r="AK101" s="1" cm="1">
        <f t="array" ref="AK101">OptionRho("P",$E101,100,AK$89,0.01,0.1,0)</f>
        <v>-1.0968174400128408</v>
      </c>
      <c r="AO101" s="2">
        <f t="shared" si="26"/>
        <v>115</v>
      </c>
      <c r="AP101" s="1" cm="1">
        <f t="array" ref="AP101">OptionRho("P",$E101,100,AP$89,0.01,0.3,0)</f>
        <v>-7.5379242114053903E-3</v>
      </c>
      <c r="AQ101" s="1" cm="1">
        <f t="array" ref="AQ101">OptionRho("P",$E101,100,AQ$89,0.01,0.3,0)</f>
        <v>-3.2175041796380505E-2</v>
      </c>
      <c r="AR101" s="1" cm="1">
        <f t="array" ref="AR101">OptionRho("P",$E101,100,AR$89,0.01,0.3,0)</f>
        <v>-6.4527989326634033E-2</v>
      </c>
      <c r="AS101" s="1" cm="1">
        <f t="array" ref="AS101">OptionRho("P",$E101,100,AS$89,0.01,0.3,0)</f>
        <v>-0.10108355896176431</v>
      </c>
      <c r="AT101" s="1" cm="1">
        <f t="array" ref="AT101">OptionRho("P",$E101,100,AT$89,0.01,0.3,0)</f>
        <v>-0.1403912275606832</v>
      </c>
      <c r="AU101" s="1" cm="1">
        <f t="array" ref="AU101">OptionRho("P",$E101,100,AU$89,0.01,0.3,0)</f>
        <v>-0.18169714673388676</v>
      </c>
      <c r="AV101" s="1" cm="1">
        <f t="array" ref="AV101">OptionRho("P",$E101,100,AV$89,0.01,0.3,0)</f>
        <v>-0.22455066198211743</v>
      </c>
      <c r="AW101" s="1" cm="1">
        <f t="array" ref="AW101">OptionRho("P",$E101,100,AW$89,0.01,0.3,0)</f>
        <v>-0.26865623644703923</v>
      </c>
      <c r="AX101" s="1" cm="1">
        <f t="array" ref="AX101">OptionRho("P",$E101,100,AX$89,0.01,0.3,0)</f>
        <v>-0.31380692898533169</v>
      </c>
      <c r="AY101" s="1" cm="1">
        <f t="array" ref="AY101">OptionRho("P",$E101,100,AY$89,0.01,0.3,0)</f>
        <v>-0.35985059430073735</v>
      </c>
      <c r="AZ101" s="1" cm="1">
        <f t="array" ref="AZ101">OptionRho("P",$E101,100,AZ$89,0.01,0.3,0)</f>
        <v>-0.85217715397490357</v>
      </c>
      <c r="BA101" s="1" cm="1">
        <f t="array" ref="BA101">OptionRho("P",$E101,100,BA$89,0.01,0.3,0)</f>
        <v>-1.3780255722579833</v>
      </c>
      <c r="BB101" s="1" cm="1">
        <f t="array" ref="BB101">OptionRho("P",$E101,100,BB$89,0.01,0.3,0)</f>
        <v>-1.9221871941265309</v>
      </c>
      <c r="BC101" s="1" cm="1">
        <f t="array" ref="BC101">OptionRho("P",$E101,100,BC$89,0.01,0.3,0)</f>
        <v>-2.4776992545780532</v>
      </c>
    </row>
    <row r="102" spans="5:55" x14ac:dyDescent="0.3">
      <c r="E102" s="2">
        <f t="shared" si="24"/>
        <v>120</v>
      </c>
      <c r="F102" s="1" cm="1">
        <f t="array" ref="F102">OptionRho("P",$E102,100,F$89,0.01,0.2,0)</f>
        <v>-2.0702003804964794E-4</v>
      </c>
      <c r="G102" s="1" cm="1">
        <f t="array" ref="G102">OptionRho("P",$E102,100,G$89,0.01,0.2,0)</f>
        <v>-4.3706588933653577E-3</v>
      </c>
      <c r="H102" s="1" cm="1">
        <f t="array" ref="H102">OptionRho("P",$E102,100,H$89,0.01,0.2,0)</f>
        <v>-1.5199706420834208E-2</v>
      </c>
      <c r="I102" s="1" cm="1">
        <f t="array" ref="I102">OptionRho("P",$E102,100,I$89,0.01,0.2,0)</f>
        <v>-3.1595730956826704E-2</v>
      </c>
      <c r="J102" s="1" cm="1">
        <f t="array" ref="J102">OptionRho("P",$E102,100,J$89,0.01,0.2,0)</f>
        <v>-5.2212168137941772E-2</v>
      </c>
      <c r="K102" s="1" cm="1">
        <f t="array" ref="K102">OptionRho("P",$E102,100,K$89,0.01,0.2,0)</f>
        <v>-7.6059532268932792E-2</v>
      </c>
      <c r="L102" s="1" cm="1">
        <f t="array" ref="L102">OptionRho("P",$E102,100,L$89,0.01,0.2,0)</f>
        <v>-0.10244473451937502</v>
      </c>
      <c r="M102" s="1" cm="1">
        <f t="array" ref="M102">OptionRho("P",$E102,100,M$89,0.01,0.2,0)</f>
        <v>-0.13087469431094345</v>
      </c>
      <c r="N102" s="1" cm="1">
        <f t="array" ref="N102">OptionRho("P",$E102,100,N$89,0.01,0.2,0)</f>
        <v>-0.16098898756528107</v>
      </c>
      <c r="O102" s="1" cm="1">
        <f t="array" ref="O102">OptionRho("P",$E102,100,O$89,0.01,0.2,0)</f>
        <v>-0.19251686638792742</v>
      </c>
      <c r="P102" s="1" cm="1">
        <f t="array" ref="P102">OptionRho("P",$E102,100,P$89,0.01,0.2,0)</f>
        <v>-0.55483161920358515</v>
      </c>
      <c r="Q102" s="1" cm="1">
        <f t="array" ref="Q102">OptionRho("P",$E102,100,Q$89,0.01,0.2,0)</f>
        <v>-0.96095059103296132</v>
      </c>
      <c r="R102" s="1" cm="1">
        <f t="array" ref="R102">OptionRho("P",$E102,100,R$89,0.01,0.2,0)</f>
        <v>-1.3873558039573215</v>
      </c>
      <c r="S102" s="1" cm="1">
        <f t="array" ref="S102">OptionRho("P",$E102,100,S$89,0.01,0.2,0)</f>
        <v>-1.8247475153256765</v>
      </c>
      <c r="W102" s="2">
        <f t="shared" si="25"/>
        <v>120</v>
      </c>
      <c r="X102" s="1" cm="1">
        <f t="array" ref="X102">OptionRho("P",$E102,100,X$89,0.01,0.1,0)</f>
        <v>-3.7020183036337435E-10</v>
      </c>
      <c r="Y102" s="1" cm="1">
        <f t="array" ref="Y102">OptionRho("P",$E102,100,Y$89,0.01,0.1,0)</f>
        <v>-4.1376194053987772E-6</v>
      </c>
      <c r="Z102" s="1" cm="1">
        <f t="array" ref="Z102">OptionRho("P",$E102,100,Z$89,0.01,0.1,0)</f>
        <v>-1.1821674012055366E-4</v>
      </c>
      <c r="AA102" s="1" cm="1">
        <f t="array" ref="AA102">OptionRho("P",$E102,100,AA$89,0.01,0.1,0)</f>
        <v>-7.0994678821788618E-4</v>
      </c>
      <c r="AB102" s="1" cm="1">
        <f t="array" ref="AB102">OptionRho("P",$E102,100,AB$89,0.01,0.1,0)</f>
        <v>-2.2275567745076771E-3</v>
      </c>
      <c r="AC102" s="1" cm="1">
        <f t="array" ref="AC102">OptionRho("P",$E102,100,AC$89,0.01,0.1,0)</f>
        <v>-4.9902996063027043E-3</v>
      </c>
      <c r="AD102" s="1" cm="1">
        <f t="array" ref="AD102">OptionRho("P",$E102,100,AD$89,0.01,0.1,0)</f>
        <v>-9.1586807596607048E-3</v>
      </c>
      <c r="AE102" s="1" cm="1">
        <f t="array" ref="AE102">OptionRho("P",$E102,100,AE$89,0.01,0.1,0)</f>
        <v>-1.4776758266337876E-2</v>
      </c>
      <c r="AF102" s="1" cm="1">
        <f t="array" ref="AF102">OptionRho("P",$E102,100,AF$89,0.01,0.1,0)</f>
        <v>-2.1817588452681787E-2</v>
      </c>
      <c r="AG102" s="1" cm="1">
        <f t="array" ref="AG102">OptionRho("P",$E102,100,AG$89,0.01,0.1,0)</f>
        <v>-3.0215639479526005E-2</v>
      </c>
      <c r="AH102" s="1" cm="1">
        <f t="array" ref="AH102">OptionRho("P",$E102,100,AH$89,0.01,0.1,0)</f>
        <v>-0.17041305844647878</v>
      </c>
      <c r="AI102" s="1" cm="1">
        <f t="array" ref="AI102">OptionRho("P",$E102,100,AI$89,0.01,0.1,0)</f>
        <v>-0.37061971310998387</v>
      </c>
      <c r="AJ102" s="1" cm="1">
        <f t="array" ref="AJ102">OptionRho("P",$E102,100,AJ$89,0.01,0.1,0)</f>
        <v>-0.5990053722729205</v>
      </c>
      <c r="AK102" s="1" cm="1">
        <f t="array" ref="AK102">OptionRho("P",$E102,100,AK$89,0.01,0.1,0)</f>
        <v>-0.84145321734060718</v>
      </c>
      <c r="AO102" s="2">
        <f t="shared" si="26"/>
        <v>120</v>
      </c>
      <c r="AP102" s="1" cm="1">
        <f t="array" ref="AP102">OptionRho("P",$E102,100,AP$89,0.01,0.3,0)</f>
        <v>-2.9688947395648678E-3</v>
      </c>
      <c r="AQ102" s="1" cm="1">
        <f t="array" ref="AQ102">OptionRho("P",$E102,100,AQ$89,0.01,0.3,0)</f>
        <v>-1.9090872906448658E-2</v>
      </c>
      <c r="AR102" s="1" cm="1">
        <f t="array" ref="AR102">OptionRho("P",$E102,100,AR$89,0.01,0.3,0)</f>
        <v>-4.4223954983262009E-2</v>
      </c>
      <c r="AS102" s="1" cm="1">
        <f t="array" ref="AS102">OptionRho("P",$E102,100,AS$89,0.01,0.3,0)</f>
        <v>-7.4702107031297357E-2</v>
      </c>
      <c r="AT102" s="1" cm="1">
        <f t="array" ref="AT102">OptionRho("P",$E102,100,AT$89,0.01,0.3,0)</f>
        <v>-0.1087480906414381</v>
      </c>
      <c r="AU102" s="1" cm="1">
        <f t="array" ref="AU102">OptionRho("P",$E102,100,AU$89,0.01,0.3,0)</f>
        <v>-0.14538880066773127</v>
      </c>
      <c r="AV102" s="1" cm="1">
        <f t="array" ref="AV102">OptionRho("P",$E102,100,AV$89,0.01,0.3,0)</f>
        <v>-0.18403073516187135</v>
      </c>
      <c r="AW102" s="1" cm="1">
        <f t="array" ref="AW102">OptionRho("P",$E102,100,AW$89,0.01,0.3,0)</f>
        <v>-0.22428193300019528</v>
      </c>
      <c r="AX102" s="1" cm="1">
        <f t="array" ref="AX102">OptionRho("P",$E102,100,AX$89,0.01,0.3,0)</f>
        <v>-0.26586768500550551</v>
      </c>
      <c r="AY102" s="1" cm="1">
        <f t="array" ref="AY102">OptionRho("P",$E102,100,AY$89,0.01,0.3,0)</f>
        <v>-0.30858646759735259</v>
      </c>
      <c r="AZ102" s="1" cm="1">
        <f t="array" ref="AZ102">OptionRho("P",$E102,100,AZ$89,0.01,0.3,0)</f>
        <v>-0.77553939892221246</v>
      </c>
      <c r="BA102" s="1" cm="1">
        <f t="array" ref="BA102">OptionRho("P",$E102,100,BA$89,0.01,0.3,0)</f>
        <v>-1.283473199684219</v>
      </c>
      <c r="BB102" s="1" cm="1">
        <f t="array" ref="BB102">OptionRho("P",$E102,100,BB$89,0.01,0.3,0)</f>
        <v>-1.8135229356803779</v>
      </c>
      <c r="BC102" s="1" cm="1">
        <f t="array" ref="BC102">OptionRho("P",$E102,100,BC$89,0.01,0.3,0)</f>
        <v>-2.3573648104321254</v>
      </c>
    </row>
    <row r="103" spans="5:55" x14ac:dyDescent="0.3">
      <c r="E103" s="2">
        <f t="shared" si="24"/>
        <v>125</v>
      </c>
      <c r="F103" s="1" cm="1">
        <f t="array" ref="F103">OptionRho("P",$E103,100,F$89,0.01,0.2,0)</f>
        <v>-2.2181932695997136E-5</v>
      </c>
      <c r="G103" s="1" cm="1">
        <f t="array" ref="G103">OptionRho("P",$E103,100,G$89,0.01,0.2,0)</f>
        <v>-1.3391859871546453E-3</v>
      </c>
      <c r="H103" s="1" cm="1">
        <f t="array" ref="H103">OptionRho("P",$E103,100,H$89,0.01,0.2,0)</f>
        <v>-6.6506285905427323E-3</v>
      </c>
      <c r="I103" s="1" cm="1">
        <f t="array" ref="I103">OptionRho("P",$E103,100,I$89,0.01,0.2,0)</f>
        <v>-1.6571142382086741E-2</v>
      </c>
      <c r="J103" s="1" cm="1">
        <f t="array" ref="J103">OptionRho("P",$E103,100,J$89,0.01,0.2,0)</f>
        <v>-3.058425410656284E-2</v>
      </c>
      <c r="K103" s="1" cm="1">
        <f t="array" ref="K103">OptionRho("P",$E103,100,K$89,0.01,0.2,0)</f>
        <v>-4.8016470024207905E-2</v>
      </c>
      <c r="L103" s="1" cm="1">
        <f t="array" ref="L103">OptionRho("P",$E103,100,L$89,0.01,0.2,0)</f>
        <v>-6.828114554790847E-2</v>
      </c>
      <c r="M103" s="1" cm="1">
        <f t="array" ref="M103">OptionRho("P",$E103,100,M$89,0.01,0.2,0)</f>
        <v>-9.0908489929242164E-2</v>
      </c>
      <c r="N103" s="1" cm="1">
        <f t="array" ref="N103">OptionRho("P",$E103,100,N$89,0.01,0.2,0)</f>
        <v>-0.11552875943323927</v>
      </c>
      <c r="O103" s="1" cm="1">
        <f t="array" ref="O103">OptionRho("P",$E103,100,O$89,0.01,0.2,0)</f>
        <v>-0.14185000790281932</v>
      </c>
      <c r="P103" s="1" cm="1">
        <f t="array" ref="P103">OptionRho("P",$E103,100,P$89,0.01,0.2,0)</f>
        <v>-0.46326256041769354</v>
      </c>
      <c r="Q103" s="1" cm="1">
        <f t="array" ref="Q103">OptionRho("P",$E103,100,Q$89,0.01,0.2,0)</f>
        <v>-0.84013408061792327</v>
      </c>
      <c r="R103" s="1" cm="1">
        <f t="array" ref="R103">OptionRho("P",$E103,100,R$89,0.01,0.2,0)</f>
        <v>-1.2433649767000055</v>
      </c>
      <c r="S103" s="1" cm="1">
        <f t="array" ref="S103">OptionRho("P",$E103,100,S$89,0.01,0.2,0)</f>
        <v>-1.6614106664413506</v>
      </c>
      <c r="W103" s="2">
        <f t="shared" si="25"/>
        <v>125</v>
      </c>
      <c r="X103" s="1" cm="1">
        <f t="array" ref="X103">OptionRho("P",$E103,100,X$89,0.01,0.1,0)</f>
        <v>-7.6151723059147461E-14</v>
      </c>
      <c r="Y103" s="1" cm="1">
        <f t="array" ref="Y103">OptionRho("P",$E103,100,Y$89,0.01,0.1,0)</f>
        <v>-5.3758969655395189E-8</v>
      </c>
      <c r="Z103" s="1" cm="1">
        <f t="array" ref="Z103">OptionRho("P",$E103,100,Z$89,0.01,0.1,0)</f>
        <v>-6.1411164212293517E-6</v>
      </c>
      <c r="AA103" s="1" cm="1">
        <f t="array" ref="AA103">OptionRho("P",$E103,100,AA$89,0.01,0.1,0)</f>
        <v>-7.3922110985880684E-5</v>
      </c>
      <c r="AB103" s="1" cm="1">
        <f t="array" ref="AB103">OptionRho("P",$E103,100,AB$89,0.01,0.1,0)</f>
        <v>-3.5258563277927932E-4</v>
      </c>
      <c r="AC103" s="1" cm="1">
        <f t="array" ref="AC103">OptionRho("P",$E103,100,AC$89,0.01,0.1,0)</f>
        <v>-1.0454860691588006E-3</v>
      </c>
      <c r="AD103" s="1" cm="1">
        <f t="array" ref="AD103">OptionRho("P",$E103,100,AD$89,0.01,0.1,0)</f>
        <v>-2.3461919494971698E-3</v>
      </c>
      <c r="AE103" s="1" cm="1">
        <f t="array" ref="AE103">OptionRho("P",$E103,100,AE$89,0.01,0.1,0)</f>
        <v>-4.4045297688068714E-3</v>
      </c>
      <c r="AF103" s="1" cm="1">
        <f t="array" ref="AF103">OptionRho("P",$E103,100,AF$89,0.01,0.1,0)</f>
        <v>-7.3201992281897573E-3</v>
      </c>
      <c r="AG103" s="1" cm="1">
        <f t="array" ref="AG103">OptionRho("P",$E103,100,AG$89,0.01,0.1,0)</f>
        <v>-1.1149292047401184E-2</v>
      </c>
      <c r="AH103" s="1" cm="1">
        <f t="array" ref="AH103">OptionRho("P",$E103,100,AH$89,0.01,0.1,0)</f>
        <v>-9.7269983363962254E-2</v>
      </c>
      <c r="AI103" s="1" cm="1">
        <f t="array" ref="AI103">OptionRho("P",$E103,100,AI$89,0.01,0.1,0)</f>
        <v>-0.2462342892344723</v>
      </c>
      <c r="AJ103" s="1" cm="1">
        <f t="array" ref="AJ103">OptionRho("P",$E103,100,AJ$89,0.01,0.1,0)</f>
        <v>-0.43061133337451024</v>
      </c>
      <c r="AK103" s="1" cm="1">
        <f t="array" ref="AK103">OptionRho("P",$E103,100,AK$89,0.01,0.1,0)</f>
        <v>-0.63521830954418712</v>
      </c>
      <c r="AO103" s="2">
        <f t="shared" si="26"/>
        <v>125</v>
      </c>
      <c r="AP103" s="1" cm="1">
        <f t="array" ref="AP103">OptionRho("P",$E103,100,AP$89,0.01,0.3,0)</f>
        <v>-1.0289433281621665E-3</v>
      </c>
      <c r="AQ103" s="1" cm="1">
        <f t="array" ref="AQ103">OptionRho("P",$E103,100,AQ$89,0.01,0.3,0)</f>
        <v>-1.0695711321091922E-2</v>
      </c>
      <c r="AR103" s="1" cm="1">
        <f t="array" ref="AR103">OptionRho("P",$E103,100,AR$89,0.01,0.3,0)</f>
        <v>-2.9256345887026768E-2</v>
      </c>
      <c r="AS103" s="1" cm="1">
        <f t="array" ref="AS103">OptionRho("P",$E103,100,AS$89,0.01,0.3,0)</f>
        <v>-5.3851866590454225E-2</v>
      </c>
      <c r="AT103" s="1" cm="1">
        <f t="array" ref="AT103">OptionRho("P",$E103,100,AT$89,0.01,0.3,0)</f>
        <v>-8.2670405339206526E-2</v>
      </c>
      <c r="AU103" s="1" cm="1">
        <f t="array" ref="AU103">OptionRho("P",$E103,100,AU$89,0.01,0.3,0)</f>
        <v>-0.11461881193040134</v>
      </c>
      <c r="AV103" s="1" cm="1">
        <f t="array" ref="AV103">OptionRho("P",$E103,100,AV$89,0.01,0.3,0)</f>
        <v>-0.14899902887802657</v>
      </c>
      <c r="AW103" s="1" cm="1">
        <f t="array" ref="AW103">OptionRho("P",$E103,100,AW$89,0.01,0.3,0)</f>
        <v>-0.18533873828520894</v>
      </c>
      <c r="AX103" s="1" cm="1">
        <f t="array" ref="AX103">OptionRho("P",$E103,100,AX$89,0.01,0.3,0)</f>
        <v>-0.22330249044173472</v>
      </c>
      <c r="AY103" s="1" cm="1">
        <f t="array" ref="AY103">OptionRho("P",$E103,100,AY$89,0.01,0.3,0)</f>
        <v>-0.26264243948021643</v>
      </c>
      <c r="AZ103" s="1" cm="1">
        <f t="array" ref="AZ103">OptionRho("P",$E103,100,AZ$89,0.01,0.3,0)</f>
        <v>-0.70390737490687028</v>
      </c>
      <c r="BA103" s="1" cm="1">
        <f t="array" ref="BA103">OptionRho("P",$E103,100,BA$89,0.01,0.3,0)</f>
        <v>-1.1938490201379495</v>
      </c>
      <c r="BB103" s="1" cm="1">
        <f t="array" ref="BB103">OptionRho("P",$E103,100,BB$89,0.01,0.3,0)</f>
        <v>-1.7097976498941947</v>
      </c>
      <c r="BC103" s="1" cm="1">
        <f t="array" ref="BC103">OptionRho("P",$E103,100,BC$89,0.01,0.3,0)</f>
        <v>-2.2420154235855065</v>
      </c>
    </row>
    <row r="104" spans="5:55" x14ac:dyDescent="0.3">
      <c r="E104" s="2">
        <f t="shared" si="24"/>
        <v>130</v>
      </c>
      <c r="F104" s="1" cm="1">
        <f t="array" ref="F104">OptionRho("P",$E104,100,F$89,0.01,0.2,0)</f>
        <v>-1.7921519198923481E-6</v>
      </c>
      <c r="G104" s="1" cm="1">
        <f t="array" ref="G104">OptionRho("P",$E104,100,G$89,0.01,0.2,0)</f>
        <v>-3.5959910459001243E-4</v>
      </c>
      <c r="H104" s="1" cm="1">
        <f t="array" ref="H104">OptionRho("P",$E104,100,H$89,0.01,0.2,0)</f>
        <v>-2.6770963052205922E-3</v>
      </c>
      <c r="I104" s="1" cm="1">
        <f t="array" ref="I104">OptionRho("P",$E104,100,I$89,0.01,0.2,0)</f>
        <v>-8.1866116809250558E-3</v>
      </c>
      <c r="J104" s="1" cm="1">
        <f t="array" ref="J104">OptionRho("P",$E104,100,J$89,0.01,0.2,0)</f>
        <v>-1.7110072638825885E-2</v>
      </c>
      <c r="K104" s="1" cm="1">
        <f t="array" ref="K104">OptionRho("P",$E104,100,K$89,0.01,0.2,0)</f>
        <v>-2.9212248017103624E-2</v>
      </c>
      <c r="L104" s="1" cm="1">
        <f t="array" ref="L104">OptionRho("P",$E104,100,L$89,0.01,0.2,0)</f>
        <v>-4.4135283421453918E-2</v>
      </c>
      <c r="M104" s="1" cm="1">
        <f t="array" ref="M104">OptionRho("P",$E104,100,M$89,0.01,0.2,0)</f>
        <v>-6.1523368978177173E-2</v>
      </c>
      <c r="N104" s="1" cm="1">
        <f t="array" ref="N104">OptionRho("P",$E104,100,N$89,0.01,0.2,0)</f>
        <v>-8.1060435850244819E-2</v>
      </c>
      <c r="O104" s="1" cm="1">
        <f t="array" ref="O104">OptionRho("P",$E104,100,O$89,0.01,0.2,0)</f>
        <v>-0.10247663661348411</v>
      </c>
      <c r="P104" s="1" cm="1">
        <f t="array" ref="P104">OptionRho("P",$E104,100,P$89,0.01,0.2,0)</f>
        <v>-0.38375493287931833</v>
      </c>
      <c r="Q104" s="1" cm="1">
        <f t="array" ref="Q104">OptionRho("P",$E104,100,Q$89,0.01,0.2,0)</f>
        <v>-0.73127252314863256</v>
      </c>
      <c r="R104" s="1" cm="1">
        <f t="array" ref="R104">OptionRho("P",$E104,100,R$89,0.01,0.2,0)</f>
        <v>-1.1111951260614406</v>
      </c>
      <c r="S104" s="1" cm="1">
        <f t="array" ref="S104">OptionRho("P",$E104,100,S$89,0.01,0.2,0)</f>
        <v>-1.5098058483276644</v>
      </c>
      <c r="W104" s="2">
        <f t="shared" si="25"/>
        <v>130</v>
      </c>
      <c r="X104" s="1" cm="1">
        <f t="array" ref="X104">OptionRho("P",$E104,100,X$89,0.01,0.1,0)</f>
        <v>0</v>
      </c>
      <c r="Y104" s="1" cm="1">
        <f t="array" ref="Y104">OptionRho("P",$E104,100,Y$89,0.01,0.1,0)</f>
        <v>-3.8775381333258547E-10</v>
      </c>
      <c r="Z104" s="1" cm="1">
        <f t="array" ref="Z104">OptionRho("P",$E104,100,Z$89,0.01,0.1,0)</f>
        <v>-2.1742039087594484E-7</v>
      </c>
      <c r="AA104" s="1" cm="1">
        <f t="array" ref="AA104">OptionRho("P",$E104,100,AA$89,0.01,0.1,0)</f>
        <v>-5.8077750671044612E-6</v>
      </c>
      <c r="AB104" s="1" cm="1">
        <f t="array" ref="AB104">OptionRho("P",$E104,100,AB$89,0.01,0.1,0)</f>
        <v>-4.4740300836914958E-5</v>
      </c>
      <c r="AC104" s="1" cm="1">
        <f t="array" ref="AC104">OptionRho("P",$E104,100,AC$89,0.01,0.1,0)</f>
        <v>-1.8277187067681445E-4</v>
      </c>
      <c r="AD104" s="1" cm="1">
        <f t="array" ref="AD104">OptionRho("P",$E104,100,AD$89,0.01,0.1,0)</f>
        <v>-5.1597000135758281E-4</v>
      </c>
      <c r="AE104" s="1" cm="1">
        <f t="array" ref="AE104">OptionRho("P",$E104,100,AE$89,0.01,0.1,0)</f>
        <v>-1.1511350758449796E-3</v>
      </c>
      <c r="AF104" s="1" cm="1">
        <f t="array" ref="AF104">OptionRho("P",$E104,100,AF$89,0.01,0.1,0)</f>
        <v>-2.1889103353476772E-3</v>
      </c>
      <c r="AG104" s="1" cm="1">
        <f t="array" ref="AG104">OptionRho("P",$E104,100,AG$89,0.01,0.1,0)</f>
        <v>-3.7142887060015971E-3</v>
      </c>
      <c r="AH104" s="1" cm="1">
        <f t="array" ref="AH104">OptionRho("P",$E104,100,AH$89,0.01,0.1,0)</f>
        <v>-5.3044518844668397E-2</v>
      </c>
      <c r="AI104" s="1" cm="1">
        <f t="array" ref="AI104">OptionRho("P",$E104,100,AI$89,0.01,0.1,0)</f>
        <v>-0.15909940709285941</v>
      </c>
      <c r="AJ104" s="1" cm="1">
        <f t="array" ref="AJ104">OptionRho("P",$E104,100,AJ$89,0.01,0.1,0)</f>
        <v>-0.30361441765510083</v>
      </c>
      <c r="AK104" s="1" cm="1">
        <f t="array" ref="AK104">OptionRho("P",$E104,100,AK$89,0.01,0.1,0)</f>
        <v>-0.47263294150338986</v>
      </c>
      <c r="AO104" s="2">
        <f t="shared" si="26"/>
        <v>130</v>
      </c>
      <c r="AP104" s="1" cm="1">
        <f t="array" ref="AP104">OptionRho("P",$E104,100,AP$89,0.01,0.3,0)</f>
        <v>-3.1763475348564217E-4</v>
      </c>
      <c r="AQ104" s="1" cm="1">
        <f t="array" ref="AQ104">OptionRho("P",$E104,100,AQ$89,0.01,0.3,0)</f>
        <v>-5.6878041459199804E-3</v>
      </c>
      <c r="AR104" s="1" cm="1">
        <f t="array" ref="AR104">OptionRho("P",$E104,100,AR$89,0.01,0.3,0)</f>
        <v>-1.874256615424302E-2</v>
      </c>
      <c r="AS104" s="1" cm="1">
        <f t="array" ref="AS104">OptionRho("P",$E104,100,AS$89,0.01,0.3,0)</f>
        <v>-3.7955110917255099E-2</v>
      </c>
      <c r="AT104" s="1" cm="1">
        <f t="array" ref="AT104">OptionRho("P",$E104,100,AT$89,0.01,0.3,0)</f>
        <v>-6.1784478908191644E-2</v>
      </c>
      <c r="AU104" s="1" cm="1">
        <f t="array" ref="AU104">OptionRho("P",$E104,100,AU$89,0.01,0.3,0)</f>
        <v>-8.9151454622707488E-2</v>
      </c>
      <c r="AV104" s="1" cm="1">
        <f t="array" ref="AV104">OptionRho("P",$E104,100,AV$89,0.01,0.3,0)</f>
        <v>-0.1193152827586785</v>
      </c>
      <c r="AW104" s="1" cm="1">
        <f t="array" ref="AW104">OptionRho("P",$E104,100,AW$89,0.01,0.3,0)</f>
        <v>-0.15175389567661915</v>
      </c>
      <c r="AX104" s="1" cm="1">
        <f t="array" ref="AX104">OptionRho("P",$E104,100,AX$89,0.01,0.3,0)</f>
        <v>-0.18608715802051265</v>
      </c>
      <c r="AY104" s="1" cm="1">
        <f t="array" ref="AY104">OptionRho("P",$E104,100,AY$89,0.01,0.3,0)</f>
        <v>-0.22202971256615678</v>
      </c>
      <c r="AZ104" s="1" cm="1">
        <f t="array" ref="AZ104">OptionRho("P",$E104,100,AZ$89,0.01,0.3,0)</f>
        <v>-0.63737982812093175</v>
      </c>
      <c r="BA104" s="1" cm="1">
        <f t="array" ref="BA104">OptionRho("P",$E104,100,BA$89,0.01,0.3,0)</f>
        <v>-1.1092279122342144</v>
      </c>
      <c r="BB104" s="1" cm="1">
        <f t="array" ref="BB104">OptionRho("P",$E104,100,BB$89,0.01,0.3,0)</f>
        <v>-1.6110518122145063</v>
      </c>
      <c r="BC104" s="1" cm="1">
        <f t="array" ref="BC104">OptionRho("P",$E104,100,BC$89,0.01,0.3,0)</f>
        <v>-2.1316588608881553</v>
      </c>
    </row>
    <row r="105" spans="5:55" x14ac:dyDescent="0.3">
      <c r="E105" s="2">
        <f t="shared" si="24"/>
        <v>135</v>
      </c>
      <c r="F105" s="1" cm="1">
        <f t="array" ref="F105">OptionRho("P",$E105,100,F$89,0.01,0.2,0)</f>
        <v>-1.1255785043228925E-7</v>
      </c>
      <c r="G105" s="1" cm="1">
        <f t="array" ref="G105">OptionRho("P",$E105,100,G$89,0.01,0.2,0)</f>
        <v>-8.5770819532797691E-5</v>
      </c>
      <c r="H105" s="1" cm="1">
        <f t="array" ref="H105">OptionRho("P",$E105,100,H$89,0.01,0.2,0)</f>
        <v>-9.9962649464833248E-4</v>
      </c>
      <c r="I105" s="1" cm="1">
        <f t="array" ref="I105">OptionRho("P",$E105,100,I$89,0.01,0.2,0)</f>
        <v>-3.8319779767900762E-3</v>
      </c>
      <c r="J105" s="1" cm="1">
        <f t="array" ref="J105">OptionRho("P",$E105,100,J$89,0.01,0.2,0)</f>
        <v>-9.182683253990985E-3</v>
      </c>
      <c r="K105" s="1" cm="1">
        <f t="array" ref="K105">OptionRho("P",$E105,100,K$89,0.01,0.2,0)</f>
        <v>-1.7188123836696396E-2</v>
      </c>
      <c r="L105" s="1" cm="1">
        <f t="array" ref="L105">OptionRho("P",$E105,100,L$89,0.01,0.2,0)</f>
        <v>-2.7747891614049097E-2</v>
      </c>
      <c r="M105" s="1" cm="1">
        <f t="array" ref="M105">OptionRho("P",$E105,100,M$89,0.01,0.2,0)</f>
        <v>-4.0668157638389463E-2</v>
      </c>
      <c r="N105" s="1" cm="1">
        <f t="array" ref="N105">OptionRho("P",$E105,100,N$89,0.01,0.2,0)</f>
        <v>-5.5731173432878374E-2</v>
      </c>
      <c r="O105" s="1" cm="1">
        <f t="array" ref="O105">OptionRho("P",$E105,100,O$89,0.01,0.2,0)</f>
        <v>-7.2725467232320304E-2</v>
      </c>
      <c r="P105" s="1" cm="1">
        <f t="array" ref="P105">OptionRho("P",$E105,100,P$89,0.01,0.2,0)</f>
        <v>-0.31564169863796115</v>
      </c>
      <c r="Q105" s="1" cm="1">
        <f t="array" ref="Q105">OptionRho("P",$E105,100,Q$89,0.01,0.2,0)</f>
        <v>-0.63402052128096154</v>
      </c>
      <c r="R105" s="1" cm="1">
        <f t="array" ref="R105">OptionRho("P",$E105,100,R$89,0.01,0.2,0)</f>
        <v>-0.99061874914576131</v>
      </c>
      <c r="S105" s="1" cm="1">
        <f t="array" ref="S105">OptionRho("P",$E105,100,S$89,0.01,0.2,0)</f>
        <v>-1.3697478270717238</v>
      </c>
      <c r="W105" s="2">
        <f t="shared" si="25"/>
        <v>135</v>
      </c>
      <c r="X105" s="1" cm="1">
        <f t="array" ref="X105">OptionRho("P",$E105,100,X$89,0.01,0.1,0)</f>
        <v>0</v>
      </c>
      <c r="Y105" s="1" cm="1">
        <f t="array" ref="Y105">OptionRho("P",$E105,100,Y$89,0.01,0.1,0)</f>
        <v>-1.6597911867185122E-12</v>
      </c>
      <c r="Z105" s="1" cm="1">
        <f t="array" ref="Z105">OptionRho("P",$E105,100,Z$89,0.01,0.1,0)</f>
        <v>-5.473460725922775E-9</v>
      </c>
      <c r="AA105" s="1" cm="1">
        <f t="array" ref="AA105">OptionRho("P",$E105,100,AA$89,0.01,0.1,0)</f>
        <v>-3.5498023255249737E-7</v>
      </c>
      <c r="AB105" s="1" cm="1">
        <f t="array" ref="AB105">OptionRho("P",$E105,100,AB$89,0.01,0.1,0)</f>
        <v>-4.660004645410418E-6</v>
      </c>
      <c r="AC105" s="1" cm="1">
        <f t="array" ref="AC105">OptionRho("P",$E105,100,AC$89,0.01,0.1,0)</f>
        <v>-2.7176224054630909E-5</v>
      </c>
      <c r="AD105" s="1" cm="1">
        <f t="array" ref="AD105">OptionRho("P",$E105,100,AD$89,0.01,0.1,0)</f>
        <v>-9.8976324948273227E-5</v>
      </c>
      <c r="AE105" s="1" cm="1">
        <f t="array" ref="AE105">OptionRho("P",$E105,100,AE$89,0.01,0.1,0)</f>
        <v>-2.6740280174907081E-4</v>
      </c>
      <c r="AF105" s="1" cm="1">
        <f t="array" ref="AF105">OptionRho("P",$E105,100,AF$89,0.01,0.1,0)</f>
        <v>-5.902809081569742E-4</v>
      </c>
      <c r="AG105" s="1" cm="1">
        <f t="array" ref="AG105">OptionRho("P",$E105,100,AG$89,0.01,0.1,0)</f>
        <v>-1.1288829945233887E-3</v>
      </c>
      <c r="AH105" s="1" cm="1">
        <f t="array" ref="AH105">OptionRho("P",$E105,100,AH$89,0.01,0.1,0)</f>
        <v>-2.7763060015189755E-2</v>
      </c>
      <c r="AI105" s="1" cm="1">
        <f t="array" ref="AI105">OptionRho("P",$E105,100,AI$89,0.01,0.1,0)</f>
        <v>-0.10025507523116212</v>
      </c>
      <c r="AJ105" s="1" cm="1">
        <f t="array" ref="AJ105">OptionRho("P",$E105,100,AJ$89,0.01,0.1,0)</f>
        <v>-0.21037948457823838</v>
      </c>
      <c r="AK105" s="1" cm="1">
        <f t="array" ref="AK105">OptionRho("P",$E105,100,AK$89,0.01,0.1,0)</f>
        <v>-0.34712911679763819</v>
      </c>
      <c r="AO105" s="2">
        <f t="shared" si="26"/>
        <v>135</v>
      </c>
      <c r="AP105" s="1" cm="1">
        <f t="array" ref="AP105">OptionRho("P",$E105,100,AP$89,0.01,0.3,0)</f>
        <v>-8.8365776347318313E-5</v>
      </c>
      <c r="AQ105" s="1" cm="1">
        <f t="array" ref="AQ105">OptionRho("P",$E105,100,AQ$89,0.01,0.3,0)</f>
        <v>-2.8855089414024254E-3</v>
      </c>
      <c r="AR105" s="1" cm="1">
        <f t="array" ref="AR105">OptionRho("P",$E105,100,AR$89,0.01,0.3,0)</f>
        <v>-1.166325784190428E-2</v>
      </c>
      <c r="AS105" s="1" cm="1">
        <f t="array" ref="AS105">OptionRho("P",$E105,100,AS$89,0.01,0.3,0)</f>
        <v>-2.6210787015647562E-2</v>
      </c>
      <c r="AT105" s="1" cm="1">
        <f t="array" ref="AT105">OptionRho("P",$E105,100,AT$89,0.01,0.3,0)</f>
        <v>-4.5469811740087018E-2</v>
      </c>
      <c r="AU105" s="1" cm="1">
        <f t="array" ref="AU105">OptionRho("P",$E105,100,AU$89,0.01,0.3,0)</f>
        <v>-6.8504379043218822E-2</v>
      </c>
      <c r="AV105" s="1" cm="1">
        <f t="array" ref="AV105">OptionRho("P",$E105,100,AV$89,0.01,0.3,0)</f>
        <v>-9.4601690411796877E-2</v>
      </c>
      <c r="AW105" s="1" cm="1">
        <f t="array" ref="AW105">OptionRho("P",$E105,100,AW$89,0.01,0.3,0)</f>
        <v>-0.12322920074328624</v>
      </c>
      <c r="AX105" s="1" cm="1">
        <f t="array" ref="AX105">OptionRho("P",$E105,100,AX$89,0.01,0.3,0)</f>
        <v>-0.15398474228507225</v>
      </c>
      <c r="AY105" s="1" cm="1">
        <f t="array" ref="AY105">OptionRho("P",$E105,100,AY$89,0.01,0.3,0)</f>
        <v>-0.18655900747507148</v>
      </c>
      <c r="AZ105" s="1" cm="1">
        <f t="array" ref="AZ105">OptionRho("P",$E105,100,AZ$89,0.01,0.3,0)</f>
        <v>-0.57593468855489771</v>
      </c>
      <c r="BA105" s="1" cm="1">
        <f t="array" ref="BA105">OptionRho("P",$E105,100,BA$89,0.01,0.3,0)</f>
        <v>-1.0296004319123739</v>
      </c>
      <c r="BB105" s="1" cm="1">
        <f t="array" ref="BB105">OptionRho("P",$E105,100,BB$89,0.01,0.3,0)</f>
        <v>-1.517262530812135</v>
      </c>
      <c r="BC105" s="1" cm="1">
        <f t="array" ref="BC105">OptionRho("P",$E105,100,BC$89,0.01,0.3,0)</f>
        <v>-2.026253429822011</v>
      </c>
    </row>
    <row r="106" spans="5:55" x14ac:dyDescent="0.3">
      <c r="E106" s="2">
        <f t="shared" si="24"/>
        <v>140</v>
      </c>
      <c r="F106" s="1" cm="1">
        <f t="array" ref="F106">OptionRho("P",$E106,100,F$89,0.01,0.2,0)</f>
        <v>-5.6502198463535636E-9</v>
      </c>
      <c r="G106" s="1" cm="1">
        <f t="array" ref="G106">OptionRho("P",$E106,100,G$89,0.01,0.2,0)</f>
        <v>-1.8400851648051194E-5</v>
      </c>
      <c r="H106" s="1" cm="1">
        <f t="array" ref="H106">OptionRho("P",$E106,100,H$89,0.01,0.2,0)</f>
        <v>-3.4893521618526319E-4</v>
      </c>
      <c r="I106" s="1" cm="1">
        <f t="array" ref="I106">OptionRho("P",$E106,100,I$89,0.01,0.2,0)</f>
        <v>-1.7087825312208549E-3</v>
      </c>
      <c r="J106" s="1" cm="1">
        <f t="array" ref="J106">OptionRho("P",$E106,100,J$89,0.01,0.2,0)</f>
        <v>-4.7475024340639443E-3</v>
      </c>
      <c r="K106" s="1" cm="1">
        <f t="array" ref="K106">OptionRho("P",$E106,100,K$89,0.01,0.2,0)</f>
        <v>-9.8137054815928444E-3</v>
      </c>
      <c r="L106" s="1" cm="1">
        <f t="array" ref="L106">OptionRho("P",$E106,100,L$89,0.01,0.2,0)</f>
        <v>-1.7015134616637791E-2</v>
      </c>
      <c r="M106" s="1" cm="1">
        <f t="array" ref="M106">OptionRho("P",$E106,100,M$89,0.01,0.2,0)</f>
        <v>-2.6318913337857811E-2</v>
      </c>
      <c r="N106" s="1" cm="1">
        <f t="array" ref="N106">OptionRho("P",$E106,100,N$89,0.01,0.2,0)</f>
        <v>-3.7621859416077819E-2</v>
      </c>
      <c r="O106" s="1" cm="1">
        <f t="array" ref="O106">OptionRho("P",$E106,100,O$89,0.01,0.2,0)</f>
        <v>-5.0791250093462831E-2</v>
      </c>
      <c r="P106" s="1" cm="1">
        <f t="array" ref="P106">OptionRho("P",$E106,100,P$89,0.01,0.2,0)</f>
        <v>-0.25797213572700117</v>
      </c>
      <c r="Q106" s="1" cm="1">
        <f t="array" ref="Q106">OptionRho("P",$E106,100,Q$89,0.01,0.2,0)</f>
        <v>-0.54778766781951849</v>
      </c>
      <c r="R106" s="1" cm="1">
        <f t="array" ref="R106">OptionRho("P",$E106,100,R$89,0.01,0.2,0)</f>
        <v>-0.8812052316191451</v>
      </c>
      <c r="S106" s="1" cm="1">
        <f t="array" ref="S106">OptionRho("P",$E106,100,S$89,0.01,0.2,0)</f>
        <v>-1.2408816131647338</v>
      </c>
      <c r="W106" s="2">
        <f t="shared" si="25"/>
        <v>140</v>
      </c>
      <c r="X106" s="1" cm="1">
        <f t="array" ref="X106">OptionRho("P",$E106,100,X$89,0.01,0.1,0)</f>
        <v>0</v>
      </c>
      <c r="Y106" s="1" cm="1">
        <f t="array" ref="Y106">OptionRho("P",$E106,100,Y$89,0.01,0.1,0)</f>
        <v>-4.4763393820712882E-15</v>
      </c>
      <c r="Z106" s="1" cm="1">
        <f t="array" ref="Z106">OptionRho("P",$E106,100,Z$89,0.01,0.1,0)</f>
        <v>-1.0180531165586608E-10</v>
      </c>
      <c r="AA106" s="1" cm="1">
        <f t="array" ref="AA106">OptionRho("P",$E106,100,AA$89,0.01,0.1,0)</f>
        <v>-1.7355255496669079E-8</v>
      </c>
      <c r="AB106" s="1" cm="1">
        <f t="array" ref="AB106">OptionRho("P",$E106,100,AB$89,0.01,0.1,0)</f>
        <v>-4.0710561483480885E-7</v>
      </c>
      <c r="AC106" s="1" cm="1">
        <f t="array" ref="AC106">OptionRho("P",$E106,100,AC$89,0.01,0.1,0)</f>
        <v>-3.4976118162320941E-6</v>
      </c>
      <c r="AD106" s="1" cm="1">
        <f t="array" ref="AD106">OptionRho("P",$E106,100,AD$89,0.01,0.1,0)</f>
        <v>-1.6805717595824046E-5</v>
      </c>
      <c r="AE106" s="1" cm="1">
        <f t="array" ref="AE106">OptionRho("P",$E106,100,AE$89,0.01,0.1,0)</f>
        <v>-5.5908141161777045E-5</v>
      </c>
      <c r="AF106" s="1" cm="1">
        <f t="array" ref="AF106">OptionRho("P",$E106,100,AF$89,0.01,0.1,0)</f>
        <v>-1.4513415048128322E-4</v>
      </c>
      <c r="AG106" s="1" cm="1">
        <f t="array" ref="AG106">OptionRho("P",$E106,100,AG$89,0.01,0.1,0)</f>
        <v>-3.1605882700215803E-4</v>
      </c>
      <c r="AH106" s="1" cm="1">
        <f t="array" ref="AH106">OptionRho("P",$E106,100,AH$89,0.01,0.1,0)</f>
        <v>-1.4005521022504241E-2</v>
      </c>
      <c r="AI106" s="1" cm="1">
        <f t="array" ref="AI106">OptionRho("P",$E106,100,AI$89,0.01,0.1,0)</f>
        <v>-6.1771701030619769E-2</v>
      </c>
      <c r="AJ106" s="1" cm="1">
        <f t="array" ref="AJ106">OptionRho("P",$E106,100,AJ$89,0.01,0.1,0)</f>
        <v>-0.14352340135387864</v>
      </c>
      <c r="AK106" s="1" cm="1">
        <f t="array" ref="AK106">OptionRho("P",$E106,100,AK$89,0.01,0.1,0)</f>
        <v>-0.25201588710677386</v>
      </c>
      <c r="AO106" s="2">
        <f t="shared" si="26"/>
        <v>140</v>
      </c>
      <c r="AP106" s="1" cm="1">
        <f t="array" ref="AP106">OptionRho("P",$E106,100,AP$89,0.01,0.3,0)</f>
        <v>-2.239678758662561E-5</v>
      </c>
      <c r="AQ106" s="1" cm="1">
        <f t="array" ref="AQ106">OptionRho("P",$E106,100,AQ$89,0.01,0.3,0)</f>
        <v>-1.4031351479492466E-3</v>
      </c>
      <c r="AR106" s="1" cm="1">
        <f t="array" ref="AR106">OptionRho("P",$E106,100,AR$89,0.01,0.3,0)</f>
        <v>-7.0704134141144322E-3</v>
      </c>
      <c r="AS106" s="1" cm="1">
        <f t="array" ref="AS106">OptionRho("P",$E106,100,AS$89,0.01,0.3,0)</f>
        <v>-1.7770843695835294E-2</v>
      </c>
      <c r="AT106" s="1" cm="1">
        <f t="array" ref="AT106">OptionRho("P",$E106,100,AT$89,0.01,0.3,0)</f>
        <v>-3.3002481202875647E-2</v>
      </c>
      <c r="AU106" s="1" cm="1">
        <f t="array" ref="AU106">OptionRho("P",$E106,100,AU$89,0.01,0.3,0)</f>
        <v>-5.2066109365743594E-2</v>
      </c>
      <c r="AV106" s="1" cm="1">
        <f t="array" ref="AV106">OptionRho("P",$E106,100,AV$89,0.01,0.3,0)</f>
        <v>-7.4340926919874747E-2</v>
      </c>
      <c r="AW106" s="1" cm="1">
        <f t="array" ref="AW106">OptionRho("P",$E106,100,AW$89,0.01,0.3,0)</f>
        <v>-9.9324338308932572E-2</v>
      </c>
      <c r="AX106" s="1" cm="1">
        <f t="array" ref="AX106">OptionRho("P",$E106,100,AX$89,0.01,0.3,0)</f>
        <v>-0.12661761696303447</v>
      </c>
      <c r="AY106" s="1" cm="1">
        <f t="array" ref="AY106">OptionRho("P",$E106,100,AY$89,0.01,0.3,0)</f>
        <v>-0.15590384736980178</v>
      </c>
      <c r="AZ106" s="1" cm="1">
        <f t="array" ref="AZ106">OptionRho("P",$E106,100,AZ$89,0.01,0.3,0)</f>
        <v>-0.51945709399191076</v>
      </c>
      <c r="BA106" s="1" cm="1">
        <f t="array" ref="BA106">OptionRho("P",$E106,100,BA$89,0.01,0.3,0)</f>
        <v>-0.95489103756833404</v>
      </c>
      <c r="BB106" s="1" cm="1">
        <f t="array" ref="BB106">OptionRho("P",$E106,100,BB$89,0.01,0.3,0)</f>
        <v>-1.4283571112354714</v>
      </c>
      <c r="BC106" s="1" cm="1">
        <f t="array" ref="BC106">OptionRho("P",$E106,100,BC$89,0.01,0.3,0)</f>
        <v>-1.9257187255069332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4E8F-3A5E-44D9-90AC-7611F22F5EDA}">
  <sheetPr codeName="Foglio3"/>
  <dimension ref="B2:AH130"/>
  <sheetViews>
    <sheetView tabSelected="1" zoomScale="85" zoomScaleNormal="85" workbookViewId="0">
      <selection activeCell="T62" sqref="T62"/>
    </sheetView>
  </sheetViews>
  <sheetFormatPr defaultRowHeight="14.4" x14ac:dyDescent="0.3"/>
  <cols>
    <col min="2" max="2" width="10.33203125" bestFit="1" customWidth="1"/>
    <col min="3" max="6" width="7" bestFit="1" customWidth="1"/>
    <col min="7" max="7" width="8.44140625" bestFit="1" customWidth="1"/>
    <col min="8" max="8" width="8" bestFit="1" customWidth="1"/>
    <col min="12" max="12" width="9.77734375" customWidth="1"/>
  </cols>
  <sheetData>
    <row r="2" spans="2:34" x14ac:dyDescent="0.3">
      <c r="C2" s="8" t="s">
        <v>24</v>
      </c>
      <c r="D2" s="8"/>
      <c r="E2" s="8"/>
    </row>
    <row r="3" spans="2:34" x14ac:dyDescent="0.3">
      <c r="B3" s="6" t="s">
        <v>17</v>
      </c>
      <c r="C3" s="6" t="s">
        <v>18</v>
      </c>
      <c r="D3" s="6" t="s">
        <v>19</v>
      </c>
      <c r="E3" s="6" t="s">
        <v>20</v>
      </c>
      <c r="F3" s="6" t="s">
        <v>21</v>
      </c>
      <c r="G3" s="6" t="s">
        <v>22</v>
      </c>
      <c r="H3" s="6" t="s">
        <v>23</v>
      </c>
      <c r="J3" s="6" t="s">
        <v>25</v>
      </c>
      <c r="M3" s="8" t="s">
        <v>28</v>
      </c>
      <c r="N3" s="8"/>
      <c r="R3" t="s">
        <v>45</v>
      </c>
    </row>
    <row r="4" spans="2:34" x14ac:dyDescent="0.3">
      <c r="B4" s="3">
        <v>45218</v>
      </c>
      <c r="C4">
        <v>15.3</v>
      </c>
      <c r="D4">
        <v>15.595000000000001</v>
      </c>
      <c r="E4">
        <v>15.3</v>
      </c>
      <c r="F4">
        <v>15.414999999999999</v>
      </c>
      <c r="G4">
        <v>15.414999999999999</v>
      </c>
      <c r="H4">
        <v>439971</v>
      </c>
      <c r="M4" s="4" t="s">
        <v>26</v>
      </c>
      <c r="N4" s="4" t="s">
        <v>27</v>
      </c>
      <c r="P4" s="4" t="s">
        <v>29</v>
      </c>
      <c r="R4" s="4" t="s">
        <v>47</v>
      </c>
      <c r="S4" s="4" t="s">
        <v>48</v>
      </c>
      <c r="T4" s="4" t="s">
        <v>49</v>
      </c>
    </row>
    <row r="5" spans="2:34" x14ac:dyDescent="0.3">
      <c r="B5" s="3">
        <v>45219</v>
      </c>
      <c r="C5">
        <v>15.195</v>
      </c>
      <c r="D5">
        <v>15.42</v>
      </c>
      <c r="E5">
        <v>15.055</v>
      </c>
      <c r="F5">
        <v>15.06</v>
      </c>
      <c r="G5">
        <v>15.06</v>
      </c>
      <c r="H5">
        <v>509912</v>
      </c>
      <c r="J5">
        <f>(G5-G4)/G4</f>
        <v>-2.302951670450851E-2</v>
      </c>
      <c r="M5" s="1">
        <f>_xlfn.STDEV.S(J5:J130)</f>
        <v>1.9593948054572884E-2</v>
      </c>
      <c r="N5" s="1">
        <f>M5*SQRT(252)</f>
        <v>0.31104428252590616</v>
      </c>
      <c r="P5" s="1">
        <v>12.3</v>
      </c>
      <c r="R5" s="1">
        <v>3.8969999999999998E-2</v>
      </c>
      <c r="S5" s="1">
        <v>3.8429999999999999E-2</v>
      </c>
      <c r="T5" s="1">
        <v>3.7310000000000003E-2</v>
      </c>
    </row>
    <row r="6" spans="2:34" x14ac:dyDescent="0.3">
      <c r="B6" s="3">
        <v>45222</v>
      </c>
      <c r="C6">
        <v>15.05</v>
      </c>
      <c r="D6">
        <v>15.12</v>
      </c>
      <c r="E6">
        <v>14.755000000000001</v>
      </c>
      <c r="F6">
        <v>14.984999999999999</v>
      </c>
      <c r="G6">
        <v>14.984999999999999</v>
      </c>
      <c r="H6">
        <v>461186</v>
      </c>
      <c r="J6">
        <f t="shared" ref="J6:J69" si="0">(G6-G5)/G5</f>
        <v>-4.9800796812749714E-3</v>
      </c>
    </row>
    <row r="7" spans="2:34" x14ac:dyDescent="0.3">
      <c r="B7" s="3">
        <v>45223</v>
      </c>
      <c r="C7">
        <v>15.055</v>
      </c>
      <c r="D7">
        <v>15.225</v>
      </c>
      <c r="E7">
        <v>15</v>
      </c>
      <c r="F7">
        <v>15.15</v>
      </c>
      <c r="G7">
        <v>15.15</v>
      </c>
      <c r="H7">
        <v>424298</v>
      </c>
      <c r="J7">
        <f t="shared" si="0"/>
        <v>1.1011011011011073E-2</v>
      </c>
    </row>
    <row r="8" spans="2:34" x14ac:dyDescent="0.3">
      <c r="B8" s="3">
        <v>45224</v>
      </c>
      <c r="C8">
        <v>15.265000000000001</v>
      </c>
      <c r="D8">
        <v>15.265000000000001</v>
      </c>
      <c r="E8">
        <v>14.785</v>
      </c>
      <c r="F8">
        <v>14.904999999999999</v>
      </c>
      <c r="G8">
        <v>14.904999999999999</v>
      </c>
      <c r="H8">
        <v>412633</v>
      </c>
      <c r="J8">
        <f t="shared" si="0"/>
        <v>-1.6171617161716237E-2</v>
      </c>
      <c r="L8" s="8" t="s">
        <v>37</v>
      </c>
      <c r="M8" s="8"/>
      <c r="N8" s="8"/>
      <c r="W8" s="8" t="s">
        <v>44</v>
      </c>
      <c r="X8" s="8"/>
      <c r="Y8" s="8"/>
      <c r="AD8" t="s">
        <v>50</v>
      </c>
    </row>
    <row r="9" spans="2:34" x14ac:dyDescent="0.3">
      <c r="B9" s="3">
        <v>45225</v>
      </c>
      <c r="C9">
        <v>14.75</v>
      </c>
      <c r="D9">
        <v>14.93</v>
      </c>
      <c r="E9">
        <v>14.69</v>
      </c>
      <c r="F9">
        <v>14.695</v>
      </c>
      <c r="G9">
        <v>14.695</v>
      </c>
      <c r="H9">
        <v>466647</v>
      </c>
      <c r="J9">
        <f t="shared" si="0"/>
        <v>-1.4089231801408862E-2</v>
      </c>
      <c r="L9" s="4" t="s">
        <v>31</v>
      </c>
      <c r="M9" s="4" t="s">
        <v>30</v>
      </c>
      <c r="N9" s="4" t="s">
        <v>0</v>
      </c>
      <c r="O9" s="4" t="s">
        <v>35</v>
      </c>
      <c r="P9" s="4" t="s">
        <v>36</v>
      </c>
      <c r="Q9" s="4" t="s">
        <v>39</v>
      </c>
      <c r="R9" s="4" t="s">
        <v>40</v>
      </c>
      <c r="S9" s="4" t="s">
        <v>41</v>
      </c>
      <c r="T9" s="4" t="s">
        <v>42</v>
      </c>
      <c r="U9" s="4" t="s">
        <v>43</v>
      </c>
      <c r="W9" s="4" t="s">
        <v>46</v>
      </c>
      <c r="X9" s="4" t="s">
        <v>39</v>
      </c>
      <c r="Y9" s="4" t="s">
        <v>40</v>
      </c>
      <c r="Z9" s="4" t="s">
        <v>41</v>
      </c>
      <c r="AA9" s="4" t="s">
        <v>42</v>
      </c>
      <c r="AB9" s="4" t="s">
        <v>43</v>
      </c>
      <c r="AD9" s="4" t="s">
        <v>39</v>
      </c>
      <c r="AE9" s="4" t="s">
        <v>40</v>
      </c>
      <c r="AF9" s="4" t="s">
        <v>41</v>
      </c>
      <c r="AG9" s="4" t="s">
        <v>42</v>
      </c>
      <c r="AH9" s="4" t="s">
        <v>43</v>
      </c>
    </row>
    <row r="10" spans="2:34" x14ac:dyDescent="0.3">
      <c r="B10" s="3">
        <v>45226</v>
      </c>
      <c r="C10">
        <v>14.66</v>
      </c>
      <c r="D10">
        <v>14.72</v>
      </c>
      <c r="E10">
        <v>14.34</v>
      </c>
      <c r="F10">
        <v>14.45</v>
      </c>
      <c r="G10">
        <v>14.45</v>
      </c>
      <c r="H10">
        <v>581123</v>
      </c>
      <c r="J10">
        <f t="shared" si="0"/>
        <v>-1.66723375297721E-2</v>
      </c>
      <c r="L10" s="1" t="s">
        <v>32</v>
      </c>
      <c r="M10" s="1">
        <f>2/12</f>
        <v>0.16666666666666666</v>
      </c>
      <c r="N10" s="1">
        <v>12</v>
      </c>
      <c r="O10" s="1">
        <v>0.85</v>
      </c>
      <c r="P10" s="1">
        <v>1.1499999999999999</v>
      </c>
      <c r="Q10" s="1">
        <v>0.60750000000000004</v>
      </c>
      <c r="R10" s="1">
        <v>0.19139999999999999</v>
      </c>
      <c r="S10" s="1">
        <v>1.9599999999999999E-2</v>
      </c>
      <c r="T10" s="1">
        <v>-7.0000000000000001E-3</v>
      </c>
      <c r="U10" s="1">
        <v>1.0999999999999999E-2</v>
      </c>
      <c r="W10" s="1" cm="1">
        <f t="array" ref="W10">OptionPrice("C",$P$5,N10,M10,$R$5,$N$5,0)</f>
        <v>0.82034424903861503</v>
      </c>
      <c r="X10" s="1" cm="1">
        <f t="array" ref="X10">OptionDelta("C",$P$5,N10,M10,$R$5,$N$5,0)</f>
        <v>0.6213756363166445</v>
      </c>
      <c r="Y10" s="1" cm="1">
        <f t="array" ref="Y10">GreekGamma($P$5,N10,M10,$R$5,$N$5,0)</f>
        <v>0.24350735086911821</v>
      </c>
      <c r="Z10" s="1" cm="1">
        <f t="array" ref="Z10">Vega($P$5,N10,M10,$R$5,$N$5,0)</f>
        <v>1.9098236684085113E-2</v>
      </c>
      <c r="AA10" s="1" cm="1">
        <f t="array" ref="AA10">OptionTheta("C",$P$5,N10,M10,$R$5,$N$5,0)</f>
        <v>-5.610945172108541E-3</v>
      </c>
      <c r="AB10" s="1" cm="1">
        <f t="array" ref="AB10">OptionRho("C",$P$5,N10,M10,$R$5,$N$5,0)</f>
        <v>1.1370960129426852E-2</v>
      </c>
      <c r="AD10" s="1">
        <f>100 * (X10-Q10)/Q10</f>
        <v>2.2840553607645195</v>
      </c>
      <c r="AE10" s="1">
        <f t="shared" ref="AE10:AH10" si="1">100 * (Y10-R10)/R10</f>
        <v>27.224321248233135</v>
      </c>
      <c r="AF10" s="1">
        <f t="shared" si="1"/>
        <v>-2.5600169179330963</v>
      </c>
      <c r="AG10" s="1">
        <f t="shared" si="1"/>
        <v>-19.843640398449416</v>
      </c>
      <c r="AH10" s="1">
        <f t="shared" si="1"/>
        <v>3.3723648129713908</v>
      </c>
    </row>
    <row r="11" spans="2:34" x14ac:dyDescent="0.3">
      <c r="B11" s="3">
        <v>45229</v>
      </c>
      <c r="C11">
        <v>14.535</v>
      </c>
      <c r="D11">
        <v>14.734999999999999</v>
      </c>
      <c r="E11">
        <v>14.42</v>
      </c>
      <c r="F11">
        <v>14.53</v>
      </c>
      <c r="G11">
        <v>14.53</v>
      </c>
      <c r="H11">
        <v>652433</v>
      </c>
      <c r="J11">
        <f t="shared" si="0"/>
        <v>5.5363321799308009E-3</v>
      </c>
      <c r="L11" s="1" t="s">
        <v>33</v>
      </c>
      <c r="M11" s="1">
        <f>5/12</f>
        <v>0.41666666666666669</v>
      </c>
      <c r="N11" s="1">
        <v>12</v>
      </c>
      <c r="O11" s="1">
        <v>1.3</v>
      </c>
      <c r="P11" s="1">
        <v>1.6</v>
      </c>
      <c r="Q11" s="1">
        <v>0.61360000000000003</v>
      </c>
      <c r="R11" s="1">
        <v>0.12690000000000001</v>
      </c>
      <c r="S11" s="1">
        <v>3.0499999999999999E-2</v>
      </c>
      <c r="T11" s="1">
        <v>-4.4000000000000003E-3</v>
      </c>
      <c r="U11" s="1">
        <v>2.5499999999999998E-2</v>
      </c>
      <c r="W11" s="1" cm="1">
        <f t="array" ref="W11">OptionPrice("C",$P$5,N11,M11,$S$5,$N$5,0)</f>
        <v>1.2289311645043348</v>
      </c>
      <c r="X11" s="1" cm="1">
        <f t="array" ref="X11">OptionDelta("C",$P$5,N11,M11,$S$5,$N$5,0)</f>
        <v>0.61910300489904513</v>
      </c>
      <c r="Y11" s="1" cm="1">
        <f t="array" ref="Y11">GreekGamma($P$5,N11,M11,$S$5,$N$5,0)</f>
        <v>0.15428926968379383</v>
      </c>
      <c r="Z11" s="1" cm="1">
        <f t="array" ref="Z11">Vega($P$5,N11,M11,$S$5,$N$5,0)</f>
        <v>3.0252197518048612E-2</v>
      </c>
      <c r="AA11" s="1" cm="1">
        <f t="array" ref="AA11">OptionTheta("C",$P$5,N11,M11,$S$5,$N$5,0)</f>
        <v>-3.7659948609611907E-3</v>
      </c>
      <c r="AB11" s="1" cm="1">
        <f t="array" ref="AB11">OptionRho("C",$P$5,N11,M11,$S$5,$N$5,0)</f>
        <v>2.6608482482308005E-2</v>
      </c>
      <c r="AD11" s="1">
        <f t="shared" ref="AD11:AD12" si="2">100 * (X11-Q11)/Q11</f>
        <v>0.89683912957058243</v>
      </c>
      <c r="AE11" s="1">
        <f t="shared" ref="AE11:AE12" si="3">100 * (Y11-R11)/R11</f>
        <v>21.583348844597179</v>
      </c>
      <c r="AF11" s="1">
        <f t="shared" ref="AF11:AF12" si="4">100 * (Z11-S11)/S11</f>
        <v>-0.8124671539389734</v>
      </c>
      <c r="AG11" s="1">
        <f t="shared" ref="AG11:AG12" si="5">100 * (AA11-T11)/T11</f>
        <v>-14.409207705427487</v>
      </c>
      <c r="AH11" s="1">
        <f t="shared" ref="AH11:AH12" si="6">100 * (AB11-U11)/U11</f>
        <v>4.3469901266980671</v>
      </c>
    </row>
    <row r="12" spans="2:34" x14ac:dyDescent="0.3">
      <c r="B12" s="3">
        <v>45230</v>
      </c>
      <c r="C12">
        <v>14.244999999999999</v>
      </c>
      <c r="D12">
        <v>14.85</v>
      </c>
      <c r="E12">
        <v>13.925000000000001</v>
      </c>
      <c r="F12">
        <v>14.494999999999999</v>
      </c>
      <c r="G12">
        <v>14.494999999999999</v>
      </c>
      <c r="H12">
        <v>1089742</v>
      </c>
      <c r="J12">
        <f t="shared" si="0"/>
        <v>-2.4088093599449515E-3</v>
      </c>
      <c r="L12" s="1" t="s">
        <v>34</v>
      </c>
      <c r="M12" s="1">
        <f>11/12</f>
        <v>0.91666666666666663</v>
      </c>
      <c r="N12" s="1">
        <v>12</v>
      </c>
      <c r="O12" s="1">
        <v>1.8</v>
      </c>
      <c r="P12" s="1">
        <v>2.5</v>
      </c>
      <c r="Q12" s="1">
        <v>0.6341</v>
      </c>
      <c r="R12" s="1">
        <v>8.2299999999999998E-2</v>
      </c>
      <c r="S12" s="1">
        <v>4.4200000000000003E-2</v>
      </c>
      <c r="T12" s="1">
        <v>-3.2000000000000002E-3</v>
      </c>
      <c r="U12" s="1">
        <v>5.1900000000000002E-2</v>
      </c>
      <c r="W12" s="1" cm="1">
        <f t="array" ref="W12">OptionPrice("C",$P$5,N12,M12,$T$5,$N$5,0)</f>
        <v>1.7933849258872252</v>
      </c>
      <c r="X12" s="1" cm="1">
        <f t="array" ref="X12">OptionDelta("C",$P$5,N12,M12,$T$5,$N$5,0)</f>
        <v>0.63557713395662407</v>
      </c>
      <c r="Y12" s="1" cm="1">
        <f t="array" ref="Y12">GreekGamma($P$5,N12,M12,$T$5,$N$5,0)</f>
        <v>0.10256083218828016</v>
      </c>
      <c r="Z12" s="1" cm="1">
        <f t="array" ref="Z12">Vega($P$5,N12,M12,$T$5,$N$5,0)</f>
        <v>4.4241049494465362E-2</v>
      </c>
      <c r="AA12" s="1" cm="1">
        <f t="array" ref="AA12">OptionTheta("C",$P$5,N12,M12,$T$5,$N$5,0)</f>
        <v>-2.6722174080985985E-3</v>
      </c>
      <c r="AB12" s="1" cm="1">
        <f t="array" ref="AB12">OptionRho("C",$P$5,N12,M12,$T$5,$N$5,0)</f>
        <v>5.5221960032976462E-2</v>
      </c>
      <c r="AD12" s="1">
        <f t="shared" si="2"/>
        <v>0.23294968563697793</v>
      </c>
      <c r="AE12" s="1">
        <f t="shared" si="3"/>
        <v>24.618265113341629</v>
      </c>
      <c r="AF12" s="1">
        <f t="shared" si="4"/>
        <v>9.2872159423888864E-2</v>
      </c>
      <c r="AG12" s="1">
        <f t="shared" si="5"/>
        <v>-16.493205996918803</v>
      </c>
      <c r="AH12" s="1">
        <f t="shared" si="6"/>
        <v>6.4006937051569572</v>
      </c>
    </row>
    <row r="13" spans="2:34" x14ac:dyDescent="0.3">
      <c r="B13" s="3">
        <v>45231</v>
      </c>
      <c r="C13">
        <v>14.6</v>
      </c>
      <c r="D13">
        <v>14.66</v>
      </c>
      <c r="E13">
        <v>13.89</v>
      </c>
      <c r="F13">
        <v>14.205</v>
      </c>
      <c r="G13">
        <v>14.205</v>
      </c>
      <c r="H13">
        <v>1414919</v>
      </c>
      <c r="J13">
        <f t="shared" si="0"/>
        <v>-2.0006898930665689E-2</v>
      </c>
    </row>
    <row r="14" spans="2:34" x14ac:dyDescent="0.3">
      <c r="B14" s="3">
        <v>45232</v>
      </c>
      <c r="C14">
        <v>14.295</v>
      </c>
      <c r="D14">
        <v>14.725</v>
      </c>
      <c r="E14">
        <v>14.295</v>
      </c>
      <c r="F14">
        <v>14.404999999999999</v>
      </c>
      <c r="G14">
        <v>14.404999999999999</v>
      </c>
      <c r="H14">
        <v>521568</v>
      </c>
      <c r="J14">
        <f t="shared" si="0"/>
        <v>1.4079549454417408E-2</v>
      </c>
    </row>
    <row r="15" spans="2:34" x14ac:dyDescent="0.3">
      <c r="B15" s="3">
        <v>45233</v>
      </c>
      <c r="C15">
        <v>14.385</v>
      </c>
      <c r="D15">
        <v>14.505000000000001</v>
      </c>
      <c r="E15">
        <v>14.095000000000001</v>
      </c>
      <c r="F15">
        <v>14.19</v>
      </c>
      <c r="G15">
        <v>14.19</v>
      </c>
      <c r="H15">
        <v>960633</v>
      </c>
      <c r="J15">
        <f t="shared" si="0"/>
        <v>-1.4925373134328349E-2</v>
      </c>
      <c r="L15" s="8" t="s">
        <v>38</v>
      </c>
      <c r="M15" s="8"/>
      <c r="N15" s="8"/>
      <c r="W15" s="8" t="s">
        <v>44</v>
      </c>
      <c r="X15" s="8"/>
      <c r="Y15" s="8"/>
      <c r="AD15" t="s">
        <v>51</v>
      </c>
    </row>
    <row r="16" spans="2:34" x14ac:dyDescent="0.3">
      <c r="B16" s="3">
        <v>45236</v>
      </c>
      <c r="C16">
        <v>14.29</v>
      </c>
      <c r="D16">
        <v>14.44</v>
      </c>
      <c r="E16">
        <v>14.185</v>
      </c>
      <c r="F16">
        <v>14.19</v>
      </c>
      <c r="G16">
        <v>14.19</v>
      </c>
      <c r="H16">
        <v>431642</v>
      </c>
      <c r="J16">
        <f t="shared" si="0"/>
        <v>0</v>
      </c>
      <c r="L16" s="4" t="s">
        <v>31</v>
      </c>
      <c r="M16" s="4" t="s">
        <v>30</v>
      </c>
      <c r="N16" s="4" t="s">
        <v>0</v>
      </c>
      <c r="O16" s="4" t="s">
        <v>35</v>
      </c>
      <c r="P16" s="4" t="s">
        <v>36</v>
      </c>
      <c r="Q16" s="4" t="s">
        <v>39</v>
      </c>
      <c r="R16" s="4" t="s">
        <v>40</v>
      </c>
      <c r="S16" s="4" t="s">
        <v>41</v>
      </c>
      <c r="T16" s="4" t="s">
        <v>42</v>
      </c>
      <c r="U16" s="4" t="s">
        <v>43</v>
      </c>
      <c r="W16" s="4" t="s">
        <v>46</v>
      </c>
      <c r="X16" s="4" t="s">
        <v>39</v>
      </c>
      <c r="Y16" s="4" t="s">
        <v>40</v>
      </c>
      <c r="Z16" s="4" t="s">
        <v>41</v>
      </c>
      <c r="AA16" s="4" t="s">
        <v>42</v>
      </c>
      <c r="AB16" s="4" t="s">
        <v>43</v>
      </c>
      <c r="AD16" s="4" t="s">
        <v>39</v>
      </c>
      <c r="AE16" s="4" t="s">
        <v>40</v>
      </c>
      <c r="AF16" s="4" t="s">
        <v>41</v>
      </c>
      <c r="AG16" s="4" t="s">
        <v>42</v>
      </c>
      <c r="AH16" s="4" t="s">
        <v>43</v>
      </c>
    </row>
    <row r="17" spans="2:34" x14ac:dyDescent="0.3">
      <c r="B17" s="3">
        <v>45237</v>
      </c>
      <c r="C17">
        <v>14.18</v>
      </c>
      <c r="D17">
        <v>14.395</v>
      </c>
      <c r="E17">
        <v>14.11</v>
      </c>
      <c r="F17">
        <v>14.395</v>
      </c>
      <c r="G17">
        <v>14.395</v>
      </c>
      <c r="H17">
        <v>608351</v>
      </c>
      <c r="J17">
        <f t="shared" si="0"/>
        <v>1.4446793516560964E-2</v>
      </c>
      <c r="L17" s="1" t="s">
        <v>32</v>
      </c>
      <c r="M17" s="1">
        <f>2/12</f>
        <v>0.16666666666666666</v>
      </c>
      <c r="N17" s="1">
        <v>12</v>
      </c>
      <c r="O17" s="1">
        <v>0.5</v>
      </c>
      <c r="P17" s="1">
        <v>0.8</v>
      </c>
      <c r="Q17" s="1">
        <v>-0.39400000000000002</v>
      </c>
      <c r="R17" s="1">
        <v>0.1845</v>
      </c>
      <c r="S17" s="1">
        <v>1.9599999999999999E-2</v>
      </c>
      <c r="T17" s="1">
        <v>-6.0000000000000001E-3</v>
      </c>
      <c r="U17" s="1">
        <v>-9.2999999999999992E-3</v>
      </c>
      <c r="W17" s="1" cm="1">
        <f t="array" ref="W17">OptionPrice("P",$P$5,N17,M17,$R$5,$N$5,0)</f>
        <v>0.44265681209377306</v>
      </c>
      <c r="X17" s="1" cm="1">
        <f t="array" ref="X17">OptionDelta("P",$P$5,N17,M17,$R$5,$N$5,0)</f>
        <v>-0.3786243636833555</v>
      </c>
      <c r="Y17" s="1" cm="1">
        <f t="array" ref="Y17">GreekGamma($P$5,N17,M17,$R$5,$N$5,0)</f>
        <v>0.24350735086911821</v>
      </c>
      <c r="Z17" s="1" cm="1">
        <f t="array" ref="Z17">Vega($P$5,N17,M17,$R$5,$N$5,0)</f>
        <v>1.9098236684085113E-2</v>
      </c>
      <c r="AA17" s="1" cm="1">
        <f t="array" ref="AA17">OptionTheta("P",$P$5,N17,M17,$R$5,$N$5,0)</f>
        <v>-4.3380341568146786E-3</v>
      </c>
      <c r="AB17" s="1" cm="1">
        <f t="array" ref="AB17">OptionRho("P",$P$5,N17,M17,$R$5,$N$5,0)</f>
        <v>-8.4995608089984079E-3</v>
      </c>
      <c r="AD17" s="1">
        <f>100*(X17-Q17)/Q17</f>
        <v>-3.9024457656458158</v>
      </c>
      <c r="AE17" s="1">
        <f t="shared" ref="AE17:AH17" si="7">100*(Y17-R17)/R17</f>
        <v>31.982303994102011</v>
      </c>
      <c r="AF17" s="1">
        <f t="shared" si="7"/>
        <v>-2.5600169179330963</v>
      </c>
      <c r="AG17" s="1">
        <f t="shared" si="7"/>
        <v>-27.699430719755359</v>
      </c>
      <c r="AH17" s="1">
        <f t="shared" si="7"/>
        <v>-8.6068730215224871</v>
      </c>
    </row>
    <row r="18" spans="2:34" x14ac:dyDescent="0.3">
      <c r="B18" s="3">
        <v>45238</v>
      </c>
      <c r="C18">
        <v>14.355</v>
      </c>
      <c r="D18">
        <v>14.71</v>
      </c>
      <c r="E18">
        <v>14.32</v>
      </c>
      <c r="F18">
        <v>14.605</v>
      </c>
      <c r="G18">
        <v>14.605</v>
      </c>
      <c r="H18">
        <v>437792</v>
      </c>
      <c r="J18">
        <f t="shared" si="0"/>
        <v>1.4588398749565881E-2</v>
      </c>
      <c r="L18" s="1" t="s">
        <v>33</v>
      </c>
      <c r="M18" s="1">
        <f>5/12</f>
        <v>0.41666666666666669</v>
      </c>
      <c r="N18" s="1">
        <v>12</v>
      </c>
      <c r="O18" s="1">
        <v>0.8</v>
      </c>
      <c r="P18" s="1">
        <v>1.1000000000000001</v>
      </c>
      <c r="Q18" s="1">
        <v>-0.38629999999999998</v>
      </c>
      <c r="R18" s="1">
        <v>0.12759999999999999</v>
      </c>
      <c r="S18" s="1">
        <v>3.0499999999999999E-2</v>
      </c>
      <c r="T18" s="1">
        <v>-3.2000000000000002E-3</v>
      </c>
      <c r="U18" s="1">
        <v>-2.3900000000000001E-2</v>
      </c>
      <c r="W18" s="1" cm="1">
        <f t="array" ref="W18">OptionPrice("P",$P$5,N18,M18,$S$5,$N$5,0)</f>
        <v>0.73831138699236298</v>
      </c>
      <c r="X18" s="1" cm="1">
        <f t="array" ref="X18">OptionDelta("P",$P$5,N18,M18,$S$5,$N$5,0)</f>
        <v>-0.38089699510095487</v>
      </c>
      <c r="Y18" s="1" cm="1">
        <f t="array" ref="Y18">GreekGamma($P$5,N18,M18,$S$5,$N$5,0)</f>
        <v>0.15428926968379383</v>
      </c>
      <c r="Z18" s="1" cm="1">
        <f t="array" ref="Z18">Vega($P$5,N18,M18,$S$5,$N$5,0)</f>
        <v>3.0252197518048612E-2</v>
      </c>
      <c r="AA18" s="1" cm="1">
        <f t="array" ref="AA18">OptionTheta("P",$P$5,N18,M18,$S$5,$N$5,0)</f>
        <v>-2.5226127186318351E-3</v>
      </c>
      <c r="AB18" s="1" cm="1">
        <f t="array" ref="AB18">OptionRho("P",$P$5,N18,M18,$S$5,$N$5,0)</f>
        <v>-2.2597268444725451E-2</v>
      </c>
      <c r="AD18" s="1">
        <f t="shared" ref="AD18:AD19" si="8">100*(X18-Q18)/Q18</f>
        <v>-1.3986551641328258</v>
      </c>
      <c r="AE18" s="1">
        <f t="shared" ref="AE18:AE19" si="9">100*(Y18-R18)/R18</f>
        <v>20.916355551562575</v>
      </c>
      <c r="AF18" s="1">
        <f t="shared" ref="AF18:AF19" si="10">100*(Z18-S18)/S18</f>
        <v>-0.8124671539389734</v>
      </c>
      <c r="AG18" s="1">
        <f t="shared" ref="AG18:AG19" si="11">100*(AA18-T18)/T18</f>
        <v>-21.168352542755159</v>
      </c>
      <c r="AH18" s="1">
        <f t="shared" ref="AH18:AH19" si="12">100*(AB18-U18)/U18</f>
        <v>-5.4507596455002085</v>
      </c>
    </row>
    <row r="19" spans="2:34" x14ac:dyDescent="0.3">
      <c r="B19" s="3">
        <v>45239</v>
      </c>
      <c r="C19">
        <v>14.615</v>
      </c>
      <c r="D19">
        <v>14.85</v>
      </c>
      <c r="E19">
        <v>14.535</v>
      </c>
      <c r="F19">
        <v>14.805</v>
      </c>
      <c r="G19">
        <v>14.805</v>
      </c>
      <c r="H19">
        <v>447538</v>
      </c>
      <c r="J19">
        <f t="shared" si="0"/>
        <v>1.3693940431359075E-2</v>
      </c>
      <c r="L19" s="1" t="s">
        <v>34</v>
      </c>
      <c r="M19" s="1">
        <f>11/12</f>
        <v>0.91666666666666663</v>
      </c>
      <c r="N19" s="1">
        <v>12</v>
      </c>
      <c r="O19" s="1">
        <v>1.2</v>
      </c>
      <c r="P19" s="1">
        <v>1.8</v>
      </c>
      <c r="Q19" s="1">
        <v>-0.36549999999999999</v>
      </c>
      <c r="R19" s="1">
        <v>7.9899999999999999E-2</v>
      </c>
      <c r="S19" s="1">
        <v>4.4200000000000003E-2</v>
      </c>
      <c r="T19" s="1">
        <v>-2E-3</v>
      </c>
      <c r="U19" s="1">
        <v>-5.5E-2</v>
      </c>
      <c r="W19" s="1" cm="1">
        <f t="array" ref="W19">OptionPrice("P",$P$5,N19,M19,$T$5,$N$5,0)</f>
        <v>1.0899137781098007</v>
      </c>
      <c r="X19" s="1" cm="1">
        <f t="array" ref="X19">OptionDelta("P",$P$5,N19,M19,$T$5,$N$5,0)</f>
        <v>-0.36442286604337593</v>
      </c>
      <c r="Y19" s="1" cm="1">
        <f t="array" ref="Y19">GreekGamma($P$5,N19,M19,$T$5,$N$5,0)</f>
        <v>0.10256083218828016</v>
      </c>
      <c r="Z19" s="1" cm="1">
        <f t="array" ref="Z19">Vega($P$5,N19,M19,$T$5,$N$5,0)</f>
        <v>4.4241049494465362E-2</v>
      </c>
      <c r="AA19" s="1" cm="1">
        <f t="array" ref="AA19">OptionTheta("P",$P$5,N19,M19,$T$5,$N$5,0)</f>
        <v>-1.4868297602179835E-3</v>
      </c>
      <c r="AB19" s="1" cm="1">
        <f t="array" ref="AB19">OptionRho("P",$P$5,N19,M19,$T$5,$N$5,0)</f>
        <v>-5.1079554445730473E-2</v>
      </c>
      <c r="AD19" s="1">
        <f t="shared" si="8"/>
        <v>-0.29470149292040099</v>
      </c>
      <c r="AE19" s="1">
        <f t="shared" si="9"/>
        <v>28.361492100475797</v>
      </c>
      <c r="AF19" s="1">
        <f t="shared" si="10"/>
        <v>9.2872159423888864E-2</v>
      </c>
      <c r="AG19" s="1">
        <f t="shared" si="11"/>
        <v>-25.65851198910083</v>
      </c>
      <c r="AH19" s="1">
        <f t="shared" si="12"/>
        <v>-7.1280828259445954</v>
      </c>
    </row>
    <row r="20" spans="2:34" x14ac:dyDescent="0.3">
      <c r="B20" s="3">
        <v>45240</v>
      </c>
      <c r="C20">
        <v>14.7</v>
      </c>
      <c r="D20">
        <v>14.734999999999999</v>
      </c>
      <c r="E20">
        <v>14.53</v>
      </c>
      <c r="F20">
        <v>14.6</v>
      </c>
      <c r="G20">
        <v>14.6</v>
      </c>
      <c r="H20">
        <v>230533</v>
      </c>
      <c r="J20">
        <f t="shared" si="0"/>
        <v>-1.3846673421141511E-2</v>
      </c>
    </row>
    <row r="21" spans="2:34" x14ac:dyDescent="0.3">
      <c r="B21" s="3">
        <v>45243</v>
      </c>
      <c r="C21">
        <v>14.675000000000001</v>
      </c>
      <c r="D21">
        <v>14.725</v>
      </c>
      <c r="E21">
        <v>14.53</v>
      </c>
      <c r="F21">
        <v>14.7</v>
      </c>
      <c r="G21">
        <v>14.7</v>
      </c>
      <c r="H21">
        <v>277990</v>
      </c>
      <c r="J21">
        <f t="shared" si="0"/>
        <v>6.8493150684931269E-3</v>
      </c>
      <c r="P21" s="8" t="s">
        <v>57</v>
      </c>
      <c r="Q21" s="8"/>
      <c r="R21" s="8"/>
      <c r="S21" s="8"/>
      <c r="T21" s="8"/>
      <c r="U21" s="8"/>
    </row>
    <row r="22" spans="2:34" x14ac:dyDescent="0.3">
      <c r="B22" s="3">
        <v>45244</v>
      </c>
      <c r="C22">
        <v>14.675000000000001</v>
      </c>
      <c r="D22">
        <v>14.975</v>
      </c>
      <c r="E22">
        <v>14.67</v>
      </c>
      <c r="F22">
        <v>14.87</v>
      </c>
      <c r="G22">
        <v>14.87</v>
      </c>
      <c r="H22">
        <v>400650</v>
      </c>
      <c r="J22">
        <f t="shared" si="0"/>
        <v>1.1564625850340132E-2</v>
      </c>
    </row>
    <row r="23" spans="2:34" x14ac:dyDescent="0.3">
      <c r="B23" s="3">
        <v>45245</v>
      </c>
      <c r="C23">
        <v>14.865</v>
      </c>
      <c r="D23">
        <v>14.904999999999999</v>
      </c>
      <c r="E23">
        <v>14.74</v>
      </c>
      <c r="F23">
        <v>14.865</v>
      </c>
      <c r="G23">
        <v>14.865</v>
      </c>
      <c r="H23">
        <v>436280</v>
      </c>
      <c r="J23">
        <f t="shared" si="0"/>
        <v>-3.3624747814384702E-4</v>
      </c>
      <c r="R23" s="8" t="s">
        <v>52</v>
      </c>
      <c r="S23" s="8"/>
      <c r="T23" s="8"/>
    </row>
    <row r="24" spans="2:34" x14ac:dyDescent="0.3">
      <c r="B24" s="3">
        <v>45246</v>
      </c>
      <c r="C24">
        <v>14.835000000000001</v>
      </c>
      <c r="D24">
        <v>14.855</v>
      </c>
      <c r="E24">
        <v>14.605</v>
      </c>
      <c r="F24">
        <v>14.64</v>
      </c>
      <c r="G24">
        <v>14.64</v>
      </c>
      <c r="H24">
        <v>397889</v>
      </c>
      <c r="J24">
        <f t="shared" si="0"/>
        <v>-1.5136226034308755E-2</v>
      </c>
      <c r="M24" t="s">
        <v>54</v>
      </c>
      <c r="O24" s="5">
        <v>0.1</v>
      </c>
      <c r="P24" s="4">
        <f>O24+0.1</f>
        <v>0.2</v>
      </c>
      <c r="Q24" s="4">
        <f t="shared" ref="Q24:W24" si="13">P24+0.1</f>
        <v>0.30000000000000004</v>
      </c>
      <c r="R24" s="4">
        <f t="shared" si="13"/>
        <v>0.4</v>
      </c>
      <c r="S24" s="4">
        <f t="shared" si="13"/>
        <v>0.5</v>
      </c>
      <c r="T24" s="4">
        <f t="shared" si="13"/>
        <v>0.6</v>
      </c>
      <c r="U24" s="4">
        <f t="shared" si="13"/>
        <v>0.7</v>
      </c>
      <c r="V24" s="4">
        <f t="shared" si="13"/>
        <v>0.79999999999999993</v>
      </c>
      <c r="W24" s="4">
        <f t="shared" si="13"/>
        <v>0.89999999999999991</v>
      </c>
      <c r="X24" s="4">
        <f>W24+0.1</f>
        <v>0.99999999999999989</v>
      </c>
    </row>
    <row r="25" spans="2:34" x14ac:dyDescent="0.3">
      <c r="B25" s="3">
        <v>45247</v>
      </c>
      <c r="C25">
        <v>14.62</v>
      </c>
      <c r="D25">
        <v>14.88</v>
      </c>
      <c r="E25">
        <v>14.615</v>
      </c>
      <c r="F25">
        <v>14.855</v>
      </c>
      <c r="G25">
        <v>14.855</v>
      </c>
      <c r="H25">
        <v>373324</v>
      </c>
      <c r="J25">
        <f t="shared" si="0"/>
        <v>1.4685792349726766E-2</v>
      </c>
      <c r="N25" s="7">
        <v>10</v>
      </c>
      <c r="O25" s="1" cm="1">
        <f t="array" ref="O25">OptionDelta("C",$P$5,$N25,O$24,$R$5,$N$5,0)</f>
        <v>0.98586215306060754</v>
      </c>
      <c r="P25" s="1" cm="1">
        <f t="array" ref="P25">OptionDelta("C",$P$5,$N25,P$24,$R$5,$N$5,0)</f>
        <v>0.94671321088179061</v>
      </c>
      <c r="Q25" s="1" cm="1">
        <f t="array" ref="Q25">OptionDelta("C",$P$5,$N25,Q$24,$R$5,$N$5,0)</f>
        <v>0.91448792048019767</v>
      </c>
      <c r="R25" s="1" cm="1">
        <f t="array" ref="R25">OptionDelta("C",$P$5,$N25,R$24,$R$5,$N$5,0)</f>
        <v>0.89063642356292061</v>
      </c>
      <c r="S25" s="1" cm="1">
        <f t="array" ref="S25">OptionDelta("C",$P$5,$N25,S$24,$R$5,$N$5,0)</f>
        <v>0.87281230295564904</v>
      </c>
      <c r="T25" s="1" cm="1">
        <f t="array" ref="T25">OptionDelta("C",$P$5,$N25,T$24,$R$5,$N$5,0)</f>
        <v>0.85919955860081432</v>
      </c>
      <c r="U25" s="1" cm="1">
        <f t="array" ref="U25">OptionDelta("C",$P$5,$N25,U$24,$R$5,$N$5,0)</f>
        <v>0.84859391004379048</v>
      </c>
      <c r="V25" s="1" cm="1">
        <f t="array" ref="V25">OptionDelta("C",$P$5,$N25,V$24,$R$5,$N$5,0)</f>
        <v>0.84019667914159479</v>
      </c>
      <c r="W25" s="1" cm="1">
        <f t="array" ref="W25">OptionDelta("C",$P$5,$N25,W$24,$R$5,$N$5,0)</f>
        <v>0.83346439312369491</v>
      </c>
      <c r="X25" s="1" cm="1">
        <f t="array" ref="X25">OptionDelta("C",$P$5,$N25,X$24,$R$5,$N$5,0)</f>
        <v>0.82801633205068592</v>
      </c>
    </row>
    <row r="26" spans="2:34" x14ac:dyDescent="0.3">
      <c r="B26" s="3">
        <v>45250</v>
      </c>
      <c r="C26">
        <v>14.88</v>
      </c>
      <c r="D26">
        <v>14.965</v>
      </c>
      <c r="E26">
        <v>14.88</v>
      </c>
      <c r="F26">
        <v>14.96</v>
      </c>
      <c r="G26">
        <v>14.96</v>
      </c>
      <c r="H26">
        <v>284138</v>
      </c>
      <c r="J26">
        <f t="shared" si="0"/>
        <v>7.0683271625715536E-3</v>
      </c>
      <c r="N26" s="4">
        <f>N25+0.5</f>
        <v>10.5</v>
      </c>
      <c r="O26" s="1" cm="1">
        <f t="array" ref="O26">OptionDelta("C",$P$5,$N26,O$24,$R$5,$N$5,0)</f>
        <v>0.9551901842690389</v>
      </c>
      <c r="P26" s="1" cm="1">
        <f t="array" ref="P26">OptionDelta("C",$P$5,$N26,P$24,$R$5,$N$5,0)</f>
        <v>0.89671248608506748</v>
      </c>
      <c r="Q26" s="1" cm="1">
        <f t="array" ref="Q26">OptionDelta("C",$P$5,$N26,Q$24,$R$5,$N$5,0)</f>
        <v>0.86049277489229237</v>
      </c>
      <c r="R26" s="1" cm="1">
        <f t="array" ref="R26">OptionDelta("C",$P$5,$N26,R$24,$R$5,$N$5,0)</f>
        <v>0.83692631810241402</v>
      </c>
      <c r="S26" s="1" cm="1">
        <f t="array" ref="S26">OptionDelta("C",$P$5,$N26,S$24,$R$5,$N$5,0)</f>
        <v>0.82067845683671137</v>
      </c>
      <c r="T26" s="1" cm="1">
        <f t="array" ref="T26">OptionDelta("C",$P$5,$N26,T$24,$R$5,$N$5,0)</f>
        <v>0.80900231449687898</v>
      </c>
      <c r="U26" s="1" cm="1">
        <f t="array" ref="U26">OptionDelta("C",$P$5,$N26,U$24,$R$5,$N$5,0)</f>
        <v>0.80036868643987868</v>
      </c>
      <c r="V26" s="1" cm="1">
        <f t="array" ref="V26">OptionDelta("C",$P$5,$N26,V$24,$R$5,$N$5,0)</f>
        <v>0.79386133469321185</v>
      </c>
      <c r="W26" s="1" cm="1">
        <f t="array" ref="W26">OptionDelta("C",$P$5,$N26,W$24,$R$5,$N$5,0)</f>
        <v>0.78889762676196107</v>
      </c>
      <c r="X26" s="1" cm="1">
        <f t="array" ref="X26">OptionDelta("C",$P$5,$N26,X$24,$R$5,$N$5,0)</f>
        <v>0.78508897409659584</v>
      </c>
    </row>
    <row r="27" spans="2:34" x14ac:dyDescent="0.3">
      <c r="B27" s="3">
        <v>45251</v>
      </c>
      <c r="C27">
        <v>13.85</v>
      </c>
      <c r="D27">
        <v>13.92</v>
      </c>
      <c r="E27">
        <v>13.1</v>
      </c>
      <c r="F27">
        <v>13.1</v>
      </c>
      <c r="G27">
        <v>13.1</v>
      </c>
      <c r="H27">
        <v>2848341</v>
      </c>
      <c r="J27">
        <f t="shared" si="0"/>
        <v>-0.12433155080213912</v>
      </c>
      <c r="N27" s="4">
        <f t="shared" ref="N27:N32" si="14">N26+0.5</f>
        <v>11</v>
      </c>
      <c r="O27" s="1" cm="1">
        <f t="array" ref="O27">OptionDelta("C",$P$5,$N27,O$24,$R$5,$N$5,0)</f>
        <v>0.88960967674995739</v>
      </c>
      <c r="P27" s="1" cm="1">
        <f t="array" ref="P27">OptionDelta("C",$P$5,$N27,P$24,$R$5,$N$5,0)</f>
        <v>0.82345473888134391</v>
      </c>
      <c r="Q27" s="1" cm="1">
        <f t="array" ref="Q27">OptionDelta("C",$P$5,$N27,Q$24,$R$5,$N$5,0)</f>
        <v>0.79087948038695932</v>
      </c>
      <c r="R27" s="1" cm="1">
        <f t="array" ref="R27">OptionDelta("C",$P$5,$N27,R$24,$R$5,$N$5,0)</f>
        <v>0.77199326204845653</v>
      </c>
      <c r="S27" s="1" cm="1">
        <f t="array" ref="S27">OptionDelta("C",$P$5,$N27,S$24,$R$5,$N$5,0)</f>
        <v>0.7600436245854475</v>
      </c>
      <c r="T27" s="1" cm="1">
        <f t="array" ref="T27">OptionDelta("C",$P$5,$N27,T$24,$R$5,$N$5,0)</f>
        <v>0.75210967513665383</v>
      </c>
      <c r="U27" s="1" cm="1">
        <f t="array" ref="U27">OptionDelta("C",$P$5,$N27,U$24,$R$5,$N$5,0)</f>
        <v>0.74671231434358165</v>
      </c>
      <c r="V27" s="1" cm="1">
        <f t="array" ref="V27">OptionDelta("C",$P$5,$N27,V$24,$R$5,$N$5,0)</f>
        <v>0.74301825212572703</v>
      </c>
      <c r="W27" s="1" cm="1">
        <f t="array" ref="W27">OptionDelta("C",$P$5,$N27,W$24,$R$5,$N$5,0)</f>
        <v>0.74052060844693823</v>
      </c>
      <c r="X27" s="1" cm="1">
        <f t="array" ref="X27">OptionDelta("C",$P$5,$N27,X$24,$R$5,$N$5,0)</f>
        <v>0.73889271660071809</v>
      </c>
    </row>
    <row r="28" spans="2:34" x14ac:dyDescent="0.3">
      <c r="B28" s="3">
        <v>45252</v>
      </c>
      <c r="C28">
        <v>13.015000000000001</v>
      </c>
      <c r="D28">
        <v>13.59</v>
      </c>
      <c r="E28">
        <v>12.72</v>
      </c>
      <c r="F28">
        <v>13.46</v>
      </c>
      <c r="G28">
        <v>13.46</v>
      </c>
      <c r="H28">
        <v>1365856</v>
      </c>
      <c r="J28">
        <f t="shared" si="0"/>
        <v>2.7480916030534444E-2</v>
      </c>
      <c r="M28" t="s">
        <v>53</v>
      </c>
      <c r="N28" s="4">
        <f t="shared" si="14"/>
        <v>11.5</v>
      </c>
      <c r="O28" s="1" cm="1">
        <f t="array" ref="O28">OptionDelta("C",$P$5,$N28,O$24,$R$5,$N$5,0)</f>
        <v>0.78009957368995475</v>
      </c>
      <c r="P28" s="1" cm="1">
        <f t="array" ref="P28">OptionDelta("C",$P$5,$N28,P$24,$R$5,$N$5,0)</f>
        <v>0.72875496618345814</v>
      </c>
      <c r="Q28" s="1" cm="1">
        <f t="array" ref="Q28">OptionDelta("C",$P$5,$N28,Q$24,$R$5,$N$5,0)</f>
        <v>0.70834537689899357</v>
      </c>
      <c r="R28" s="1" cm="1">
        <f t="array" ref="R28">OptionDelta("C",$P$5,$N28,R$24,$R$5,$N$5,0)</f>
        <v>0.69828158373860894</v>
      </c>
      <c r="S28" s="1" cm="1">
        <f t="array" ref="S28">OptionDelta("C",$P$5,$N28,S$24,$R$5,$N$5,0)</f>
        <v>0.6929872563940892</v>
      </c>
      <c r="T28" s="1" cm="1">
        <f t="array" ref="T28">OptionDelta("C",$P$5,$N28,T$24,$R$5,$N$5,0)</f>
        <v>0.69028057294005651</v>
      </c>
      <c r="U28" s="1" cm="1">
        <f t="array" ref="U28">OptionDelta("C",$P$5,$N28,U$24,$R$5,$N$5,0)</f>
        <v>0.68912365092766537</v>
      </c>
      <c r="V28" s="1" cm="1">
        <f t="array" ref="V28">OptionDelta("C",$P$5,$N28,V$24,$R$5,$N$5,0)</f>
        <v>0.68895796899265904</v>
      </c>
      <c r="W28" s="1" cm="1">
        <f t="array" ref="W28">OptionDelta("C",$P$5,$N28,W$24,$R$5,$N$5,0)</f>
        <v>0.68945616968041323</v>
      </c>
      <c r="X28" s="1" cm="1">
        <f t="array" ref="X28">OptionDelta("C",$P$5,$N28,X$24,$R$5,$N$5,0)</f>
        <v>0.69041396639975661</v>
      </c>
    </row>
    <row r="29" spans="2:34" x14ac:dyDescent="0.3">
      <c r="B29" s="3">
        <v>45253</v>
      </c>
      <c r="C29">
        <v>13.4</v>
      </c>
      <c r="D29">
        <v>13.52</v>
      </c>
      <c r="E29">
        <v>13.34</v>
      </c>
      <c r="F29">
        <v>13.375</v>
      </c>
      <c r="G29">
        <v>13.375</v>
      </c>
      <c r="H29">
        <v>573272</v>
      </c>
      <c r="J29">
        <f t="shared" si="0"/>
        <v>-6.3150074294205678E-3</v>
      </c>
      <c r="N29" s="4">
        <f t="shared" si="14"/>
        <v>12</v>
      </c>
      <c r="O29" s="1" cm="1">
        <f t="array" ref="O29">OptionDelta("C",$P$5,$N29,O$24,$R$5,$N$5,0)</f>
        <v>0.63301184252107401</v>
      </c>
      <c r="P29" s="1" cm="1">
        <f t="array" ref="P29">OptionDelta("C",$P$5,$N29,P$24,$R$5,$N$5,0)</f>
        <v>0.61909119400511647</v>
      </c>
      <c r="Q29" s="1" cm="1">
        <f t="array" ref="Q29">OptionDelta("C",$P$5,$N29,Q$24,$R$5,$N$5,0)</f>
        <v>0.61743249511771792</v>
      </c>
      <c r="R29" s="1" cm="1">
        <f t="array" ref="R29">OptionDelta("C",$P$5,$N29,R$24,$R$5,$N$5,0)</f>
        <v>0.61910088444571365</v>
      </c>
      <c r="S29" s="1" cm="1">
        <f t="array" ref="S29">OptionDelta("C",$P$5,$N29,S$24,$R$5,$N$5,0)</f>
        <v>0.6220356323374977</v>
      </c>
      <c r="T29" s="1" cm="1">
        <f t="array" ref="T29">OptionDelta("C",$P$5,$N29,T$24,$R$5,$N$5,0)</f>
        <v>0.62551636869571536</v>
      </c>
      <c r="U29" s="1" cm="1">
        <f t="array" ref="U29">OptionDelta("C",$P$5,$N29,U$24,$R$5,$N$5,0)</f>
        <v>0.6292346284925272</v>
      </c>
      <c r="V29" s="1" cm="1">
        <f t="array" ref="V29">OptionDelta("C",$P$5,$N29,V$24,$R$5,$N$5,0)</f>
        <v>0.63304173400605579</v>
      </c>
      <c r="W29" s="1" cm="1">
        <f t="array" ref="W29">OptionDelta("C",$P$5,$N29,W$24,$R$5,$N$5,0)</f>
        <v>0.63686063313853769</v>
      </c>
      <c r="X29" s="1" cm="1">
        <f t="array" ref="X29">OptionDelta("C",$P$5,$N29,X$24,$R$5,$N$5,0)</f>
        <v>0.64064969192541654</v>
      </c>
    </row>
    <row r="30" spans="2:34" x14ac:dyDescent="0.3">
      <c r="B30" s="3">
        <v>45254</v>
      </c>
      <c r="C30">
        <v>13.375</v>
      </c>
      <c r="D30">
        <v>13.43</v>
      </c>
      <c r="E30">
        <v>13.25</v>
      </c>
      <c r="F30">
        <v>13.395</v>
      </c>
      <c r="G30">
        <v>13.395</v>
      </c>
      <c r="H30">
        <v>557863</v>
      </c>
      <c r="J30">
        <f t="shared" si="0"/>
        <v>1.4953271028037064E-3</v>
      </c>
      <c r="N30" s="4">
        <f t="shared" si="14"/>
        <v>12.5</v>
      </c>
      <c r="O30" s="1" cm="1">
        <f t="array" ref="O30">OptionDelta("C",$P$5,$N30,O$24,$R$5,$N$5,0)</f>
        <v>0.47003499299744644</v>
      </c>
      <c r="P30" s="1" cm="1">
        <f t="array" ref="P30">OptionDelta("C",$P$5,$N30,P$24,$R$5,$N$5,0)</f>
        <v>0.5038414924203255</v>
      </c>
      <c r="Q30" s="1" cm="1">
        <f t="array" ref="Q30">OptionDelta("C",$P$5,$N30,Q$24,$R$5,$N$5,0)</f>
        <v>0.52357609235312919</v>
      </c>
      <c r="R30" s="1" cm="1">
        <f t="array" ref="R30">OptionDelta("C",$P$5,$N30,R$24,$R$5,$N$5,0)</f>
        <v>0.53808436958984784</v>
      </c>
      <c r="S30" s="1" cm="1">
        <f t="array" ref="S30">OptionDelta("C",$P$5,$N30,S$24,$R$5,$N$5,0)</f>
        <v>0.54982832632845957</v>
      </c>
      <c r="T30" s="1" cm="1">
        <f t="array" ref="T30">OptionDelta("C",$P$5,$N30,T$24,$R$5,$N$5,0)</f>
        <v>0.55984215891160249</v>
      </c>
      <c r="U30" s="1" cm="1">
        <f t="array" ref="U30">OptionDelta("C",$P$5,$N30,U$24,$R$5,$N$5,0)</f>
        <v>0.56865975799789226</v>
      </c>
      <c r="V30" s="1" cm="1">
        <f t="array" ref="V30">OptionDelta("C",$P$5,$N30,V$24,$R$5,$N$5,0)</f>
        <v>0.57659397138514568</v>
      </c>
      <c r="W30" s="1" cm="1">
        <f t="array" ref="W30">OptionDelta("C",$P$5,$N30,W$24,$R$5,$N$5,0)</f>
        <v>0.58384465244406458</v>
      </c>
      <c r="X30" s="1" cm="1">
        <f t="array" ref="X30">OptionDelta("C",$P$5,$N30,X$24,$R$5,$N$5,0)</f>
        <v>0.59054773821001905</v>
      </c>
    </row>
    <row r="31" spans="2:34" x14ac:dyDescent="0.3">
      <c r="B31" s="3">
        <v>45257</v>
      </c>
      <c r="C31">
        <v>13.39</v>
      </c>
      <c r="D31">
        <v>13.53</v>
      </c>
      <c r="E31">
        <v>13.375</v>
      </c>
      <c r="F31">
        <v>13.47</v>
      </c>
      <c r="G31">
        <v>13.47</v>
      </c>
      <c r="H31">
        <v>537363</v>
      </c>
      <c r="J31">
        <f t="shared" si="0"/>
        <v>5.5991041433371457E-3</v>
      </c>
      <c r="N31" s="4">
        <f t="shared" si="14"/>
        <v>13</v>
      </c>
      <c r="O31" s="1" cm="1">
        <f t="array" ref="O31">OptionDelta("C",$P$5,$N31,O$24,$R$5,$N$5,0)</f>
        <v>0.31777666874533117</v>
      </c>
      <c r="P31" s="1" cm="1">
        <f t="array" ref="P31">OptionDelta("C",$P$5,$N31,P$24,$R$5,$N$5,0)</f>
        <v>0.39268619780868769</v>
      </c>
      <c r="Q31" s="1" cm="1">
        <f t="array" ref="Q31">OptionDelta("C",$P$5,$N31,Q$24,$R$5,$N$5,0)</f>
        <v>0.43207903911727075</v>
      </c>
      <c r="R31" s="1" cm="1">
        <f t="array" ref="R31">OptionDelta("C",$P$5,$N31,R$24,$R$5,$N$5,0)</f>
        <v>0.45867880648832138</v>
      </c>
      <c r="S31" s="1" cm="1">
        <f t="array" ref="S31">OptionDelta("C",$P$5,$N31,S$24,$R$5,$N$5,0)</f>
        <v>0.47882781133576746</v>
      </c>
      <c r="T31" s="1" cm="1">
        <f t="array" ref="T31">OptionDelta("C",$P$5,$N31,T$24,$R$5,$N$5,0)</f>
        <v>0.49512617329077174</v>
      </c>
      <c r="U31" s="1" cm="1">
        <f t="array" ref="U31">OptionDelta("C",$P$5,$N31,U$24,$R$5,$N$5,0)</f>
        <v>0.5088766427518534</v>
      </c>
      <c r="V31" s="1" cm="1">
        <f t="array" ref="V31">OptionDelta("C",$P$5,$N31,V$24,$R$5,$N$5,0)</f>
        <v>0.52081955196477825</v>
      </c>
      <c r="W31" s="1" cm="1">
        <f t="array" ref="W31">OptionDelta("C",$P$5,$N31,W$24,$R$5,$N$5,0)</f>
        <v>0.53141391697368401</v>
      </c>
      <c r="X31" s="1" cm="1">
        <f t="array" ref="X31">OptionDelta("C",$P$5,$N31,X$24,$R$5,$N$5,0)</f>
        <v>0.54096316546865186</v>
      </c>
    </row>
    <row r="32" spans="2:34" x14ac:dyDescent="0.3">
      <c r="B32" s="3">
        <v>45258</v>
      </c>
      <c r="C32">
        <v>13.45</v>
      </c>
      <c r="D32">
        <v>13.5</v>
      </c>
      <c r="E32">
        <v>13.28</v>
      </c>
      <c r="F32">
        <v>13.3</v>
      </c>
      <c r="G32">
        <v>13.3</v>
      </c>
      <c r="H32">
        <v>627511</v>
      </c>
      <c r="J32">
        <f t="shared" si="0"/>
        <v>-1.2620638455827759E-2</v>
      </c>
      <c r="N32" s="4">
        <f t="shared" si="14"/>
        <v>13.5</v>
      </c>
      <c r="O32" s="1" cm="1">
        <f t="array" ref="O32">OptionDelta("C",$P$5,$N32,O$24,$R$5,$N$5,0)</f>
        <v>0.19555180013963838</v>
      </c>
      <c r="P32" s="1" cm="1">
        <f t="array" ref="P32">OptionDelta("C",$P$5,$N32,P$24,$R$5,$N$5,0)</f>
        <v>0.2933458821635625</v>
      </c>
      <c r="Q32" s="1" cm="1">
        <f t="array" ref="Q32">OptionDelta("C",$P$5,$N32,Q$24,$R$5,$N$5,0)</f>
        <v>0.34730430143785795</v>
      </c>
      <c r="R32" s="1" cm="1">
        <f t="array" ref="R32">OptionDelta("C",$P$5,$N32,R$24,$R$5,$N$5,0)</f>
        <v>0.38376431944029066</v>
      </c>
      <c r="S32" s="1" cm="1">
        <f t="array" ref="S32">OptionDelta("C",$P$5,$N32,S$24,$R$5,$N$5,0)</f>
        <v>0.41111088340758428</v>
      </c>
      <c r="T32" s="1" cm="1">
        <f t="array" ref="T32">OptionDelta("C",$P$5,$N32,T$24,$R$5,$N$5,0)</f>
        <v>0.43295376189190848</v>
      </c>
      <c r="U32" s="1" cm="1">
        <f t="array" ref="U32">OptionDelta("C",$P$5,$N32,U$24,$R$5,$N$5,0)</f>
        <v>0.45114465536281406</v>
      </c>
      <c r="V32" s="1" cm="1">
        <f t="array" ref="V32">OptionDelta("C",$P$5,$N32,V$24,$R$5,$N$5,0)</f>
        <v>0.46674875931494347</v>
      </c>
      <c r="W32" s="1" cm="1">
        <f t="array" ref="W32">OptionDelta("C",$P$5,$N32,W$24,$R$5,$N$5,0)</f>
        <v>0.48043056934941591</v>
      </c>
      <c r="X32" s="1" cm="1">
        <f t="array" ref="X32">OptionDelta("C",$P$5,$N32,X$24,$R$5,$N$5,0)</f>
        <v>0.49263046447905751</v>
      </c>
    </row>
    <row r="33" spans="2:24" x14ac:dyDescent="0.3">
      <c r="B33" s="3">
        <v>45259</v>
      </c>
      <c r="C33">
        <v>13.345000000000001</v>
      </c>
      <c r="D33">
        <v>13.435</v>
      </c>
      <c r="E33">
        <v>13.295</v>
      </c>
      <c r="F33">
        <v>13.37</v>
      </c>
      <c r="G33">
        <v>13.37</v>
      </c>
      <c r="H33">
        <v>512010</v>
      </c>
      <c r="J33">
        <f t="shared" si="0"/>
        <v>5.2631578947367292E-3</v>
      </c>
    </row>
    <row r="34" spans="2:24" x14ac:dyDescent="0.3">
      <c r="B34" s="3">
        <v>45260</v>
      </c>
      <c r="C34">
        <v>13.39</v>
      </c>
      <c r="D34">
        <v>13.42</v>
      </c>
      <c r="E34">
        <v>13.255000000000001</v>
      </c>
      <c r="F34">
        <v>13.285</v>
      </c>
      <c r="G34">
        <v>13.285</v>
      </c>
      <c r="H34">
        <v>790325</v>
      </c>
      <c r="J34">
        <f t="shared" si="0"/>
        <v>-6.3575168287209483E-3</v>
      </c>
    </row>
    <row r="35" spans="2:24" x14ac:dyDescent="0.3">
      <c r="B35" s="3">
        <v>45261</v>
      </c>
      <c r="C35">
        <v>13.35</v>
      </c>
      <c r="D35">
        <v>13.35</v>
      </c>
      <c r="E35">
        <v>13.095000000000001</v>
      </c>
      <c r="F35">
        <v>13.3</v>
      </c>
      <c r="G35">
        <v>13.3</v>
      </c>
      <c r="H35">
        <v>438734</v>
      </c>
      <c r="J35">
        <f t="shared" si="0"/>
        <v>1.1290929619872463E-3</v>
      </c>
      <c r="R35" s="8" t="s">
        <v>52</v>
      </c>
      <c r="S35" s="8"/>
      <c r="T35" s="8"/>
    </row>
    <row r="36" spans="2:24" x14ac:dyDescent="0.3">
      <c r="B36" s="3">
        <v>45264</v>
      </c>
      <c r="C36">
        <v>13.3</v>
      </c>
      <c r="D36">
        <v>13.365</v>
      </c>
      <c r="E36">
        <v>13.055</v>
      </c>
      <c r="F36">
        <v>13.07</v>
      </c>
      <c r="G36">
        <v>13.07</v>
      </c>
      <c r="H36">
        <v>571731</v>
      </c>
      <c r="J36">
        <f t="shared" si="0"/>
        <v>-1.7293233082706798E-2</v>
      </c>
      <c r="M36" t="s">
        <v>13</v>
      </c>
      <c r="O36" s="5">
        <v>0.1</v>
      </c>
      <c r="P36" s="4">
        <f>O36+0.1</f>
        <v>0.2</v>
      </c>
      <c r="Q36" s="4">
        <f t="shared" ref="Q36:W36" si="15">P36+0.1</f>
        <v>0.30000000000000004</v>
      </c>
      <c r="R36" s="4">
        <f t="shared" si="15"/>
        <v>0.4</v>
      </c>
      <c r="S36" s="4">
        <f t="shared" si="15"/>
        <v>0.5</v>
      </c>
      <c r="T36" s="4">
        <f t="shared" si="15"/>
        <v>0.6</v>
      </c>
      <c r="U36" s="4">
        <f t="shared" si="15"/>
        <v>0.7</v>
      </c>
      <c r="V36" s="4">
        <f t="shared" si="15"/>
        <v>0.79999999999999993</v>
      </c>
      <c r="W36" s="4">
        <f t="shared" si="15"/>
        <v>0.89999999999999991</v>
      </c>
      <c r="X36" s="4">
        <f>W36+0.1</f>
        <v>0.99999999999999989</v>
      </c>
    </row>
    <row r="37" spans="2:24" x14ac:dyDescent="0.3">
      <c r="B37" s="3">
        <v>45265</v>
      </c>
      <c r="C37">
        <v>13.05</v>
      </c>
      <c r="D37">
        <v>13.18</v>
      </c>
      <c r="E37">
        <v>12.97</v>
      </c>
      <c r="F37">
        <v>13.15</v>
      </c>
      <c r="G37">
        <v>13.15</v>
      </c>
      <c r="H37">
        <v>590888</v>
      </c>
      <c r="J37">
        <f t="shared" si="0"/>
        <v>6.1208875286916653E-3</v>
      </c>
      <c r="N37" s="7">
        <v>10</v>
      </c>
      <c r="O37" s="1" cm="1">
        <f t="array" ref="O37">GreekGamma(12.3,$N37,O$36,$R$5,$N$5,0)</f>
        <v>2.974736414542211E-2</v>
      </c>
      <c r="P37" s="1" cm="1">
        <f t="array" ref="P37">GreekGamma(12.3,$N37,P$36,$R$5,$N$5,0)</f>
        <v>6.3408743623491623E-2</v>
      </c>
      <c r="Q37" s="1" cm="1">
        <f t="array" ref="Q37">GreekGamma(12.3,$N37,Q$36,$R$5,$N$5,0)</f>
        <v>7.4593423601046691E-2</v>
      </c>
      <c r="R37" s="1" cm="1">
        <f t="array" ref="R37">GreekGamma(12.3,$N37,R$36,$R$5,$N$5,0)</f>
        <v>7.7387984337660587E-2</v>
      </c>
      <c r="S37" s="1" cm="1">
        <f t="array" ref="S37">GreekGamma(12.3,$N37,S$36,$R$5,$N$5,0)</f>
        <v>7.7019204414910489E-2</v>
      </c>
      <c r="T37" s="1" cm="1">
        <f t="array" ref="T37">GreekGamma(12.3,$N37,T$36,$R$5,$N$5,0)</f>
        <v>7.5397678309973057E-2</v>
      </c>
      <c r="U37" s="1" cm="1">
        <f t="array" ref="U37">GreekGamma(12.3,$N37,U$36,$R$5,$N$5,0)</f>
        <v>7.3294875868066267E-2</v>
      </c>
      <c r="V37" s="1" cm="1">
        <f t="array" ref="V37">GreekGamma(12.3,$N37,V$36,$R$5,$N$5,0)</f>
        <v>7.1046279961507544E-2</v>
      </c>
      <c r="W37" s="1" cm="1">
        <f t="array" ref="W37">GreekGamma(12.3,$N37,W$36,$R$5,$N$5,0)</f>
        <v>6.8803716201158202E-2</v>
      </c>
      <c r="X37" s="1" cm="1">
        <f t="array" ref="X37">GreekGamma(12.3,$N37,X$36,$R$5,$N$5,0)</f>
        <v>6.6635880820084037E-2</v>
      </c>
    </row>
    <row r="38" spans="2:24" x14ac:dyDescent="0.3">
      <c r="B38" s="3">
        <v>45266</v>
      </c>
      <c r="C38">
        <v>13.18</v>
      </c>
      <c r="D38">
        <v>13.18</v>
      </c>
      <c r="E38">
        <v>12.94</v>
      </c>
      <c r="F38">
        <v>12.99</v>
      </c>
      <c r="G38">
        <v>12.99</v>
      </c>
      <c r="H38">
        <v>703802</v>
      </c>
      <c r="J38">
        <f t="shared" si="0"/>
        <v>-1.2167300380228147E-2</v>
      </c>
      <c r="N38" s="4">
        <f>N37+0.5</f>
        <v>10.5</v>
      </c>
      <c r="O38" s="1" cm="1">
        <f t="array" ref="O38">GreekGamma(12.3,$N38,O$36,$R$5,$N$5,0)</f>
        <v>7.8079987478039237E-2</v>
      </c>
      <c r="P38" s="1" cm="1">
        <f t="array" ref="P38">GreekGamma(12.3,$N38,P$36,$R$5,$N$5,0)</f>
        <v>0.10501699474404042</v>
      </c>
      <c r="Q38" s="1" cm="1">
        <f t="array" ref="Q38">GreekGamma(12.3,$N38,Q$36,$R$5,$N$5,0)</f>
        <v>0.10596213715178474</v>
      </c>
      <c r="R38" s="1" cm="1">
        <f t="array" ref="R38">GreekGamma(12.3,$N38,R$36,$R$5,$N$5,0)</f>
        <v>0.10181073416310636</v>
      </c>
      <c r="S38" s="1" cm="1">
        <f t="array" ref="S38">GreekGamma(12.3,$N38,S$36,$R$5,$N$5,0)</f>
        <v>9.6765597260705521E-2</v>
      </c>
      <c r="T38" s="1" cm="1">
        <f t="array" ref="T38">GreekGamma(12.3,$N38,T$36,$R$5,$N$5,0)</f>
        <v>9.1864533197666437E-2</v>
      </c>
      <c r="U38" s="1" cm="1">
        <f t="array" ref="U38">GreekGamma(12.3,$N38,U$36,$R$5,$N$5,0)</f>
        <v>8.7365630925675605E-2</v>
      </c>
      <c r="V38" s="1" cm="1">
        <f t="array" ref="V38">GreekGamma(12.3,$N38,V$36,$R$5,$N$5,0)</f>
        <v>8.3304061326334486E-2</v>
      </c>
      <c r="W38" s="1" cm="1">
        <f t="array" ref="W38">GreekGamma(12.3,$N38,W$36,$R$5,$N$5,0)</f>
        <v>7.9649252735858697E-2</v>
      </c>
      <c r="X38" s="1" cm="1">
        <f t="array" ref="X38">GreekGamma(12.3,$N38,X$36,$R$5,$N$5,0)</f>
        <v>7.635437641770218E-2</v>
      </c>
    </row>
    <row r="39" spans="2:24" x14ac:dyDescent="0.3">
      <c r="B39" s="3">
        <v>45267</v>
      </c>
      <c r="C39">
        <v>12.94</v>
      </c>
      <c r="D39">
        <v>13.48</v>
      </c>
      <c r="E39">
        <v>12.78</v>
      </c>
      <c r="F39">
        <v>13.105</v>
      </c>
      <c r="G39">
        <v>13.105</v>
      </c>
      <c r="H39">
        <v>1038866</v>
      </c>
      <c r="J39">
        <f t="shared" si="0"/>
        <v>8.8529638183218028E-3</v>
      </c>
      <c r="N39" s="4">
        <f t="shared" ref="N39:N44" si="16">N38+0.5</f>
        <v>11</v>
      </c>
      <c r="O39" s="1" cm="1">
        <f t="array" ref="O39">GreekGamma(12.3,$N39,O$36,$R$5,$N$5,0)</f>
        <v>0.15581743641691936</v>
      </c>
      <c r="P39" s="1" cm="1">
        <f t="array" ref="P39">GreekGamma(12.3,$N39,P$36,$R$5,$N$5,0)</f>
        <v>0.15150170540684266</v>
      </c>
      <c r="Q39" s="1" cm="1">
        <f t="array" ref="Q39">GreekGamma(12.3,$N39,Q$36,$R$5,$N$5,0)</f>
        <v>0.13719423103894487</v>
      </c>
      <c r="R39" s="1" cm="1">
        <f t="array" ref="R39">GreekGamma(12.3,$N39,R$36,$R$5,$N$5,0)</f>
        <v>0.12487983396951963</v>
      </c>
      <c r="S39" s="1" cm="1">
        <f t="array" ref="S39">GreekGamma(12.3,$N39,S$36,$R$5,$N$5,0)</f>
        <v>0.11490207895647231</v>
      </c>
      <c r="T39" s="1" cm="1">
        <f t="array" ref="T39">GreekGamma(12.3,$N39,T$36,$R$5,$N$5,0)</f>
        <v>0.10674811593842902</v>
      </c>
      <c r="U39" s="1" cm="1">
        <f t="array" ref="U39">GreekGamma(12.3,$N39,U$36,$R$5,$N$5,0)</f>
        <v>9.9963755691592798E-2</v>
      </c>
      <c r="V39" s="1" cm="1">
        <f t="array" ref="V39">GreekGamma(12.3,$N39,V$36,$R$5,$N$5,0)</f>
        <v>9.4218312712934557E-2</v>
      </c>
      <c r="W39" s="1" cm="1">
        <f t="array" ref="W39">GreekGamma(12.3,$N39,W$36,$R$5,$N$5,0)</f>
        <v>8.9276355621048409E-2</v>
      </c>
      <c r="X39" s="1" cm="1">
        <f t="array" ref="X39">GreekGamma(12.3,$N39,X$36,$R$5,$N$5,0)</f>
        <v>8.4968345708673718E-2</v>
      </c>
    </row>
    <row r="40" spans="2:24" x14ac:dyDescent="0.3">
      <c r="B40" s="3">
        <v>45268</v>
      </c>
      <c r="C40">
        <v>13.11</v>
      </c>
      <c r="D40">
        <v>13.755000000000001</v>
      </c>
      <c r="E40">
        <v>13.11</v>
      </c>
      <c r="F40">
        <v>13.52</v>
      </c>
      <c r="G40">
        <v>13.52</v>
      </c>
      <c r="H40">
        <v>929837</v>
      </c>
      <c r="J40">
        <f t="shared" si="0"/>
        <v>3.1667302556276165E-2</v>
      </c>
      <c r="M40" t="s">
        <v>53</v>
      </c>
      <c r="N40" s="4">
        <f t="shared" si="16"/>
        <v>11.5</v>
      </c>
      <c r="O40" s="1" cm="1">
        <f t="array" ref="O40">GreekGamma(12.3,$N40,O$36,$R$5,$N$5,0)</f>
        <v>0.24467457618129076</v>
      </c>
      <c r="P40" s="1" cm="1">
        <f t="array" ref="P40">GreekGamma(12.3,$N40,P$36,$R$5,$N$5,0)</f>
        <v>0.19369492067484342</v>
      </c>
      <c r="Q40" s="1" cm="1">
        <f t="array" ref="Q40">GreekGamma(12.3,$N40,Q$36,$R$5,$N$5,0)</f>
        <v>0.16378691420522354</v>
      </c>
      <c r="R40" s="1" cm="1">
        <f t="array" ref="R40">GreekGamma(12.3,$N40,R$36,$R$5,$N$5,0)</f>
        <v>0.14406450245450847</v>
      </c>
      <c r="S40" s="1" cm="1">
        <f t="array" ref="S40">GreekGamma(12.3,$N40,S$36,$R$5,$N$5,0)</f>
        <v>0.12985699528879266</v>
      </c>
      <c r="T40" s="1" cm="1">
        <f t="array" ref="T40">GreekGamma(12.3,$N40,T$36,$R$5,$N$5,0)</f>
        <v>0.1189997940572898</v>
      </c>
      <c r="U40" s="1" cm="1">
        <f t="array" ref="U40">GreekGamma(12.3,$N40,U$36,$R$5,$N$5,0)</f>
        <v>0.11035131281676279</v>
      </c>
      <c r="V40" s="1" cm="1">
        <f t="array" ref="V40">GreekGamma(12.3,$N40,V$36,$R$5,$N$5,0)</f>
        <v>0.10324807749439803</v>
      </c>
      <c r="W40" s="1" cm="1">
        <f t="array" ref="W40">GreekGamma(12.3,$N40,W$36,$R$5,$N$5,0)</f>
        <v>9.7275467062901869E-2</v>
      </c>
      <c r="X40" s="1" cm="1">
        <f t="array" ref="X40">GreekGamma(12.3,$N40,X$36,$R$5,$N$5,0)</f>
        <v>9.2159521267924802E-2</v>
      </c>
    </row>
    <row r="41" spans="2:24" x14ac:dyDescent="0.3">
      <c r="B41" s="3">
        <v>45271</v>
      </c>
      <c r="C41">
        <v>13.484999999999999</v>
      </c>
      <c r="D41">
        <v>13.734999999999999</v>
      </c>
      <c r="E41">
        <v>13.484999999999999</v>
      </c>
      <c r="F41">
        <v>13.535</v>
      </c>
      <c r="G41">
        <v>13.535</v>
      </c>
      <c r="H41">
        <v>686081</v>
      </c>
      <c r="J41">
        <f t="shared" si="0"/>
        <v>1.1094674556213439E-3</v>
      </c>
      <c r="N41" s="4">
        <f t="shared" si="16"/>
        <v>12</v>
      </c>
      <c r="O41" s="1" cm="1">
        <f t="array" ref="O41">GreekGamma(12.3,$N41,O$36,$R$5,$N$5,0)</f>
        <v>0.31124615271484468</v>
      </c>
      <c r="P41" s="1" cm="1">
        <f t="array" ref="P41">GreekGamma(12.3,$N41,P$36,$R$5,$N$5,0)</f>
        <v>0.22269947084531053</v>
      </c>
      <c r="Q41" s="1" cm="1">
        <f t="array" ref="Q41">GreekGamma(12.3,$N41,Q$36,$R$5,$N$5,0)</f>
        <v>0.18207154976997689</v>
      </c>
      <c r="R41" s="1" cm="1">
        <f t="array" ref="R41">GreekGamma(12.3,$N41,R$36,$R$5,$N$5,0)</f>
        <v>0.15747109210138283</v>
      </c>
      <c r="S41" s="1" cm="1">
        <f t="array" ref="S41">GreekGamma(12.3,$N41,S$36,$R$5,$N$5,0)</f>
        <v>0.14051341407164408</v>
      </c>
      <c r="T41" s="1" cm="1">
        <f t="array" ref="T41">GreekGamma(12.3,$N41,T$36,$R$5,$N$5,0)</f>
        <v>0.12790014392352628</v>
      </c>
      <c r="U41" s="1" cm="1">
        <f t="array" ref="U41">GreekGamma(12.3,$N41,U$36,$R$5,$N$5,0)</f>
        <v>0.11803510086310798</v>
      </c>
      <c r="V41" s="1" cm="1">
        <f t="array" ref="V41">GreekGamma(12.3,$N41,V$36,$R$5,$N$5,0)</f>
        <v>0.11003916366036295</v>
      </c>
      <c r="W41" s="1" cm="1">
        <f t="array" ref="W41">GreekGamma(12.3,$N41,W$36,$R$5,$N$5,0)</f>
        <v>0.10338291970240138</v>
      </c>
      <c r="X41" s="1" cm="1">
        <f t="array" ref="X41">GreekGamma(12.3,$N41,X$36,$R$5,$N$5,0)</f>
        <v>9.7725928994999073E-2</v>
      </c>
    </row>
    <row r="42" spans="2:24" x14ac:dyDescent="0.3">
      <c r="B42" s="3">
        <v>45272</v>
      </c>
      <c r="C42">
        <v>13.505000000000001</v>
      </c>
      <c r="D42">
        <v>13.55</v>
      </c>
      <c r="E42">
        <v>13.345000000000001</v>
      </c>
      <c r="F42">
        <v>13.445</v>
      </c>
      <c r="G42">
        <v>13.445</v>
      </c>
      <c r="H42">
        <v>785976</v>
      </c>
      <c r="J42">
        <f t="shared" si="0"/>
        <v>-6.649427410417426E-3</v>
      </c>
      <c r="N42" s="4">
        <f t="shared" si="16"/>
        <v>12.5</v>
      </c>
      <c r="O42" s="1" cm="1">
        <f t="array" ref="O42">GreekGamma(12.3,$N42,O$36,$R$5,$N$5,0)</f>
        <v>0.32881782049987407</v>
      </c>
      <c r="P42" s="1" cm="1">
        <f t="array" ref="P42">GreekGamma(12.3,$N42,P$36,$R$5,$N$5,0)</f>
        <v>0.23315653846656154</v>
      </c>
      <c r="Q42" s="1" cm="1">
        <f t="array" ref="Q42">GreekGamma(12.3,$N42,Q$36,$R$5,$N$5,0)</f>
        <v>0.19004780407950503</v>
      </c>
      <c r="R42" s="1" cm="1">
        <f t="array" ref="R42">GreekGamma(12.3,$N42,R$36,$R$5,$N$5,0)</f>
        <v>0.16412237122818521</v>
      </c>
      <c r="S42" s="1" cm="1">
        <f t="array" ref="S42">GreekGamma(12.3,$N42,S$36,$R$5,$N$5,0)</f>
        <v>0.14631620741849022</v>
      </c>
      <c r="T42" s="1" cm="1">
        <f t="array" ref="T42">GreekGamma(12.3,$N42,T$36,$R$5,$N$5,0)</f>
        <v>0.13310186883791256</v>
      </c>
      <c r="U42" s="1" cm="1">
        <f t="array" ref="U42">GreekGamma(12.3,$N42,U$36,$R$5,$N$5,0)</f>
        <v>0.12278278752440804</v>
      </c>
      <c r="V42" s="1" cm="1">
        <f t="array" ref="V42">GreekGamma(12.3,$N42,V$36,$R$5,$N$5,0)</f>
        <v>0.11442831143906991</v>
      </c>
      <c r="W42" s="1" cm="1">
        <f t="array" ref="W42">GreekGamma(12.3,$N42,W$36,$R$5,$N$5,0)</f>
        <v>0.10747959740996713</v>
      </c>
      <c r="X42" s="1" cm="1">
        <f t="array" ref="X42">GreekGamma(12.3,$N42,X$36,$R$5,$N$5,0)</f>
        <v>0.10157804942712154</v>
      </c>
    </row>
    <row r="43" spans="2:24" x14ac:dyDescent="0.3">
      <c r="B43" s="3">
        <v>45273</v>
      </c>
      <c r="C43">
        <v>13.4</v>
      </c>
      <c r="D43">
        <v>13.555</v>
      </c>
      <c r="E43">
        <v>13.4</v>
      </c>
      <c r="F43">
        <v>13.484999999999999</v>
      </c>
      <c r="G43">
        <v>13.484999999999999</v>
      </c>
      <c r="H43">
        <v>626737</v>
      </c>
      <c r="J43">
        <f t="shared" si="0"/>
        <v>2.9750836742282742E-3</v>
      </c>
      <c r="N43" s="4">
        <f t="shared" si="16"/>
        <v>13</v>
      </c>
      <c r="O43" s="1" cm="1">
        <f t="array" ref="O43">GreekGamma(12.3,$N43,O$36,$R$5,$N$5,0)</f>
        <v>0.29472052398779736</v>
      </c>
      <c r="P43" s="1" cm="1">
        <f t="array" ref="P43">GreekGamma(12.3,$N43,P$36,$R$5,$N$5,0)</f>
        <v>0.22467975303083612</v>
      </c>
      <c r="Q43" s="1" cm="1">
        <f t="array" ref="Q43">GreekGamma(12.3,$N43,Q$36,$R$5,$N$5,0)</f>
        <v>0.18761445505374924</v>
      </c>
      <c r="R43" s="1" cm="1">
        <f t="array" ref="R43">GreekGamma(12.3,$N43,R$36,$R$5,$N$5,0)</f>
        <v>0.16398902135373183</v>
      </c>
      <c r="S43" s="1" cm="1">
        <f t="array" ref="S43">GreekGamma(12.3,$N43,S$36,$R$5,$N$5,0)</f>
        <v>0.1472602580192687</v>
      </c>
      <c r="T43" s="1" cm="1">
        <f t="array" ref="T43">GreekGamma(12.3,$N43,T$36,$R$5,$N$5,0)</f>
        <v>0.1346091851179988</v>
      </c>
      <c r="U43" s="1" cm="1">
        <f t="array" ref="U43">GreekGamma(12.3,$N43,U$36,$R$5,$N$5,0)</f>
        <v>0.1246023370729286</v>
      </c>
      <c r="V43" s="1" cm="1">
        <f t="array" ref="V43">GreekGamma(12.3,$N43,V$36,$R$5,$N$5,0)</f>
        <v>0.11642488203941151</v>
      </c>
      <c r="W43" s="1" cm="1">
        <f t="array" ref="W43">GreekGamma(12.3,$N43,W$36,$R$5,$N$5,0)</f>
        <v>0.10957520034933663</v>
      </c>
      <c r="X43" s="1" cm="1">
        <f t="array" ref="X43">GreekGamma(12.3,$N43,X$36,$R$5,$N$5,0)</f>
        <v>0.10372543179963535</v>
      </c>
    </row>
    <row r="44" spans="2:24" x14ac:dyDescent="0.3">
      <c r="B44" s="3">
        <v>45274</v>
      </c>
      <c r="C44">
        <v>13.61</v>
      </c>
      <c r="D44">
        <v>14.01</v>
      </c>
      <c r="E44">
        <v>13.61</v>
      </c>
      <c r="F44">
        <v>13.93</v>
      </c>
      <c r="G44">
        <v>13.93</v>
      </c>
      <c r="H44">
        <v>1201039</v>
      </c>
      <c r="J44">
        <f t="shared" si="0"/>
        <v>3.2999629217649262E-2</v>
      </c>
      <c r="N44" s="4">
        <f t="shared" si="16"/>
        <v>13.5</v>
      </c>
      <c r="O44" s="1" cm="1">
        <f t="array" ref="O44">GreekGamma(12.3,$N44,O$36,$R$5,$N$5,0)</f>
        <v>0.22828068879097246</v>
      </c>
      <c r="P44" s="1" cm="1">
        <f t="array" ref="P44">GreekGamma(12.3,$N44,P$36,$R$5,$N$5,0)</f>
        <v>0.20113698779126229</v>
      </c>
      <c r="Q44" s="1" cm="1">
        <f t="array" ref="Q44">GreekGamma(12.3,$N44,Q$36,$R$5,$N$5,0)</f>
        <v>0.17625875727931523</v>
      </c>
      <c r="R44" s="1" cm="1">
        <f t="array" ref="R44">GreekGamma(12.3,$N44,R$36,$R$5,$N$5,0)</f>
        <v>0.15782557614338127</v>
      </c>
      <c r="S44" s="1" cm="1">
        <f t="array" ref="S44">GreekGamma(12.3,$N44,S$36,$R$5,$N$5,0)</f>
        <v>0.1437921202077935</v>
      </c>
      <c r="T44" s="1" cm="1">
        <f t="array" ref="T44">GreekGamma(12.3,$N44,T$36,$R$5,$N$5,0)</f>
        <v>0.13271362327335443</v>
      </c>
      <c r="U44" s="1" cm="1">
        <f t="array" ref="U44">GreekGamma(12.3,$N44,U$36,$R$5,$N$5,0)</f>
        <v>0.12369745691121548</v>
      </c>
      <c r="V44" s="1" cm="1">
        <f t="array" ref="V44">GreekGamma(12.3,$N44,V$36,$R$5,$N$5,0)</f>
        <v>0.11617848757354549</v>
      </c>
      <c r="W44" s="1" cm="1">
        <f t="array" ref="W44">GreekGamma(12.3,$N44,W$36,$R$5,$N$5,0)</f>
        <v>0.10978387409118942</v>
      </c>
      <c r="X44" s="1" cm="1">
        <f t="array" ref="X44">GreekGamma(12.3,$N44,X$36,$R$5,$N$5,0)</f>
        <v>0.10425781619069197</v>
      </c>
    </row>
    <row r="45" spans="2:24" x14ac:dyDescent="0.3">
      <c r="B45" s="3">
        <v>45275</v>
      </c>
      <c r="C45">
        <v>13.93</v>
      </c>
      <c r="D45">
        <v>13.96</v>
      </c>
      <c r="E45">
        <v>13.69</v>
      </c>
      <c r="F45">
        <v>13.79</v>
      </c>
      <c r="G45">
        <v>13.79</v>
      </c>
      <c r="H45">
        <v>1608369</v>
      </c>
      <c r="J45">
        <f t="shared" si="0"/>
        <v>-1.0050251256281449E-2</v>
      </c>
    </row>
    <row r="46" spans="2:24" x14ac:dyDescent="0.3">
      <c r="B46" s="3">
        <v>45278</v>
      </c>
      <c r="C46">
        <v>13.654999999999999</v>
      </c>
      <c r="D46">
        <v>13.88</v>
      </c>
      <c r="E46">
        <v>13.65</v>
      </c>
      <c r="F46">
        <v>13.725</v>
      </c>
      <c r="G46">
        <v>13.725</v>
      </c>
      <c r="H46">
        <v>571714</v>
      </c>
      <c r="J46">
        <f t="shared" si="0"/>
        <v>-4.7135605511239671E-3</v>
      </c>
    </row>
    <row r="47" spans="2:24" x14ac:dyDescent="0.3">
      <c r="B47" s="3">
        <v>45279</v>
      </c>
      <c r="C47">
        <v>13.734999999999999</v>
      </c>
      <c r="D47">
        <v>14.03</v>
      </c>
      <c r="E47">
        <v>13.734999999999999</v>
      </c>
      <c r="F47">
        <v>13.925000000000001</v>
      </c>
      <c r="G47">
        <v>13.925000000000001</v>
      </c>
      <c r="H47">
        <v>486224</v>
      </c>
      <c r="J47">
        <f t="shared" si="0"/>
        <v>1.4571948998178584E-2</v>
      </c>
      <c r="R47" s="8" t="s">
        <v>52</v>
      </c>
      <c r="S47" s="8"/>
      <c r="T47" s="8"/>
    </row>
    <row r="48" spans="2:24" x14ac:dyDescent="0.3">
      <c r="B48" s="3">
        <v>45280</v>
      </c>
      <c r="C48">
        <v>13.88</v>
      </c>
      <c r="D48">
        <v>14.02</v>
      </c>
      <c r="E48">
        <v>13.82</v>
      </c>
      <c r="F48">
        <v>14.01</v>
      </c>
      <c r="G48">
        <v>14.01</v>
      </c>
      <c r="H48">
        <v>699864</v>
      </c>
      <c r="J48">
        <f t="shared" si="0"/>
        <v>6.1041292639137578E-3</v>
      </c>
      <c r="M48" t="s">
        <v>12</v>
      </c>
      <c r="O48" s="5">
        <v>0.1</v>
      </c>
      <c r="P48" s="4">
        <f>O48+0.1</f>
        <v>0.2</v>
      </c>
      <c r="Q48" s="4">
        <f t="shared" ref="Q48:W48" si="17">P48+0.1</f>
        <v>0.30000000000000004</v>
      </c>
      <c r="R48" s="4">
        <f t="shared" si="17"/>
        <v>0.4</v>
      </c>
      <c r="S48" s="4">
        <f t="shared" si="17"/>
        <v>0.5</v>
      </c>
      <c r="T48" s="4">
        <f t="shared" si="17"/>
        <v>0.6</v>
      </c>
      <c r="U48" s="4">
        <f t="shared" si="17"/>
        <v>0.7</v>
      </c>
      <c r="V48" s="4">
        <f t="shared" si="17"/>
        <v>0.79999999999999993</v>
      </c>
      <c r="W48" s="4">
        <f t="shared" si="17"/>
        <v>0.89999999999999991</v>
      </c>
      <c r="X48" s="4">
        <f>W48+0.1</f>
        <v>0.99999999999999989</v>
      </c>
    </row>
    <row r="49" spans="2:24" x14ac:dyDescent="0.3">
      <c r="B49" s="3">
        <v>45281</v>
      </c>
      <c r="C49">
        <v>13.965</v>
      </c>
      <c r="D49">
        <v>14.09</v>
      </c>
      <c r="E49">
        <v>13.955</v>
      </c>
      <c r="F49">
        <v>14.025</v>
      </c>
      <c r="G49">
        <v>14.025</v>
      </c>
      <c r="H49">
        <v>619470</v>
      </c>
      <c r="J49">
        <f t="shared" si="0"/>
        <v>1.0706638115632098E-3</v>
      </c>
      <c r="N49" s="7">
        <v>10</v>
      </c>
      <c r="O49" s="1" cm="1">
        <f t="array" ref="O49">Vega(12.3,$N49,O$48,$R$5,$N$5,0)</f>
        <v>1.3998481749710214E-3</v>
      </c>
      <c r="P49" s="1" cm="1">
        <f t="array" ref="P49">Vega(12.3,$N49,P$48,$R$5,$N$5,0)</f>
        <v>5.9677633019603188E-3</v>
      </c>
      <c r="Q49" s="1" cm="1">
        <f t="array" ref="Q49">Vega(12.3,$N49,Q$48,$R$5,$N$5,0)</f>
        <v>1.0530627256482645E-2</v>
      </c>
      <c r="R49" s="1" cm="1">
        <f t="array" ref="R49">Vega(12.3,$N49,R$48,$R$5,$N$5,0)</f>
        <v>1.4566860863392702E-2</v>
      </c>
      <c r="S49" s="1" cm="1">
        <f t="array" ref="S49">Vega(12.3,$N49,S$48,$R$5,$N$5,0)</f>
        <v>1.8121806054961751E-2</v>
      </c>
      <c r="T49" s="1" cm="1">
        <f t="array" ref="T49">Vega(12.3,$N49,T$48,$R$5,$N$5,0)</f>
        <v>2.1288333688316494E-2</v>
      </c>
      <c r="U49" s="1" cm="1">
        <f t="array" ref="U49">Vega(12.3,$N49,U$48,$R$5,$N$5,0)</f>
        <v>2.4143715188325622E-2</v>
      </c>
      <c r="V49" s="1" cm="1">
        <f t="array" ref="V49">Vega(12.3,$N49,V$48,$R$5,$N$5,0)</f>
        <v>2.6746303936418317E-2</v>
      </c>
      <c r="W49" s="1" cm="1">
        <f t="array" ref="W49">Vega(12.3,$N49,W$48,$R$5,$N$5,0)</f>
        <v>2.9139819069722097E-2</v>
      </c>
      <c r="X49" s="1" cm="1">
        <f t="array" ref="X49">Vega(12.3,$N49,X$48,$R$5,$N$5,0)</f>
        <v>3.1357439165895368E-2</v>
      </c>
    </row>
    <row r="50" spans="2:24" x14ac:dyDescent="0.3">
      <c r="B50" s="3">
        <v>45282</v>
      </c>
      <c r="C50">
        <v>13.97</v>
      </c>
      <c r="D50">
        <v>14.074999999999999</v>
      </c>
      <c r="E50">
        <v>13.91</v>
      </c>
      <c r="F50">
        <v>14.005000000000001</v>
      </c>
      <c r="G50">
        <v>14.005000000000001</v>
      </c>
      <c r="H50">
        <v>485604</v>
      </c>
      <c r="J50">
        <f t="shared" si="0"/>
        <v>-1.4260249554366897E-3</v>
      </c>
      <c r="N50" s="4">
        <f>N49+0.5</f>
        <v>10.5</v>
      </c>
      <c r="O50" s="1" cm="1">
        <f t="array" ref="O50">Vega(12.3,$N50,O$48,$R$5,$N$5,0)</f>
        <v>3.6742794231640814E-3</v>
      </c>
      <c r="P50" s="1" cm="1">
        <f t="array" ref="P50">Vega(12.3,$N50,P$48,$R$5,$N$5,0)</f>
        <v>9.8837562692766952E-3</v>
      </c>
      <c r="Q50" s="1" cm="1">
        <f t="array" ref="Q50">Vega(12.3,$N50,Q$48,$R$5,$N$5,0)</f>
        <v>1.4959063624880718E-2</v>
      </c>
      <c r="R50" s="1" cm="1">
        <f t="array" ref="R50">Vega(12.3,$N50,R$48,$R$5,$N$5,0)</f>
        <v>1.9163993114007304E-2</v>
      </c>
      <c r="S50" s="1" cm="1">
        <f t="array" ref="S50">Vega(12.3,$N50,S$48,$R$5,$N$5,0)</f>
        <v>2.2767923918097011E-2</v>
      </c>
      <c r="T50" s="1" cm="1">
        <f t="array" ref="T50">Vega(12.3,$N50,T$48,$R$5,$N$5,0)</f>
        <v>2.5937706314952579E-2</v>
      </c>
      <c r="U50" s="1" cm="1">
        <f t="array" ref="U50">Vega(12.3,$N50,U$48,$R$5,$N$5,0)</f>
        <v>2.8778695445432854E-2</v>
      </c>
      <c r="V50" s="1" cm="1">
        <f t="array" ref="V50">Vega(12.3,$N50,V$48,$R$5,$N$5,0)</f>
        <v>3.1360906504595748E-2</v>
      </c>
      <c r="W50" s="1" cm="1">
        <f t="array" ref="W50">Vega(12.3,$N50,W$48,$R$5,$N$5,0)</f>
        <v>3.3733131608411876E-2</v>
      </c>
      <c r="X50" s="1" cm="1">
        <f t="array" ref="X50">Vega(12.3,$N50,X$48,$R$5,$N$5,0)</f>
        <v>3.5930758085609901E-2</v>
      </c>
    </row>
    <row r="51" spans="2:24" x14ac:dyDescent="0.3">
      <c r="B51" s="3">
        <v>45287</v>
      </c>
      <c r="C51">
        <v>14.015000000000001</v>
      </c>
      <c r="D51">
        <v>14.145</v>
      </c>
      <c r="E51">
        <v>13.96</v>
      </c>
      <c r="F51">
        <v>14.06</v>
      </c>
      <c r="G51">
        <v>14.06</v>
      </c>
      <c r="H51">
        <v>518139</v>
      </c>
      <c r="J51">
        <f t="shared" si="0"/>
        <v>3.9271688682613144E-3</v>
      </c>
      <c r="N51" s="4">
        <f t="shared" ref="N51:N56" si="18">N50+0.5</f>
        <v>11</v>
      </c>
      <c r="O51" s="1" cm="1">
        <f t="array" ref="O51">Vega(12.3,$N51,O$48,$R$5,$N$5,0)</f>
        <v>7.3324397056017754E-3</v>
      </c>
      <c r="P51" s="1" cm="1">
        <f t="array" ref="P51">Vega(12.3,$N51,P$48,$R$5,$N$5,0)</f>
        <v>1.4258701025206854E-2</v>
      </c>
      <c r="Q51" s="1" cm="1">
        <f t="array" ref="Q51">Vega(12.3,$N51,Q$48,$R$5,$N$5,0)</f>
        <v>1.9368212894180895E-2</v>
      </c>
      <c r="R51" s="1" cm="1">
        <f t="array" ref="R51">Vega(12.3,$N51,R$48,$R$5,$N$5,0)</f>
        <v>2.3506325712534575E-2</v>
      </c>
      <c r="S51" s="1" cm="1">
        <f t="array" ref="S51">Vega(12.3,$N51,S$48,$R$5,$N$5,0)</f>
        <v>2.7035246676191112E-2</v>
      </c>
      <c r="T51" s="1" cm="1">
        <f t="array" ref="T51">Vega(12.3,$N51,T$48,$R$5,$N$5,0)</f>
        <v>3.0140046267124715E-2</v>
      </c>
      <c r="U51" s="1" cm="1">
        <f t="array" ref="U51">Vega(12.3,$N51,U$48,$R$5,$N$5,0)</f>
        <v>3.2928583587719988E-2</v>
      </c>
      <c r="V51" s="1" cm="1">
        <f t="array" ref="V51">Vega(12.3,$N51,V$48,$R$5,$N$5,0)</f>
        <v>3.5469719590694539E-2</v>
      </c>
      <c r="W51" s="1" cm="1">
        <f t="array" ref="W51">Vega(12.3,$N51,W$48,$R$5,$N$5,0)</f>
        <v>3.7810411902689141E-2</v>
      </c>
      <c r="X51" s="1" cm="1">
        <f t="array" ref="X51">Vega(12.3,$N51,X$48,$R$5,$N$5,0)</f>
        <v>3.9984310236407299E-2</v>
      </c>
    </row>
    <row r="52" spans="2:24" x14ac:dyDescent="0.3">
      <c r="B52" s="3">
        <v>45288</v>
      </c>
      <c r="C52">
        <v>14.09</v>
      </c>
      <c r="D52">
        <v>14.115</v>
      </c>
      <c r="E52">
        <v>13.93</v>
      </c>
      <c r="F52">
        <v>13.98</v>
      </c>
      <c r="G52">
        <v>13.98</v>
      </c>
      <c r="H52">
        <v>390786</v>
      </c>
      <c r="J52">
        <f t="shared" si="0"/>
        <v>-5.6899004267425366E-3</v>
      </c>
      <c r="M52" t="s">
        <v>53</v>
      </c>
      <c r="N52" s="4">
        <f t="shared" si="18"/>
        <v>11.5</v>
      </c>
      <c r="O52" s="1" cm="1">
        <f t="array" ref="O52">Vega(12.3,$N52,O$48,$R$5,$N$5,0)</f>
        <v>1.1513869170216792E-2</v>
      </c>
      <c r="P52" s="1" cm="1">
        <f t="array" ref="P52">Vega(12.3,$N52,P$48,$R$5,$N$5,0)</f>
        <v>1.8229748348951656E-2</v>
      </c>
      <c r="Q52" s="1" cm="1">
        <f t="array" ref="Q52">Vega(12.3,$N52,Q$48,$R$5,$N$5,0)</f>
        <v>2.3122399532289457E-2</v>
      </c>
      <c r="R52" s="1" cm="1">
        <f t="array" ref="R52">Vega(12.3,$N52,R$48,$R$5,$N$5,0)</f>
        <v>2.7117485751434165E-2</v>
      </c>
      <c r="S52" s="1" cm="1">
        <f t="array" ref="S52">Vega(12.3,$N52,S$48,$R$5,$N$5,0)</f>
        <v>3.0553980677681572E-2</v>
      </c>
      <c r="T52" s="1" cm="1">
        <f t="array" ref="T52">Vega(12.3,$N52,T$48,$R$5,$N$5,0)</f>
        <v>3.3599274958012071E-2</v>
      </c>
      <c r="U52" s="1" cm="1">
        <f t="array" ref="U52">Vega(12.3,$N52,U$48,$R$5,$N$5,0)</f>
        <v>3.6350299195561479E-2</v>
      </c>
      <c r="V52" s="1" cm="1">
        <f t="array" ref="V52">Vega(12.3,$N52,V$48,$R$5,$N$5,0)</f>
        <v>3.8869092977312933E-2</v>
      </c>
      <c r="W52" s="1" cm="1">
        <f t="array" ref="W52">Vega(12.3,$N52,W$48,$R$5,$N$5,0)</f>
        <v>4.1198203623890241E-2</v>
      </c>
      <c r="X52" s="1" cm="1">
        <f t="array" ref="X52">Vega(12.3,$N52,X$48,$R$5,$N$5,0)</f>
        <v>4.336832568507118E-2</v>
      </c>
    </row>
    <row r="53" spans="2:24" x14ac:dyDescent="0.3">
      <c r="B53" s="3">
        <v>45289</v>
      </c>
      <c r="C53">
        <v>14</v>
      </c>
      <c r="D53">
        <v>14.125</v>
      </c>
      <c r="E53">
        <v>13.99</v>
      </c>
      <c r="F53">
        <v>14.06</v>
      </c>
      <c r="G53">
        <v>14.06</v>
      </c>
      <c r="H53">
        <v>281679</v>
      </c>
      <c r="J53">
        <f t="shared" si="0"/>
        <v>5.7224606580829809E-3</v>
      </c>
      <c r="N53" s="4">
        <f t="shared" si="18"/>
        <v>12</v>
      </c>
      <c r="O53" s="1" cm="1">
        <f t="array" ref="O53">Vega(12.3,$N53,O$48,$R$5,$N$5,0)</f>
        <v>1.4646587062796203E-2</v>
      </c>
      <c r="P53" s="1" cm="1">
        <f t="array" ref="P53">Vega(12.3,$N53,P$48,$R$5,$N$5,0)</f>
        <v>2.0959534182983755E-2</v>
      </c>
      <c r="Q53" s="1" cm="1">
        <f t="array" ref="Q53">Vega(12.3,$N53,Q$48,$R$5,$N$5,0)</f>
        <v>2.5703708612334709E-2</v>
      </c>
      <c r="R53" s="1" cm="1">
        <f t="array" ref="R53">Vega(12.3,$N53,R$48,$R$5,$N$5,0)</f>
        <v>2.964102900831134E-2</v>
      </c>
      <c r="S53" s="1" cm="1">
        <f t="array" ref="S53">Vega(12.3,$N53,S$48,$R$5,$N$5,0)</f>
        <v>3.3061323565605504E-2</v>
      </c>
      <c r="T53" s="1" cm="1">
        <f t="array" ref="T53">Vega(12.3,$N53,T$48,$R$5,$N$5,0)</f>
        <v>3.6112265041290843E-2</v>
      </c>
      <c r="U53" s="1" cm="1">
        <f t="array" ref="U53">Vega(12.3,$N53,U$48,$R$5,$N$5,0)</f>
        <v>3.8881379137525686E-2</v>
      </c>
      <c r="V53" s="1" cm="1">
        <f t="array" ref="V53">Vega(12.3,$N53,V$48,$R$5,$N$5,0)</f>
        <v>4.1425686436558272E-2</v>
      </c>
      <c r="W53" s="1" cm="1">
        <f t="array" ref="W53">Vega(12.3,$N53,W$48,$R$5,$N$5,0)</f>
        <v>4.3784838106998535E-2</v>
      </c>
      <c r="X53" s="1" cm="1">
        <f t="array" ref="X53">Vega(12.3,$N53,X$48,$R$5,$N$5,0)</f>
        <v>4.598775968258341E-2</v>
      </c>
    </row>
    <row r="54" spans="2:24" x14ac:dyDescent="0.3">
      <c r="B54" s="3">
        <v>45293</v>
      </c>
      <c r="C54">
        <v>14.01</v>
      </c>
      <c r="D54">
        <v>14.105</v>
      </c>
      <c r="E54">
        <v>13.76</v>
      </c>
      <c r="F54">
        <v>13.765000000000001</v>
      </c>
      <c r="G54">
        <v>13.765000000000001</v>
      </c>
      <c r="H54">
        <v>464682</v>
      </c>
      <c r="J54">
        <f t="shared" si="0"/>
        <v>-2.098150782361308E-2</v>
      </c>
      <c r="N54" s="4">
        <f t="shared" si="18"/>
        <v>12.5</v>
      </c>
      <c r="O54" s="1" cm="1">
        <f t="array" ref="O54">Vega(12.3,$N54,O$48,$R$5,$N$5,0)</f>
        <v>1.5473472663813591E-2</v>
      </c>
      <c r="P54" s="1" cm="1">
        <f t="array" ref="P54">Vega(12.3,$N54,P$48,$R$5,$N$5,0)</f>
        <v>2.1943709248283413E-2</v>
      </c>
      <c r="Q54" s="1" cm="1">
        <f t="array" ref="Q54">Vega(12.3,$N54,Q$48,$R$5,$N$5,0)</f>
        <v>2.6829745694179754E-2</v>
      </c>
      <c r="R54" s="1" cm="1">
        <f t="array" ref="R54">Vega(12.3,$N54,R$48,$R$5,$N$5,0)</f>
        <v>3.089300964113121E-2</v>
      </c>
      <c r="S54" s="1" cm="1">
        <f t="array" ref="S54">Vega(12.3,$N54,S$48,$R$5,$N$5,0)</f>
        <v>3.4426659606238634E-2</v>
      </c>
      <c r="T54" s="1" cm="1">
        <f t="array" ref="T54">Vega(12.3,$N54,T$48,$R$5,$N$5,0)</f>
        <v>3.7580958218778736E-2</v>
      </c>
      <c r="U54" s="1" cm="1">
        <f t="array" ref="U54">Vega(12.3,$N54,U$48,$R$5,$N$5,0)</f>
        <v>4.0445291937653408E-2</v>
      </c>
      <c r="V54" s="1" cm="1">
        <f t="array" ref="V54">Vega(12.3,$N54,V$48,$R$5,$N$5,0)</f>
        <v>4.3078038686032202E-2</v>
      </c>
      <c r="W54" s="1" cm="1">
        <f t="array" ref="W54">Vega(12.3,$N54,W$48,$R$5,$N$5,0)</f>
        <v>4.5519867169039524E-2</v>
      </c>
      <c r="X54" s="1" cm="1">
        <f t="array" ref="X54">Vega(12.3,$N54,X$48,$R$5,$N$5,0)</f>
        <v>4.7800486259067347E-2</v>
      </c>
    </row>
    <row r="55" spans="2:24" x14ac:dyDescent="0.3">
      <c r="B55" s="3">
        <v>45294</v>
      </c>
      <c r="C55">
        <v>13.75</v>
      </c>
      <c r="D55">
        <v>13.78</v>
      </c>
      <c r="E55">
        <v>13.484999999999999</v>
      </c>
      <c r="F55">
        <v>13.66</v>
      </c>
      <c r="G55">
        <v>13.66</v>
      </c>
      <c r="H55">
        <v>667674</v>
      </c>
      <c r="J55">
        <f t="shared" si="0"/>
        <v>-7.6280421358518287E-3</v>
      </c>
      <c r="N55" s="4">
        <f t="shared" si="18"/>
        <v>13</v>
      </c>
      <c r="O55" s="1" cm="1">
        <f t="array" ref="O55">Vega(12.3,$N55,O$48,$R$5,$N$5,0)</f>
        <v>1.3868925852185516E-2</v>
      </c>
      <c r="P55" s="1" cm="1">
        <f t="array" ref="P55">Vega(12.3,$N55,P$48,$R$5,$N$5,0)</f>
        <v>2.1145909983527566E-2</v>
      </c>
      <c r="Q55" s="1" cm="1">
        <f t="array" ref="Q55">Vega(12.3,$N55,Q$48,$R$5,$N$5,0)</f>
        <v>2.6486220885448497E-2</v>
      </c>
      <c r="R55" s="1" cm="1">
        <f t="array" ref="R55">Vega(12.3,$N55,R$48,$R$5,$N$5,0)</f>
        <v>3.0867908986501963E-2</v>
      </c>
      <c r="S55" s="1" cm="1">
        <f t="array" ref="S55">Vega(12.3,$N55,S$48,$R$5,$N$5,0)</f>
        <v>3.4648784750523631E-2</v>
      </c>
      <c r="T55" s="1" cm="1">
        <f t="array" ref="T55">Vega(12.3,$N55,T$48,$R$5,$N$5,0)</f>
        <v>3.8006544956508084E-2</v>
      </c>
      <c r="U55" s="1" cm="1">
        <f t="array" ref="U55">Vega(12.3,$N55,U$48,$R$5,$N$5,0)</f>
        <v>4.1044661068854398E-2</v>
      </c>
      <c r="V55" s="1" cm="1">
        <f t="array" ref="V55">Vega(12.3,$N55,V$48,$R$5,$N$5,0)</f>
        <v>4.3829673875604207E-2</v>
      </c>
      <c r="W55" s="1" cm="1">
        <f t="array" ref="W55">Vega(12.3,$N55,W$48,$R$5,$N$5,0)</f>
        <v>4.6407399033113125E-2</v>
      </c>
      <c r="X55" s="1" cm="1">
        <f t="array" ref="X55">Vega(12.3,$N55,X$48,$R$5,$N$5,0)</f>
        <v>4.8810999083139191E-2</v>
      </c>
    </row>
    <row r="56" spans="2:24" x14ac:dyDescent="0.3">
      <c r="B56" s="3">
        <v>45295</v>
      </c>
      <c r="C56">
        <v>13.54</v>
      </c>
      <c r="D56">
        <v>13.66</v>
      </c>
      <c r="E56">
        <v>13.19</v>
      </c>
      <c r="F56">
        <v>13.445</v>
      </c>
      <c r="G56">
        <v>13.445</v>
      </c>
      <c r="H56">
        <v>625276</v>
      </c>
      <c r="J56">
        <f t="shared" si="0"/>
        <v>-1.5739385065885788E-2</v>
      </c>
      <c r="N56" s="4">
        <f t="shared" si="18"/>
        <v>13.5</v>
      </c>
      <c r="O56" s="1" cm="1">
        <f t="array" ref="O56">Vega(12.3,$N56,O$48,$R$5,$N$5,0)</f>
        <v>1.0742407428872922E-2</v>
      </c>
      <c r="P56" s="1" cm="1">
        <f t="array" ref="P56">Vega(12.3,$N56,P$48,$R$5,$N$5,0)</f>
        <v>1.8930164293033482E-2</v>
      </c>
      <c r="Q56" s="1" cm="1">
        <f t="array" ref="Q56">Vega(12.3,$N56,Q$48,$R$5,$N$5,0)</f>
        <v>2.4883095372140427E-2</v>
      </c>
      <c r="R56" s="1" cm="1">
        <f t="array" ref="R56">Vega(12.3,$N56,R$48,$R$5,$N$5,0)</f>
        <v>2.9707754091827587E-2</v>
      </c>
      <c r="S56" s="1" cm="1">
        <f t="array" ref="S56">Vega(12.3,$N56,S$48,$R$5,$N$5,0)</f>
        <v>3.3832768520949776E-2</v>
      </c>
      <c r="T56" s="1" cm="1">
        <f t="array" ref="T56">Vega(12.3,$N56,T$48,$R$5,$N$5,0)</f>
        <v>3.7471338117515893E-2</v>
      </c>
      <c r="U56" s="1" cm="1">
        <f t="array" ref="U56">Vega(12.3,$N56,U$48,$R$5,$N$5,0)</f>
        <v>4.0746588814208742E-2</v>
      </c>
      <c r="V56" s="1" cm="1">
        <f t="array" ref="V56">Vega(12.3,$N56,V$48,$R$5,$N$5,0)</f>
        <v>4.3736915447212539E-2</v>
      </c>
      <c r="W56" s="1" cm="1">
        <f t="array" ref="W56">Vega(12.3,$N56,W$48,$R$5,$N$5,0)</f>
        <v>4.6495776746090345E-2</v>
      </c>
      <c r="X56" s="1" cm="1">
        <f t="array" ref="X56">Vega(12.3,$N56,X$48,$R$5,$N$5,0)</f>
        <v>4.9061527941615668E-2</v>
      </c>
    </row>
    <row r="57" spans="2:24" x14ac:dyDescent="0.3">
      <c r="B57" s="3">
        <v>45296</v>
      </c>
      <c r="C57">
        <v>13.265000000000001</v>
      </c>
      <c r="D57">
        <v>13.425000000000001</v>
      </c>
      <c r="E57">
        <v>13.225</v>
      </c>
      <c r="F57">
        <v>13.395</v>
      </c>
      <c r="G57">
        <v>13.395</v>
      </c>
      <c r="H57">
        <v>522209</v>
      </c>
      <c r="J57">
        <f t="shared" si="0"/>
        <v>-3.718854592785475E-3</v>
      </c>
    </row>
    <row r="58" spans="2:24" x14ac:dyDescent="0.3">
      <c r="B58" s="3">
        <v>45299</v>
      </c>
      <c r="C58">
        <v>13.36</v>
      </c>
      <c r="D58">
        <v>13.645</v>
      </c>
      <c r="E58">
        <v>13.33</v>
      </c>
      <c r="F58">
        <v>13.585000000000001</v>
      </c>
      <c r="G58">
        <v>13.585000000000001</v>
      </c>
      <c r="H58">
        <v>373327</v>
      </c>
      <c r="J58">
        <f t="shared" si="0"/>
        <v>1.4184397163120664E-2</v>
      </c>
    </row>
    <row r="59" spans="2:24" x14ac:dyDescent="0.3">
      <c r="B59" s="3">
        <v>45300</v>
      </c>
      <c r="C59">
        <v>13.66</v>
      </c>
      <c r="D59">
        <v>13.785</v>
      </c>
      <c r="E59">
        <v>13.6</v>
      </c>
      <c r="F59">
        <v>13.785</v>
      </c>
      <c r="G59">
        <v>13.785</v>
      </c>
      <c r="H59">
        <v>405820</v>
      </c>
      <c r="J59">
        <f t="shared" si="0"/>
        <v>1.4722119985277827E-2</v>
      </c>
      <c r="R59" s="8" t="s">
        <v>52</v>
      </c>
      <c r="S59" s="8"/>
      <c r="T59" s="8"/>
    </row>
    <row r="60" spans="2:24" x14ac:dyDescent="0.3">
      <c r="B60" s="3">
        <v>45301</v>
      </c>
      <c r="C60">
        <v>13.8</v>
      </c>
      <c r="D60">
        <v>13.885</v>
      </c>
      <c r="E60">
        <v>13.74</v>
      </c>
      <c r="F60">
        <v>13.86</v>
      </c>
      <c r="G60">
        <v>13.86</v>
      </c>
      <c r="H60">
        <v>314383</v>
      </c>
      <c r="J60">
        <f t="shared" si="0"/>
        <v>5.4406964091403181E-3</v>
      </c>
      <c r="M60" t="s">
        <v>55</v>
      </c>
      <c r="O60" s="5">
        <v>0.1</v>
      </c>
      <c r="P60" s="4">
        <f>O60+0.1</f>
        <v>0.2</v>
      </c>
      <c r="Q60" s="4">
        <f t="shared" ref="Q60:W60" si="19">P60+0.1</f>
        <v>0.30000000000000004</v>
      </c>
      <c r="R60" s="4">
        <f t="shared" si="19"/>
        <v>0.4</v>
      </c>
      <c r="S60" s="4">
        <f t="shared" si="19"/>
        <v>0.5</v>
      </c>
      <c r="T60" s="4">
        <f t="shared" si="19"/>
        <v>0.6</v>
      </c>
      <c r="U60" s="4">
        <f t="shared" si="19"/>
        <v>0.7</v>
      </c>
      <c r="V60" s="4">
        <f t="shared" si="19"/>
        <v>0.79999999999999993</v>
      </c>
      <c r="W60" s="4">
        <f t="shared" si="19"/>
        <v>0.89999999999999991</v>
      </c>
      <c r="X60" s="4">
        <f>W60+0.1</f>
        <v>0.99999999999999989</v>
      </c>
    </row>
    <row r="61" spans="2:24" x14ac:dyDescent="0.3">
      <c r="B61" s="3">
        <v>45302</v>
      </c>
      <c r="C61">
        <v>13.9</v>
      </c>
      <c r="D61">
        <v>14.025</v>
      </c>
      <c r="E61">
        <v>13.795</v>
      </c>
      <c r="F61">
        <v>13.795</v>
      </c>
      <c r="G61">
        <v>13.795</v>
      </c>
      <c r="H61">
        <v>0</v>
      </c>
      <c r="J61">
        <f t="shared" si="0"/>
        <v>-4.6897546897546544E-3</v>
      </c>
      <c r="N61" s="7">
        <v>10</v>
      </c>
      <c r="O61" s="1" cm="1">
        <f t="array" ref="O61">OptionTheta("C",12.3,$N61,O$60,$R$5,$N$5,0)</f>
        <v>-1.6407466846747138E-3</v>
      </c>
      <c r="P61" s="1" cm="1">
        <f t="array" ref="P61">OptionTheta("C",12.3,$N61,P$60,$R$5,$N$5,0)</f>
        <v>-2.2564641471148408E-3</v>
      </c>
      <c r="Q61" s="1" cm="1">
        <f t="array" ref="Q61">OptionTheta("C",12.3,$N61,Q$60,$R$5,$N$5,0)</f>
        <v>-2.4291948393200006E-3</v>
      </c>
      <c r="R61" s="1" cm="1">
        <f t="array" ref="R61">OptionTheta("C",12.3,$N61,R$60,$R$5,$N$5,0)</f>
        <v>-2.4443809101876365E-3</v>
      </c>
      <c r="S61" s="1" cm="1">
        <f t="array" ref="S61">OptionTheta("C",12.3,$N61,S$60,$R$5,$N$5,0)</f>
        <v>-2.4041218748636767E-3</v>
      </c>
      <c r="T61" s="1" cm="1">
        <f t="array" ref="T61">OptionTheta("C",12.3,$N61,T$60,$R$5,$N$5,0)</f>
        <v>-2.3444762831815089E-3</v>
      </c>
      <c r="U61" s="1" cm="1">
        <f t="array" ref="U61">OptionTheta("C",12.3,$N61,U$60,$R$5,$N$5,0)</f>
        <v>-2.2793755526945903E-3</v>
      </c>
      <c r="V61" s="1" cm="1">
        <f t="array" ref="V61">OptionTheta("C",12.3,$N61,V$60,$R$5,$N$5,0)</f>
        <v>-2.2145061001522903E-3</v>
      </c>
      <c r="W61" s="1" cm="1">
        <f t="array" ref="W61">OptionTheta("C",12.3,$N61,W$60,$R$5,$N$5,0)</f>
        <v>-2.152192327928472E-3</v>
      </c>
      <c r="X61" s="1" cm="1">
        <f t="array" ref="X61">OptionTheta("C",12.3,$N61,X$60,$R$5,$N$5,0)</f>
        <v>-2.0932997249734409E-3</v>
      </c>
    </row>
    <row r="62" spans="2:24" x14ac:dyDescent="0.3">
      <c r="B62" s="3">
        <v>45303</v>
      </c>
      <c r="C62">
        <v>13.815</v>
      </c>
      <c r="D62">
        <v>14.12</v>
      </c>
      <c r="E62">
        <v>13.815</v>
      </c>
      <c r="F62">
        <v>14.074999999999999</v>
      </c>
      <c r="G62">
        <v>14.074999999999999</v>
      </c>
      <c r="H62">
        <v>559164</v>
      </c>
      <c r="J62">
        <f t="shared" si="0"/>
        <v>2.0297209133744065E-2</v>
      </c>
      <c r="N62" s="4">
        <f>N61+0.5</f>
        <v>10.5</v>
      </c>
      <c r="O62" s="1" cm="1">
        <f t="array" ref="O62">OptionTheta("C",12.3,$N62,O$60,$R$5,$N$5,0)</f>
        <v>-2.6209488944209688E-3</v>
      </c>
      <c r="P62" s="1" cm="1">
        <f t="array" ref="P62">OptionTheta("C",12.3,$N62,P$60,$R$5,$N$5,0)</f>
        <v>-3.0728423639386003E-3</v>
      </c>
      <c r="Q62" s="1" cm="1">
        <f t="array" ref="Q62">OptionTheta("C",12.3,$N62,Q$60,$R$5,$N$5,0)</f>
        <v>-3.0322761855909085E-3</v>
      </c>
      <c r="R62" s="1" cm="1">
        <f t="array" ref="R62">OptionTheta("C",12.3,$N62,R$60,$R$5,$N$5,0)</f>
        <v>-2.9065084783420681E-3</v>
      </c>
      <c r="S62" s="1" cm="1">
        <f t="array" ref="S62">OptionTheta("C",12.3,$N62,S$60,$R$5,$N$5,0)</f>
        <v>-2.7729474205384656E-3</v>
      </c>
      <c r="T62" s="1" cm="1">
        <f t="array" ref="T62">OptionTheta("C",12.3,$N62,T$60,$R$5,$N$5,0)</f>
        <v>-2.6487833020165195E-3</v>
      </c>
      <c r="U62" s="1" cm="1">
        <f t="array" ref="U62">OptionTheta("C",12.3,$N62,U$60,$R$5,$N$5,0)</f>
        <v>-2.5371380078117877E-3</v>
      </c>
      <c r="V62" s="1" cm="1">
        <f t="array" ref="V62">OptionTheta("C",12.3,$N62,V$60,$R$5,$N$5,0)</f>
        <v>-2.4374652419941116E-3</v>
      </c>
      <c r="W62" s="1" cm="1">
        <f t="array" ref="W62">OptionTheta("C",12.3,$N62,W$60,$R$5,$N$5,0)</f>
        <v>-2.3483429016267587E-3</v>
      </c>
      <c r="X62" s="1" cm="1">
        <f t="array" ref="X62">OptionTheta("C",12.3,$N62,X$60,$R$5,$N$5,0)</f>
        <v>-2.2682835406783743E-3</v>
      </c>
    </row>
    <row r="63" spans="2:24" x14ac:dyDescent="0.3">
      <c r="B63" s="3">
        <v>45306</v>
      </c>
      <c r="C63">
        <v>14</v>
      </c>
      <c r="D63">
        <v>14.005000000000001</v>
      </c>
      <c r="E63">
        <v>13.675000000000001</v>
      </c>
      <c r="F63">
        <v>13.765000000000001</v>
      </c>
      <c r="G63">
        <v>13.765000000000001</v>
      </c>
      <c r="H63">
        <v>395204</v>
      </c>
      <c r="J63">
        <f t="shared" si="0"/>
        <v>-2.2024866785079839E-2</v>
      </c>
      <c r="N63" s="4">
        <f t="shared" ref="N63:N68" si="20">N62+0.5</f>
        <v>11</v>
      </c>
      <c r="O63" s="1" cm="1">
        <f t="array" ref="O63">OptionTheta("C",12.3,$N63,O$60,$R$5,$N$5,0)</f>
        <v>-4.1419787952981452E-3</v>
      </c>
      <c r="P63" s="1" cm="1">
        <f t="array" ref="P63">OptionTheta("C",12.3,$N63,P$60,$R$5,$N$5,0)</f>
        <v>-3.9526153527946637E-3</v>
      </c>
      <c r="Q63" s="1" cm="1">
        <f t="array" ref="Q63">OptionTheta("C",12.3,$N63,Q$60,$R$5,$N$5,0)</f>
        <v>-3.6082411898527757E-3</v>
      </c>
      <c r="R63" s="1" cm="1">
        <f t="array" ref="R63">OptionTheta("C",12.3,$N63,R$60,$R$5,$N$5,0)</f>
        <v>-3.3230407268271555E-3</v>
      </c>
      <c r="S63" s="1" cm="1">
        <f t="array" ref="S63">OptionTheta("C",12.3,$N63,S$60,$R$5,$N$5,0)</f>
        <v>-3.0947969290866829E-3</v>
      </c>
      <c r="T63" s="1" cm="1">
        <f t="array" ref="T63">OptionTheta("C",12.3,$N63,T$60,$R$5,$N$5,0)</f>
        <v>-2.9091972835358706E-3</v>
      </c>
      <c r="U63" s="1" cm="1">
        <f t="array" ref="U63">OptionTheta("C",12.3,$N63,U$60,$R$5,$N$5,0)</f>
        <v>-2.7550493824692211E-3</v>
      </c>
      <c r="V63" s="1" cm="1">
        <f t="array" ref="V63">OptionTheta("C",12.3,$N63,V$60,$R$5,$N$5,0)</f>
        <v>-2.6245220276004443E-3</v>
      </c>
      <c r="W63" s="1" cm="1">
        <f t="array" ref="W63">OptionTheta("C",12.3,$N63,W$60,$R$5,$N$5,0)</f>
        <v>-2.5121482022036875E-3</v>
      </c>
      <c r="X63" s="1" cm="1">
        <f t="array" ref="X63">OptionTheta("C",12.3,$N63,X$60,$R$5,$N$5,0)</f>
        <v>-2.4140367797870323E-3</v>
      </c>
    </row>
    <row r="64" spans="2:24" x14ac:dyDescent="0.3">
      <c r="B64" s="3">
        <v>45307</v>
      </c>
      <c r="C64">
        <v>13.71</v>
      </c>
      <c r="D64">
        <v>13.845000000000001</v>
      </c>
      <c r="E64">
        <v>13.685</v>
      </c>
      <c r="F64">
        <v>13.765000000000001</v>
      </c>
      <c r="G64">
        <v>13.765000000000001</v>
      </c>
      <c r="H64">
        <v>232685</v>
      </c>
      <c r="J64">
        <f t="shared" si="0"/>
        <v>0</v>
      </c>
      <c r="M64" t="s">
        <v>53</v>
      </c>
      <c r="N64" s="4">
        <f t="shared" si="20"/>
        <v>11.5</v>
      </c>
      <c r="O64" s="1" cm="1">
        <f t="array" ref="O64">OptionTheta("C",12.3,$N64,O$60,$R$5,$N$5,0)</f>
        <v>-5.8230821755962591E-3</v>
      </c>
      <c r="P64" s="1" cm="1">
        <f t="array" ref="P64">OptionTheta("C",12.3,$N64,P$60,$R$5,$N$5,0)</f>
        <v>-4.7131555508891573E-3</v>
      </c>
      <c r="Q64" s="1" cm="1">
        <f t="array" ref="Q64">OptionTheta("C",12.3,$N64,Q$60,$R$5,$N$5,0)</f>
        <v>-4.069658733545276E-3</v>
      </c>
      <c r="R64" s="1" cm="1">
        <f t="array" ref="R64">OptionTheta("C",12.3,$N64,R$60,$R$5,$N$5,0)</f>
        <v>-3.646008346384625E-3</v>
      </c>
      <c r="S64" s="1" cm="1">
        <f t="array" ref="S64">OptionTheta("C",12.3,$N64,S$60,$R$5,$N$5,0)</f>
        <v>-3.3405992307532005E-3</v>
      </c>
      <c r="T64" s="1" cm="1">
        <f t="array" ref="T64">OptionTheta("C",12.3,$N64,T$60,$R$5,$N$5,0)</f>
        <v>-3.1068047740277997E-3</v>
      </c>
      <c r="U64" s="1" cm="1">
        <f t="array" ref="U64">OptionTheta("C",12.3,$N64,U$60,$R$5,$N$5,0)</f>
        <v>-2.920145526026379E-3</v>
      </c>
      <c r="V64" s="1" cm="1">
        <f t="array" ref="V64">OptionTheta("C",12.3,$N64,V$60,$R$5,$N$5,0)</f>
        <v>-2.7664310996395693E-3</v>
      </c>
      <c r="W64" s="1" cm="1">
        <f t="array" ref="W64">OptionTheta("C",12.3,$N64,W$60,$R$5,$N$5,0)</f>
        <v>-2.6368082373303182E-3</v>
      </c>
      <c r="X64" s="1" cm="1">
        <f t="array" ref="X64">OptionTheta("C",12.3,$N64,X$60,$R$5,$N$5,0)</f>
        <v>-2.5254337791155643E-3</v>
      </c>
    </row>
    <row r="65" spans="2:24" x14ac:dyDescent="0.3">
      <c r="B65" s="3">
        <v>45308</v>
      </c>
      <c r="C65">
        <v>13.6</v>
      </c>
      <c r="D65">
        <v>13.73</v>
      </c>
      <c r="E65">
        <v>13.445</v>
      </c>
      <c r="F65">
        <v>13.49</v>
      </c>
      <c r="G65">
        <v>13.49</v>
      </c>
      <c r="H65">
        <v>374897</v>
      </c>
      <c r="J65">
        <f t="shared" si="0"/>
        <v>-1.997820559389759E-2</v>
      </c>
      <c r="N65" s="4">
        <f t="shared" si="20"/>
        <v>12</v>
      </c>
      <c r="O65" s="1" cm="1">
        <f t="array" ref="O65">OptionTheta("C",12.3,$N65,O$60,$R$5,$N$5,0)</f>
        <v>-7.0006094459019652E-3</v>
      </c>
      <c r="P65" s="1" cm="1">
        <f t="array" ref="P65">OptionTheta("C",12.3,$N65,P$60,$R$5,$N$5,0)</f>
        <v>-5.1837313840560574E-3</v>
      </c>
      <c r="Q65" s="1" cm="1">
        <f t="array" ref="Q65">OptionTheta("C",12.3,$N65,Q$60,$R$5,$N$5,0)</f>
        <v>-4.3485155134849714E-3</v>
      </c>
      <c r="R65" s="1" cm="1">
        <f t="array" ref="R65">OptionTheta("C",12.3,$N65,R$60,$R$5,$N$5,0)</f>
        <v>-3.8415577525143332E-3</v>
      </c>
      <c r="S65" s="1" cm="1">
        <f t="array" ref="S65">OptionTheta("C",12.3,$N65,S$60,$R$5,$N$5,0)</f>
        <v>-3.4911456749396369E-3</v>
      </c>
      <c r="T65" s="1" cm="1">
        <f t="array" ref="T65">OptionTheta("C",12.3,$N65,T$60,$R$5,$N$5,0)</f>
        <v>-3.2297372132476651E-3</v>
      </c>
      <c r="U65" s="1" cm="1">
        <f t="array" ref="U65">OptionTheta("C",12.3,$N65,U$60,$R$5,$N$5,0)</f>
        <v>-3.0246462393306336E-3</v>
      </c>
      <c r="V65" s="1" cm="1">
        <f t="array" ref="V65">OptionTheta("C",12.3,$N65,V$60,$R$5,$N$5,0)</f>
        <v>-2.8578691918322192E-3</v>
      </c>
      <c r="W65" s="1" cm="1">
        <f t="array" ref="W65">OptionTheta("C",12.3,$N65,W$60,$R$5,$N$5,0)</f>
        <v>-2.7185631989468978E-3</v>
      </c>
      <c r="X65" s="1" cm="1">
        <f t="array" ref="X65">OptionTheta("C",12.3,$N65,X$60,$R$5,$N$5,0)</f>
        <v>-2.5997549548999136E-3</v>
      </c>
    </row>
    <row r="66" spans="2:24" x14ac:dyDescent="0.3">
      <c r="B66" s="3">
        <v>45309</v>
      </c>
      <c r="C66">
        <v>13.18</v>
      </c>
      <c r="D66">
        <v>13.34</v>
      </c>
      <c r="E66">
        <v>12.904999999999999</v>
      </c>
      <c r="F66">
        <v>13.08</v>
      </c>
      <c r="G66">
        <v>13.08</v>
      </c>
      <c r="H66">
        <v>915693</v>
      </c>
      <c r="J66">
        <f t="shared" si="0"/>
        <v>-3.039288361749445E-2</v>
      </c>
      <c r="N66" s="4">
        <f t="shared" si="20"/>
        <v>12.5</v>
      </c>
      <c r="O66" s="1" cm="1">
        <f t="array" ref="O66">OptionTheta("C",12.3,$N66,O$60,$R$5,$N$5,0)</f>
        <v>-7.1661820248386642E-3</v>
      </c>
      <c r="P66" s="1" cm="1">
        <f t="array" ref="P66">OptionTheta("C",12.3,$N66,P$60,$R$5,$N$5,0)</f>
        <v>-5.2688808837724876E-3</v>
      </c>
      <c r="Q66" s="1" cm="1">
        <f t="array" ref="Q66">OptionTheta("C",12.3,$N66,Q$60,$R$5,$N$5,0)</f>
        <v>-4.4117346698293557E-3</v>
      </c>
      <c r="R66" s="1" cm="1">
        <f t="array" ref="R66">OptionTheta("C",12.3,$N66,R$60,$R$5,$N$5,0)</f>
        <v>-3.8948469440919183E-3</v>
      </c>
      <c r="S66" s="1" cm="1">
        <f t="array" ref="S66">OptionTheta("C",12.3,$N66,S$60,$R$5,$N$5,0)</f>
        <v>-3.5387948194551579E-3</v>
      </c>
      <c r="T66" s="1" cm="1">
        <f t="array" ref="T66">OptionTheta("C",12.3,$N66,T$60,$R$5,$N$5,0)</f>
        <v>-3.2737358261440115E-3</v>
      </c>
      <c r="U66" s="1" cm="1">
        <f t="array" ref="U66">OptionTheta("C",12.3,$N66,U$60,$R$5,$N$5,0)</f>
        <v>-3.0660714684052838E-3</v>
      </c>
      <c r="V66" s="1" cm="1">
        <f t="array" ref="V66">OptionTheta("C",12.3,$N66,V$60,$R$5,$N$5,0)</f>
        <v>-2.8973677779195019E-3</v>
      </c>
      <c r="W66" s="1" cm="1">
        <f t="array" ref="W66">OptionTheta("C",12.3,$N66,W$60,$R$5,$N$5,0)</f>
        <v>-2.7565533865241245E-3</v>
      </c>
      <c r="X66" s="1" cm="1">
        <f t="array" ref="X66">OptionTheta("C",12.3,$N66,X$60,$R$5,$N$5,0)</f>
        <v>-2.6365227877644384E-3</v>
      </c>
    </row>
    <row r="67" spans="2:24" x14ac:dyDescent="0.3">
      <c r="B67" s="3">
        <v>45310</v>
      </c>
      <c r="C67">
        <v>13.12</v>
      </c>
      <c r="D67">
        <v>13.22</v>
      </c>
      <c r="E67">
        <v>13</v>
      </c>
      <c r="F67">
        <v>13.055</v>
      </c>
      <c r="G67">
        <v>13.055</v>
      </c>
      <c r="H67">
        <v>472063</v>
      </c>
      <c r="J67">
        <f t="shared" si="0"/>
        <v>-1.9113149847095072E-3</v>
      </c>
      <c r="N67" s="4">
        <f t="shared" si="20"/>
        <v>13</v>
      </c>
      <c r="O67" s="1" cm="1">
        <f t="array" ref="O67">OptionTheta("C",12.3,$N67,O$60,$R$5,$N$5,0)</f>
        <v>-6.3014321580708733E-3</v>
      </c>
      <c r="P67" s="1" cm="1">
        <f t="array" ref="P67">OptionTheta("C",12.3,$N67,P$60,$R$5,$N$5,0)</f>
        <v>-4.9737792832760218E-3</v>
      </c>
      <c r="Q67" s="1" cm="1">
        <f t="array" ref="Q67">OptionTheta("C",12.3,$N67,Q$60,$R$5,$N$5,0)</f>
        <v>-4.2644392310171092E-3</v>
      </c>
      <c r="R67" s="1" cm="1">
        <f t="array" ref="R67">OptionTheta("C",12.3,$N67,R$60,$R$5,$N$5,0)</f>
        <v>-3.8099852061700282E-3</v>
      </c>
      <c r="S67" s="1" cm="1">
        <f t="array" ref="S67">OptionTheta("C",12.3,$N67,S$60,$R$5,$N$5,0)</f>
        <v>-3.4868342576958207E-3</v>
      </c>
      <c r="T67" s="1" cm="1">
        <f t="array" ref="T67">OptionTheta("C",12.3,$N67,T$60,$R$5,$N$5,0)</f>
        <v>-3.2414833988733908E-3</v>
      </c>
      <c r="U67" s="1" cm="1">
        <f t="array" ref="U67">OptionTheta("C",12.3,$N67,U$60,$R$5,$N$5,0)</f>
        <v>-3.0466566235686408E-3</v>
      </c>
      <c r="V67" s="1" cm="1">
        <f t="array" ref="V67">OptionTheta("C",12.3,$N67,V$60,$R$5,$N$5,0)</f>
        <v>-2.886824092830653E-3</v>
      </c>
      <c r="W67" s="1" cm="1">
        <f t="array" ref="W67">OptionTheta("C",12.3,$N67,W$60,$R$5,$N$5,0)</f>
        <v>-2.7524143962163517E-3</v>
      </c>
      <c r="X67" s="1" cm="1">
        <f t="array" ref="X67">OptionTheta("C",12.3,$N67,X$60,$R$5,$N$5,0)</f>
        <v>-2.6371660801744446E-3</v>
      </c>
    </row>
    <row r="68" spans="2:24" x14ac:dyDescent="0.3">
      <c r="B68" s="3">
        <v>45313</v>
      </c>
      <c r="C68">
        <v>13.14</v>
      </c>
      <c r="D68">
        <v>13.41</v>
      </c>
      <c r="E68">
        <v>13.14</v>
      </c>
      <c r="F68">
        <v>13.275</v>
      </c>
      <c r="G68">
        <v>13.275</v>
      </c>
      <c r="H68">
        <v>315362</v>
      </c>
      <c r="J68">
        <f t="shared" si="0"/>
        <v>1.6851780926848001E-2</v>
      </c>
      <c r="N68" s="4">
        <f t="shared" si="20"/>
        <v>13.5</v>
      </c>
      <c r="O68" s="1" cm="1">
        <f t="array" ref="O68">OptionTheta("C",12.3,$N68,O$60,$R$5,$N$5,0)</f>
        <v>-4.8206308099390319E-3</v>
      </c>
      <c r="P68" s="1" cm="1">
        <f t="array" ref="P68">OptionTheta("C",12.3,$N68,P$60,$R$5,$N$5,0)</f>
        <v>-4.3867610903649676E-3</v>
      </c>
      <c r="Q68" s="1" cm="1">
        <f t="array" ref="Q68">OptionTheta("C",12.3,$N68,Q$60,$R$5,$N$5,0)</f>
        <v>-3.9426009148036366E-3</v>
      </c>
      <c r="R68" s="1" cm="1">
        <f t="array" ref="R68">OptionTheta("C",12.3,$N68,R$60,$R$5,$N$5,0)</f>
        <v>-3.6062027617000461E-3</v>
      </c>
      <c r="S68" s="1" cm="1">
        <f t="array" ref="S68">OptionTheta("C",12.3,$N68,S$60,$R$5,$N$5,0)</f>
        <v>-3.3472049759909798E-3</v>
      </c>
      <c r="T68" s="1" cm="1">
        <f t="array" ref="T68">OptionTheta("C",12.3,$N68,T$60,$R$5,$N$5,0)</f>
        <v>-3.1411287512538304E-3</v>
      </c>
      <c r="U68" s="1" cm="1">
        <f t="array" ref="U68">OptionTheta("C",12.3,$N68,U$60,$R$5,$N$5,0)</f>
        <v>-2.9723344284811716E-3</v>
      </c>
      <c r="V68" s="1" cm="1">
        <f t="array" ref="V68">OptionTheta("C",12.3,$N68,V$60,$R$5,$N$5,0)</f>
        <v>-2.8307651687838574E-3</v>
      </c>
      <c r="W68" s="1" cm="1">
        <f t="array" ref="W68">OptionTheta("C",12.3,$N68,W$60,$R$5,$N$5,0)</f>
        <v>-2.7097256364273081E-3</v>
      </c>
      <c r="X68" s="1" cm="1">
        <f t="array" ref="X68">OptionTheta("C",12.3,$N68,X$60,$R$5,$N$5,0)</f>
        <v>-2.6045946803903209E-3</v>
      </c>
    </row>
    <row r="69" spans="2:24" x14ac:dyDescent="0.3">
      <c r="B69" s="3">
        <v>45314</v>
      </c>
      <c r="C69">
        <v>13.28</v>
      </c>
      <c r="D69">
        <v>13.404999999999999</v>
      </c>
      <c r="E69">
        <v>13.17</v>
      </c>
      <c r="F69">
        <v>13.395</v>
      </c>
      <c r="G69">
        <v>13.395</v>
      </c>
      <c r="H69">
        <v>372372</v>
      </c>
      <c r="J69">
        <f t="shared" si="0"/>
        <v>9.0395480225988114E-3</v>
      </c>
    </row>
    <row r="70" spans="2:24" x14ac:dyDescent="0.3">
      <c r="B70" s="3">
        <v>45315</v>
      </c>
      <c r="C70">
        <v>13.51</v>
      </c>
      <c r="D70">
        <v>13.705</v>
      </c>
      <c r="E70">
        <v>13.51</v>
      </c>
      <c r="F70">
        <v>13.705</v>
      </c>
      <c r="G70">
        <v>13.705</v>
      </c>
      <c r="H70">
        <v>385227</v>
      </c>
      <c r="J70">
        <f t="shared" ref="J70:J71" si="21">(G70-G69)/G69</f>
        <v>2.3142963792459909E-2</v>
      </c>
    </row>
    <row r="71" spans="2:24" x14ac:dyDescent="0.3">
      <c r="B71" s="3">
        <v>45316</v>
      </c>
      <c r="C71">
        <v>13.68</v>
      </c>
      <c r="D71">
        <v>13.81</v>
      </c>
      <c r="E71">
        <v>13.645</v>
      </c>
      <c r="F71">
        <v>13.695</v>
      </c>
      <c r="G71">
        <v>13.695</v>
      </c>
      <c r="H71">
        <v>244339</v>
      </c>
      <c r="J71">
        <f t="shared" si="21"/>
        <v>-7.2966070777087102E-4</v>
      </c>
      <c r="R71" s="8" t="s">
        <v>52</v>
      </c>
      <c r="S71" s="8"/>
      <c r="T71" s="8"/>
    </row>
    <row r="72" spans="2:24" x14ac:dyDescent="0.3">
      <c r="B72" s="3">
        <v>45317</v>
      </c>
      <c r="C72">
        <v>13.385</v>
      </c>
      <c r="D72">
        <v>13.5</v>
      </c>
      <c r="E72">
        <v>12.97</v>
      </c>
      <c r="F72">
        <v>13.335000000000001</v>
      </c>
      <c r="G72">
        <v>13.335000000000001</v>
      </c>
      <c r="H72">
        <v>590751</v>
      </c>
      <c r="J72">
        <f>(G72-G71)/G71</f>
        <v>-2.6286966046002148E-2</v>
      </c>
      <c r="M72" t="s">
        <v>56</v>
      </c>
      <c r="O72" s="5">
        <v>0.1</v>
      </c>
      <c r="P72" s="4">
        <f>O72+0.1</f>
        <v>0.2</v>
      </c>
      <c r="Q72" s="4">
        <f t="shared" ref="Q72:W72" si="22">P72+0.1</f>
        <v>0.30000000000000004</v>
      </c>
      <c r="R72" s="4">
        <f t="shared" si="22"/>
        <v>0.4</v>
      </c>
      <c r="S72" s="4">
        <f t="shared" si="22"/>
        <v>0.5</v>
      </c>
      <c r="T72" s="4">
        <f t="shared" si="22"/>
        <v>0.6</v>
      </c>
      <c r="U72" s="4">
        <f t="shared" si="22"/>
        <v>0.7</v>
      </c>
      <c r="V72" s="4">
        <f t="shared" si="22"/>
        <v>0.79999999999999993</v>
      </c>
      <c r="W72" s="4">
        <f t="shared" si="22"/>
        <v>0.89999999999999991</v>
      </c>
      <c r="X72" s="4">
        <f>W72+0.1</f>
        <v>0.99999999999999989</v>
      </c>
    </row>
    <row r="73" spans="2:24" x14ac:dyDescent="0.3">
      <c r="B73" s="3">
        <v>45320</v>
      </c>
      <c r="C73">
        <v>13.27</v>
      </c>
      <c r="D73">
        <v>13.38</v>
      </c>
      <c r="E73">
        <v>13.095000000000001</v>
      </c>
      <c r="F73">
        <v>13.335000000000001</v>
      </c>
      <c r="G73">
        <v>13.335000000000001</v>
      </c>
      <c r="H73">
        <v>296891</v>
      </c>
      <c r="J73">
        <f t="shared" ref="J73:J130" si="23">(G73-G72)/G72</f>
        <v>0</v>
      </c>
      <c r="N73" s="7">
        <v>10</v>
      </c>
      <c r="O73" s="1" cm="1">
        <f t="array" ref="O73">OptionRho("C",12.3,$N73,O$72,$R$5,$N$5,0)</f>
        <v>9.7809893326081723E-3</v>
      </c>
      <c r="P73" s="1" cm="1">
        <f t="array" ref="P73">OptionRho("C",12.3,$N73,P$72,$R$5,$N$5,0)</f>
        <v>1.8452643061906446E-2</v>
      </c>
      <c r="Q73" s="1" cm="1">
        <f t="array" ref="Q73">OptionRho("C",12.3,$N73,Q$72,$R$5,$N$5,0)</f>
        <v>2.6231014864901297E-2</v>
      </c>
      <c r="R73" s="1" cm="1">
        <f t="array" ref="R73">OptionRho("C",12.3,$N73,R$72,$R$5,$N$5,0)</f>
        <v>3.3444360685645554E-2</v>
      </c>
      <c r="S73" s="1" cm="1">
        <f t="array" ref="S73">OptionRho("C",12.3,$N73,S$72,$R$5,$N$5,0)</f>
        <v>4.0266367472584316E-2</v>
      </c>
      <c r="T73" s="1" cm="1">
        <f t="array" ref="T73">OptionRho("C",12.3,$N73,T$72,$R$5,$N$5,0)</f>
        <v>4.6794863254818173E-2</v>
      </c>
      <c r="U73" s="1" cm="1">
        <f t="array" ref="U73">OptionRho("C",12.3,$N73,U$72,$R$5,$N$5,0)</f>
        <v>5.3090127097854642E-2</v>
      </c>
      <c r="V73" s="1" cm="1">
        <f t="array" ref="V73">OptionRho("C",12.3,$N73,V$72,$R$5,$N$5,0)</f>
        <v>5.9192079891792676E-2</v>
      </c>
      <c r="W73" s="1" cm="1">
        <f t="array" ref="W73">OptionRho("C",12.3,$N73,W$72,$R$5,$N$5,0)</f>
        <v>6.5128682050470024E-2</v>
      </c>
      <c r="X73" s="1" cm="1">
        <f t="array" ref="X73">OptionRho("C",12.3,$N73,X$72,$R$5,$N$5,0)</f>
        <v>7.0920398063900991E-2</v>
      </c>
    </row>
    <row r="74" spans="2:24" x14ac:dyDescent="0.3">
      <c r="B74" s="3">
        <v>45321</v>
      </c>
      <c r="C74">
        <v>13.32</v>
      </c>
      <c r="D74">
        <v>13.5</v>
      </c>
      <c r="E74">
        <v>13.3</v>
      </c>
      <c r="F74">
        <v>13.3</v>
      </c>
      <c r="G74">
        <v>13.3</v>
      </c>
      <c r="H74">
        <v>340477</v>
      </c>
      <c r="J74">
        <f t="shared" si="23"/>
        <v>-2.6246719160105091E-3</v>
      </c>
      <c r="N74" s="4">
        <f>N73+0.5</f>
        <v>10.5</v>
      </c>
      <c r="O74" s="1" cm="1">
        <f t="array" ref="O74">OptionRho("C",12.3,$N74,O$72,$R$5,$N$5,0)</f>
        <v>9.8848997427448716E-3</v>
      </c>
      <c r="P74" s="1" cm="1">
        <f t="array" ref="P74">OptionRho("C",12.3,$N74,P$72,$R$5,$N$5,0)</f>
        <v>1.8117320681450604E-2</v>
      </c>
      <c r="Q74" s="1" cm="1">
        <f t="array" ref="Q74">OptionRho("C",12.3,$N74,Q$72,$R$5,$N$5,0)</f>
        <v>2.5503639132456849E-2</v>
      </c>
      <c r="R74" s="1" cm="1">
        <f t="array" ref="R74">OptionRho("C",12.3,$N74,R$72,$R$5,$N$5,0)</f>
        <v>3.2411525125494396E-2</v>
      </c>
      <c r="S74" s="1" cm="1">
        <f t="array" ref="S74">OptionRho("C",12.3,$N74,S$72,$R$5,$N$5,0)</f>
        <v>3.8996991599390511E-2</v>
      </c>
      <c r="T74" s="1" cm="1">
        <f t="array" ref="T74">OptionRho("C",12.3,$N74,T$72,$R$5,$N$5,0)</f>
        <v>4.5341231867208953E-2</v>
      </c>
      <c r="U74" s="1" cm="1">
        <f t="array" ref="U74">OptionRho("C",12.3,$N74,U$72,$R$5,$N$5,0)</f>
        <v>5.1492514024403559E-2</v>
      </c>
      <c r="V74" s="1" cm="1">
        <f t="array" ref="V74">OptionRho("C",12.3,$N74,V$72,$R$5,$N$5,0)</f>
        <v>5.7482247243541194E-2</v>
      </c>
      <c r="W74" s="1" cm="1">
        <f t="array" ref="W74">OptionRho("C",12.3,$N74,W$72,$R$5,$N$5,0)</f>
        <v>6.3332244613771682E-2</v>
      </c>
      <c r="X74" s="1" cm="1">
        <f t="array" ref="X74">OptionRho("C",12.3,$N74,X$72,$R$5,$N$5,0)</f>
        <v>6.905841644343981E-2</v>
      </c>
    </row>
    <row r="75" spans="2:24" x14ac:dyDescent="0.3">
      <c r="B75" s="3">
        <v>45322</v>
      </c>
      <c r="C75">
        <v>13.27</v>
      </c>
      <c r="D75">
        <v>13.385</v>
      </c>
      <c r="E75">
        <v>13.19</v>
      </c>
      <c r="F75">
        <v>13.32</v>
      </c>
      <c r="G75">
        <v>13.32</v>
      </c>
      <c r="H75">
        <v>436424</v>
      </c>
      <c r="J75">
        <f t="shared" si="23"/>
        <v>1.5037593984962084E-3</v>
      </c>
      <c r="N75" s="4">
        <f t="shared" ref="N75:N80" si="24">N74+0.5</f>
        <v>11</v>
      </c>
      <c r="O75" s="1" cm="1">
        <f t="array" ref="O75">OptionRho("C",12.3,$N75,O$72,$R$5,$N$5,0)</f>
        <v>9.5320897250997585E-3</v>
      </c>
      <c r="P75" s="1" cm="1">
        <f t="array" ref="P75">OptionRho("C",12.3,$N75,P$72,$R$5,$N$5,0)</f>
        <v>1.713793924741262E-2</v>
      </c>
      <c r="Q75" s="1" cm="1">
        <f t="array" ref="Q75">OptionRho("C",12.3,$N75,Q$72,$R$5,$N$5,0)</f>
        <v>2.4091305135977417E-2</v>
      </c>
      <c r="R75" s="1" cm="1">
        <f t="array" ref="R75">OptionRho("C",12.3,$N75,R$72,$R$5,$N$5,0)</f>
        <v>3.0687332643824977E-2</v>
      </c>
      <c r="S75" s="1" cm="1">
        <f t="array" ref="S75">OptionRho("C",12.3,$N75,S$72,$R$5,$N$5,0)</f>
        <v>3.7039387809335883E-2</v>
      </c>
      <c r="T75" s="1" cm="1">
        <f t="array" ref="T75">OptionRho("C",12.3,$N75,T$72,$R$5,$N$5,0)</f>
        <v>4.3204965812569808E-2</v>
      </c>
      <c r="U75" s="1" cm="1">
        <f t="array" ref="U75">OptionRho("C",12.3,$N75,U$72,$R$5,$N$5,0)</f>
        <v>4.9218048342071143E-2</v>
      </c>
      <c r="V75" s="1" cm="1">
        <f t="array" ref="V75">OptionRho("C",12.3,$N75,V$72,$R$5,$N$5,0)</f>
        <v>5.5100784702385594E-2</v>
      </c>
      <c r="W75" s="1" cm="1">
        <f t="array" ref="W75">OptionRho("C",12.3,$N75,W$72,$R$5,$N$5,0)</f>
        <v>6.0868632873971019E-2</v>
      </c>
      <c r="X75" s="1" cm="1">
        <f t="array" ref="X75">OptionRho("C",12.3,$N75,X$72,$R$5,$N$5,0)</f>
        <v>6.6532940757875039E-2</v>
      </c>
    </row>
    <row r="76" spans="2:24" x14ac:dyDescent="0.3">
      <c r="B76" s="3">
        <v>45323</v>
      </c>
      <c r="C76">
        <v>13.35</v>
      </c>
      <c r="D76">
        <v>13.55</v>
      </c>
      <c r="E76">
        <v>13.33</v>
      </c>
      <c r="F76">
        <v>13.34</v>
      </c>
      <c r="G76">
        <v>13.34</v>
      </c>
      <c r="H76">
        <v>374868</v>
      </c>
      <c r="J76">
        <f t="shared" si="23"/>
        <v>1.5015015015014694E-3</v>
      </c>
      <c r="M76" t="s">
        <v>53</v>
      </c>
      <c r="N76" s="4">
        <f t="shared" si="24"/>
        <v>11.5</v>
      </c>
      <c r="O76" s="1" cm="1">
        <f t="array" ref="O76">OptionRho("C",12.3,$N76,O$72,$R$5,$N$5,0)</f>
        <v>8.5902850017710638E-3</v>
      </c>
      <c r="P76" s="1" cm="1">
        <f t="array" ref="P76">OptionRho("C",12.3,$N76,P$72,$R$5,$N$5,0)</f>
        <v>1.5536927232110347E-2</v>
      </c>
      <c r="Q76" s="1" cm="1">
        <f t="array" ref="Q76">OptionRho("C",12.3,$N76,Q$72,$R$5,$N$5,0)</f>
        <v>2.2074191091427203E-2</v>
      </c>
      <c r="R76" s="1" cm="1">
        <f t="array" ref="R76">OptionRho("C",12.3,$N76,R$72,$R$5,$N$5,0)</f>
        <v>2.837574380269162E-2</v>
      </c>
      <c r="S76" s="1" cm="1">
        <f t="array" ref="S76">OptionRho("C",12.3,$N76,S$72,$R$5,$N$5,0)</f>
        <v>3.4507906005251734E-2</v>
      </c>
      <c r="T76" s="1" cm="1">
        <f t="array" ref="T76">OptionRho("C",12.3,$N76,T$72,$R$5,$N$5,0)</f>
        <v>4.0504779799028175E-2</v>
      </c>
      <c r="U76" s="1" cm="1">
        <f t="array" ref="U76">OptionRho("C",12.3,$N76,U$72,$R$5,$N$5,0)</f>
        <v>4.6386847640612718E-2</v>
      </c>
      <c r="V76" s="1" cm="1">
        <f t="array" ref="V76">OptionRho("C",12.3,$N76,V$72,$R$5,$N$5,0)</f>
        <v>5.2167673650680577E-2</v>
      </c>
      <c r="W76" s="1" cm="1">
        <f t="array" ref="W76">OptionRho("C",12.3,$N76,W$72,$R$5,$N$5,0)</f>
        <v>5.7856869793572817E-2</v>
      </c>
      <c r="X76" s="1" cm="1">
        <f t="array" ref="X76">OptionRho("C",12.3,$N76,X$72,$R$5,$N$5,0)</f>
        <v>6.3461596618948193E-2</v>
      </c>
    </row>
    <row r="77" spans="2:24" x14ac:dyDescent="0.3">
      <c r="B77" s="3">
        <v>45324</v>
      </c>
      <c r="C77">
        <v>13.46</v>
      </c>
      <c r="D77">
        <v>13.59</v>
      </c>
      <c r="E77">
        <v>13.324999999999999</v>
      </c>
      <c r="F77">
        <v>13.41</v>
      </c>
      <c r="G77">
        <v>13.41</v>
      </c>
      <c r="H77">
        <v>452847</v>
      </c>
      <c r="J77">
        <f t="shared" si="23"/>
        <v>5.2473763118440989E-3</v>
      </c>
      <c r="N77" s="4">
        <f t="shared" si="24"/>
        <v>12</v>
      </c>
      <c r="O77" s="1" cm="1">
        <f t="array" ref="O77">OptionRho("C",12.3,$N77,O$72,$R$5,$N$5,0)</f>
        <v>7.1171122800586456E-3</v>
      </c>
      <c r="P77" s="1" cm="1">
        <f t="array" ref="P77">OptionRho("C",12.3,$N77,P$72,$R$5,$N$5,0)</f>
        <v>1.3457846403624027E-2</v>
      </c>
      <c r="Q77" s="1" cm="1">
        <f t="array" ref="Q77">OptionRho("C",12.3,$N77,Q$72,$R$5,$N$5,0)</f>
        <v>1.9608126391499676E-2</v>
      </c>
      <c r="R77" s="1" cm="1">
        <f t="array" ref="R77">OptionRho("C",12.3,$N77,R$72,$R$5,$N$5,0)</f>
        <v>2.5630947345677221E-2</v>
      </c>
      <c r="S77" s="1" cm="1">
        <f t="array" ref="S77">OptionRho("C",12.3,$N77,S$72,$R$5,$N$5,0)</f>
        <v>3.1551784009611013E-2</v>
      </c>
      <c r="T77" s="1" cm="1">
        <f t="array" ref="T77">OptionRho("C",12.3,$N77,T$72,$R$5,$N$5,0)</f>
        <v>3.7384339541584599E-2</v>
      </c>
      <c r="U77" s="1" cm="1">
        <f t="array" ref="U77">OptionRho("C",12.3,$N77,U$72,$R$5,$N$5,0)</f>
        <v>4.3137177386837637E-2</v>
      </c>
      <c r="V77" s="1" cm="1">
        <f t="array" ref="V77">OptionRho("C",12.3,$N77,V$72,$R$5,$N$5,0)</f>
        <v>4.8816181222706333E-2</v>
      </c>
      <c r="W77" s="1" cm="1">
        <f t="array" ref="W77">OptionRho("C",12.3,$N77,W$72,$R$5,$N$5,0)</f>
        <v>5.4425669265804506E-2</v>
      </c>
      <c r="X77" s="1" cm="1">
        <f t="array" ref="X77">OptionRho("C",12.3,$N77,X$72,$R$5,$N$5,0)</f>
        <v>5.9968969147118481E-2</v>
      </c>
    </row>
    <row r="78" spans="2:24" x14ac:dyDescent="0.3">
      <c r="B78" s="3">
        <v>45327</v>
      </c>
      <c r="C78">
        <v>13.4</v>
      </c>
      <c r="D78">
        <v>13.585000000000001</v>
      </c>
      <c r="E78">
        <v>13.4</v>
      </c>
      <c r="F78">
        <v>13.545</v>
      </c>
      <c r="G78">
        <v>13.545</v>
      </c>
      <c r="H78">
        <v>344926</v>
      </c>
      <c r="J78">
        <f t="shared" si="23"/>
        <v>1.0067114093959715E-2</v>
      </c>
      <c r="N78" s="4">
        <f t="shared" si="24"/>
        <v>12.5</v>
      </c>
      <c r="O78" s="1" cm="1">
        <f t="array" ref="O78">OptionRho("C",12.3,$N78,O$72,$R$5,$N$5,0)</f>
        <v>5.3679455380049364E-3</v>
      </c>
      <c r="P78" s="1" cm="1">
        <f t="array" ref="P78">OptionRho("C",12.3,$N78,P$72,$R$5,$N$5,0)</f>
        <v>1.1125234683325968E-2</v>
      </c>
      <c r="Q78" s="1" cm="1">
        <f t="array" ref="Q78">OptionRho("C",12.3,$N78,Q$72,$R$5,$N$5,0)</f>
        <v>1.6890684207436887E-2</v>
      </c>
      <c r="R78" s="1" cm="1">
        <f t="array" ref="R78">OptionRho("C",12.3,$N78,R$72,$R$5,$N$5,0)</f>
        <v>2.2630986115689571E-2</v>
      </c>
      <c r="S78" s="1" cm="1">
        <f t="array" ref="S78">OptionRho("C",12.3,$N78,S$72,$R$5,$N$5,0)</f>
        <v>2.8334429741150066E-2</v>
      </c>
      <c r="T78" s="1" cm="1">
        <f t="array" ref="T78">OptionRho("C",12.3,$N78,T$72,$R$5,$N$5,0)</f>
        <v>3.3995647071012103E-2</v>
      </c>
      <c r="U78" s="1" cm="1">
        <f t="array" ref="U78">OptionRho("C",12.3,$N78,U$72,$R$5,$N$5,0)</f>
        <v>3.9611860293209913E-2</v>
      </c>
      <c r="V78" s="1" cm="1">
        <f t="array" ref="V78">OptionRho("C",12.3,$N78,V$72,$R$5,$N$5,0)</f>
        <v>4.5181552313699989E-2</v>
      </c>
      <c r="W78" s="1" cm="1">
        <f t="array" ref="W78">OptionRho("C",12.3,$N78,W$72,$R$5,$N$5,0)</f>
        <v>5.0703891778227463E-2</v>
      </c>
      <c r="X78" s="1" cm="1">
        <f t="array" ref="X78">OptionRho("C",12.3,$N78,X$72,$R$5,$N$5,0)</f>
        <v>5.6178450062090823E-2</v>
      </c>
    </row>
    <row r="79" spans="2:24" x14ac:dyDescent="0.3">
      <c r="B79" s="3">
        <v>45328</v>
      </c>
      <c r="C79">
        <v>13.525</v>
      </c>
      <c r="D79">
        <v>13.66</v>
      </c>
      <c r="E79">
        <v>13.5</v>
      </c>
      <c r="F79">
        <v>13.645</v>
      </c>
      <c r="G79">
        <v>13.645</v>
      </c>
      <c r="H79">
        <v>515510</v>
      </c>
      <c r="J79">
        <f t="shared" si="23"/>
        <v>7.3827980804724727E-3</v>
      </c>
      <c r="N79" s="4">
        <f t="shared" si="24"/>
        <v>13</v>
      </c>
      <c r="O79" s="1" cm="1">
        <f t="array" ref="O79">OptionRho("C",12.3,$N79,O$72,$R$5,$N$5,0)</f>
        <v>3.6719962059751474E-3</v>
      </c>
      <c r="P79" s="1" cm="1">
        <f t="array" ref="P79">OptionRho("C",12.3,$N79,P$72,$R$5,$N$5,0)</f>
        <v>8.7811567154126979E-3</v>
      </c>
      <c r="Q79" s="1" cm="1">
        <f t="array" ref="Q79">OptionRho("C",12.3,$N79,Q$72,$R$5,$N$5,0)</f>
        <v>1.4122842491538017E-2</v>
      </c>
      <c r="R79" s="1" cm="1">
        <f t="array" ref="R79">OptionRho("C",12.3,$N79,R$72,$R$5,$N$5,0)</f>
        <v>1.9551837288106364E-2</v>
      </c>
      <c r="S79" s="1" cm="1">
        <f t="array" ref="S79">OptionRho("C",12.3,$N79,S$72,$R$5,$N$5,0)</f>
        <v>2.5014609282378312E-2</v>
      </c>
      <c r="T79" s="1" cm="1">
        <f t="array" ref="T79">OptionRho("C",12.3,$N79,T$72,$R$5,$N$5,0)</f>
        <v>3.04847161891173E-2</v>
      </c>
      <c r="U79" s="1" cm="1">
        <f t="array" ref="U79">OptionRho("C",12.3,$N79,U$72,$R$5,$N$5,0)</f>
        <v>3.5946987333268517E-2</v>
      </c>
      <c r="V79" s="1" cm="1">
        <f t="array" ref="V79">OptionRho("C",12.3,$N79,V$72,$R$5,$N$5,0)</f>
        <v>4.1391881423521293E-2</v>
      </c>
      <c r="W79" s="1" cm="1">
        <f t="array" ref="W79">OptionRho("C",12.3,$N79,W$72,$R$5,$N$5,0)</f>
        <v>4.6813015742793541E-2</v>
      </c>
      <c r="X79" s="1" cm="1">
        <f t="array" ref="X79">OptionRho("C",12.3,$N79,X$72,$R$5,$N$5,0)</f>
        <v>5.220593015249872E-2</v>
      </c>
    </row>
    <row r="80" spans="2:24" x14ac:dyDescent="0.3">
      <c r="B80" s="3">
        <v>45329</v>
      </c>
      <c r="C80">
        <v>14.7</v>
      </c>
      <c r="D80">
        <v>15.26</v>
      </c>
      <c r="E80">
        <v>14.185</v>
      </c>
      <c r="F80">
        <v>14.385</v>
      </c>
      <c r="G80">
        <v>14.385</v>
      </c>
      <c r="H80">
        <v>2164910</v>
      </c>
      <c r="J80">
        <f t="shared" si="23"/>
        <v>5.4232319530963739E-2</v>
      </c>
      <c r="N80" s="4">
        <f t="shared" si="24"/>
        <v>13.5</v>
      </c>
      <c r="O80" s="1" cm="1">
        <f t="array" ref="O80">OptionRho("C",12.3,$N80,O$72,$R$5,$N$5,0)</f>
        <v>2.2799086469175202E-3</v>
      </c>
      <c r="P80" s="1" cm="1">
        <f t="array" ref="P80">OptionRho("C",12.3,$N80,P$72,$R$5,$N$5,0)</f>
        <v>6.6275573686005356E-3</v>
      </c>
      <c r="Q80" s="1" cm="1">
        <f t="array" ref="Q80">OptionRho("C",12.3,$N80,Q$72,$R$5,$N$5,0)</f>
        <v>1.1477437212841323E-2</v>
      </c>
      <c r="R80" s="1" cm="1">
        <f t="array" ref="R80">OptionRho("C",12.3,$N80,R$72,$R$5,$N$5,0)</f>
        <v>1.6547151747697851E-2</v>
      </c>
      <c r="S80" s="1" cm="1">
        <f t="array" ref="S80">OptionRho("C",12.3,$N80,S$72,$R$5,$N$5,0)</f>
        <v>2.1732216472968847E-2</v>
      </c>
      <c r="T80" s="1" cm="1">
        <f t="array" ref="T80">OptionRho("C",12.3,$N80,T$72,$R$5,$N$5,0)</f>
        <v>2.6980991152725321E-2</v>
      </c>
      <c r="U80" s="1" cm="1">
        <f t="array" ref="U80">OptionRho("C",12.3,$N80,U$72,$R$5,$N$5,0)</f>
        <v>3.2263734237171139E-2</v>
      </c>
      <c r="V80" s="1" cm="1">
        <f t="array" ref="V80">OptionRho("C",12.3,$N80,V$72,$R$5,$N$5,0)</f>
        <v>3.7561599955392357E-2</v>
      </c>
      <c r="W80" s="1" cm="1">
        <f t="array" ref="W80">OptionRho("C",12.3,$N80,W$72,$R$5,$N$5,0)</f>
        <v>4.2861841324801524E-2</v>
      </c>
      <c r="X80" s="1" cm="1">
        <f t="array" ref="X80">OptionRho("C",12.3,$N80,X$72,$R$5,$N$5,0)</f>
        <v>4.8155419664162161E-2</v>
      </c>
    </row>
    <row r="81" spans="2:10" x14ac:dyDescent="0.3">
      <c r="B81" s="3">
        <v>45330</v>
      </c>
      <c r="C81">
        <v>14.494999999999999</v>
      </c>
      <c r="D81">
        <v>14.865</v>
      </c>
      <c r="E81">
        <v>14.494999999999999</v>
      </c>
      <c r="F81">
        <v>14.67</v>
      </c>
      <c r="G81">
        <v>14.67</v>
      </c>
      <c r="H81">
        <v>912940</v>
      </c>
      <c r="J81">
        <f t="shared" si="23"/>
        <v>1.9812304483837341E-2</v>
      </c>
    </row>
    <row r="82" spans="2:10" x14ac:dyDescent="0.3">
      <c r="B82" s="3">
        <v>45331</v>
      </c>
      <c r="C82">
        <v>14.66</v>
      </c>
      <c r="D82">
        <v>14.74</v>
      </c>
      <c r="E82">
        <v>14.315</v>
      </c>
      <c r="F82">
        <v>14.53</v>
      </c>
      <c r="G82">
        <v>14.53</v>
      </c>
      <c r="H82">
        <v>536343</v>
      </c>
      <c r="J82">
        <f t="shared" si="23"/>
        <v>-9.5432856169052876E-3</v>
      </c>
    </row>
    <row r="83" spans="2:10" x14ac:dyDescent="0.3">
      <c r="B83" s="3">
        <v>45334</v>
      </c>
      <c r="C83">
        <v>14.52</v>
      </c>
      <c r="D83">
        <v>14.775</v>
      </c>
      <c r="E83">
        <v>14.484999999999999</v>
      </c>
      <c r="F83">
        <v>14.664999999999999</v>
      </c>
      <c r="G83">
        <v>14.664999999999999</v>
      </c>
      <c r="H83">
        <v>456786</v>
      </c>
      <c r="J83">
        <f t="shared" si="23"/>
        <v>9.2911218169304741E-3</v>
      </c>
    </row>
    <row r="84" spans="2:10" x14ac:dyDescent="0.3">
      <c r="B84" s="3">
        <v>45335</v>
      </c>
      <c r="C84">
        <v>14.455</v>
      </c>
      <c r="D84">
        <v>14.67</v>
      </c>
      <c r="E84">
        <v>14.17</v>
      </c>
      <c r="F84">
        <v>14.4</v>
      </c>
      <c r="G84">
        <v>14.4</v>
      </c>
      <c r="H84">
        <v>626469</v>
      </c>
      <c r="J84">
        <f t="shared" si="23"/>
        <v>-1.8070235254006056E-2</v>
      </c>
    </row>
    <row r="85" spans="2:10" x14ac:dyDescent="0.3">
      <c r="B85" s="3">
        <v>45336</v>
      </c>
      <c r="C85">
        <v>14.404999999999999</v>
      </c>
      <c r="D85">
        <v>14.63</v>
      </c>
      <c r="E85">
        <v>14.404999999999999</v>
      </c>
      <c r="F85">
        <v>14.48</v>
      </c>
      <c r="G85">
        <v>14.48</v>
      </c>
      <c r="H85">
        <v>528654</v>
      </c>
      <c r="J85">
        <f t="shared" si="23"/>
        <v>5.5555555555555601E-3</v>
      </c>
    </row>
    <row r="86" spans="2:10" x14ac:dyDescent="0.3">
      <c r="B86" s="3">
        <v>45337</v>
      </c>
      <c r="C86">
        <v>14.635</v>
      </c>
      <c r="D86">
        <v>14.65</v>
      </c>
      <c r="E86">
        <v>14.24</v>
      </c>
      <c r="F86">
        <v>14.24</v>
      </c>
      <c r="G86">
        <v>14.24</v>
      </c>
      <c r="H86">
        <v>560864</v>
      </c>
      <c r="J86">
        <f t="shared" si="23"/>
        <v>-1.6574585635359129E-2</v>
      </c>
    </row>
    <row r="87" spans="2:10" x14ac:dyDescent="0.3">
      <c r="B87" s="3">
        <v>45338</v>
      </c>
      <c r="C87">
        <v>14.255000000000001</v>
      </c>
      <c r="D87">
        <v>14.295</v>
      </c>
      <c r="E87">
        <v>13.93</v>
      </c>
      <c r="F87">
        <v>13.955</v>
      </c>
      <c r="G87">
        <v>13.955</v>
      </c>
      <c r="H87">
        <v>574643</v>
      </c>
      <c r="J87">
        <f t="shared" si="23"/>
        <v>-2.0014044943820235E-2</v>
      </c>
    </row>
    <row r="88" spans="2:10" x14ac:dyDescent="0.3">
      <c r="B88" s="3">
        <v>45341</v>
      </c>
      <c r="C88">
        <v>13.87</v>
      </c>
      <c r="D88">
        <v>13.93</v>
      </c>
      <c r="E88">
        <v>13.585000000000001</v>
      </c>
      <c r="F88">
        <v>13.585000000000001</v>
      </c>
      <c r="G88">
        <v>13.585000000000001</v>
      </c>
      <c r="H88">
        <v>584719</v>
      </c>
      <c r="J88">
        <f t="shared" si="23"/>
        <v>-2.6513794338946559E-2</v>
      </c>
    </row>
    <row r="89" spans="2:10" x14ac:dyDescent="0.3">
      <c r="B89" s="3">
        <v>45342</v>
      </c>
      <c r="C89">
        <v>13.595000000000001</v>
      </c>
      <c r="D89">
        <v>13.605</v>
      </c>
      <c r="E89">
        <v>13.22</v>
      </c>
      <c r="F89">
        <v>13.22</v>
      </c>
      <c r="G89">
        <v>13.22</v>
      </c>
      <c r="H89">
        <v>676234</v>
      </c>
      <c r="J89">
        <f t="shared" si="23"/>
        <v>-2.6867868973132144E-2</v>
      </c>
    </row>
    <row r="90" spans="2:10" x14ac:dyDescent="0.3">
      <c r="B90" s="3">
        <v>45343</v>
      </c>
      <c r="C90">
        <v>13.25</v>
      </c>
      <c r="D90">
        <v>13.39</v>
      </c>
      <c r="E90">
        <v>13.18</v>
      </c>
      <c r="F90">
        <v>13.39</v>
      </c>
      <c r="G90">
        <v>13.39</v>
      </c>
      <c r="H90">
        <v>611838</v>
      </c>
      <c r="J90">
        <f t="shared" si="23"/>
        <v>1.2859304084720115E-2</v>
      </c>
    </row>
    <row r="91" spans="2:10" x14ac:dyDescent="0.3">
      <c r="B91" s="3">
        <v>45344</v>
      </c>
      <c r="C91">
        <v>13.5</v>
      </c>
      <c r="D91">
        <v>14.285</v>
      </c>
      <c r="E91">
        <v>13.5</v>
      </c>
      <c r="F91">
        <v>14.25</v>
      </c>
      <c r="G91">
        <v>14.25</v>
      </c>
      <c r="H91">
        <v>1155817</v>
      </c>
      <c r="J91">
        <f t="shared" si="23"/>
        <v>6.4227035100821464E-2</v>
      </c>
    </row>
    <row r="92" spans="2:10" x14ac:dyDescent="0.3">
      <c r="B92" s="3">
        <v>45345</v>
      </c>
      <c r="C92">
        <v>14.2</v>
      </c>
      <c r="D92">
        <v>14.484999999999999</v>
      </c>
      <c r="E92">
        <v>13.965</v>
      </c>
      <c r="F92">
        <v>14.33</v>
      </c>
      <c r="G92">
        <v>14.33</v>
      </c>
      <c r="H92">
        <v>789731</v>
      </c>
      <c r="J92">
        <f t="shared" si="23"/>
        <v>5.614035087719303E-3</v>
      </c>
    </row>
    <row r="93" spans="2:10" x14ac:dyDescent="0.3">
      <c r="B93" s="3">
        <v>45348</v>
      </c>
      <c r="C93">
        <v>14.3</v>
      </c>
      <c r="D93">
        <v>14.744999999999999</v>
      </c>
      <c r="E93">
        <v>14.3</v>
      </c>
      <c r="F93">
        <v>14.685</v>
      </c>
      <c r="G93">
        <v>14.685</v>
      </c>
      <c r="H93">
        <v>767069</v>
      </c>
      <c r="J93">
        <f t="shared" si="23"/>
        <v>2.4773203070481538E-2</v>
      </c>
    </row>
    <row r="94" spans="2:10" x14ac:dyDescent="0.3">
      <c r="B94" s="3">
        <v>45349</v>
      </c>
      <c r="C94">
        <v>14.74</v>
      </c>
      <c r="D94">
        <v>14.865</v>
      </c>
      <c r="E94">
        <v>14.66</v>
      </c>
      <c r="F94">
        <v>14.725</v>
      </c>
      <c r="G94">
        <v>14.725</v>
      </c>
      <c r="H94">
        <v>637481</v>
      </c>
      <c r="J94">
        <f t="shared" si="23"/>
        <v>2.7238678924071599E-3</v>
      </c>
    </row>
    <row r="95" spans="2:10" x14ac:dyDescent="0.3">
      <c r="B95" s="3">
        <v>45350</v>
      </c>
      <c r="C95">
        <v>14.71</v>
      </c>
      <c r="D95">
        <v>14.81</v>
      </c>
      <c r="E95">
        <v>14.545</v>
      </c>
      <c r="F95">
        <v>14.605</v>
      </c>
      <c r="G95">
        <v>14.605</v>
      </c>
      <c r="H95">
        <v>446860</v>
      </c>
      <c r="J95">
        <f t="shared" si="23"/>
        <v>-8.149405772495703E-3</v>
      </c>
    </row>
    <row r="96" spans="2:10" x14ac:dyDescent="0.3">
      <c r="B96" s="3">
        <v>45351</v>
      </c>
      <c r="C96">
        <v>14.645</v>
      </c>
      <c r="D96">
        <v>14.83</v>
      </c>
      <c r="E96">
        <v>14.57</v>
      </c>
      <c r="F96">
        <v>14.59</v>
      </c>
      <c r="G96">
        <v>14.59</v>
      </c>
      <c r="H96">
        <v>566468</v>
      </c>
      <c r="J96">
        <f t="shared" si="23"/>
        <v>-1.0270455323519731E-3</v>
      </c>
    </row>
    <row r="97" spans="2:10" x14ac:dyDescent="0.3">
      <c r="B97" s="3">
        <v>45352</v>
      </c>
      <c r="C97">
        <v>14.78</v>
      </c>
      <c r="D97">
        <v>14.785</v>
      </c>
      <c r="E97">
        <v>14.635</v>
      </c>
      <c r="F97">
        <v>14.75</v>
      </c>
      <c r="G97">
        <v>14.75</v>
      </c>
      <c r="H97">
        <v>374574</v>
      </c>
      <c r="J97">
        <f t="shared" si="23"/>
        <v>1.0966415352981504E-2</v>
      </c>
    </row>
    <row r="98" spans="2:10" x14ac:dyDescent="0.3">
      <c r="B98" s="3">
        <v>45355</v>
      </c>
      <c r="C98">
        <v>14.75</v>
      </c>
      <c r="D98">
        <v>14.88</v>
      </c>
      <c r="E98">
        <v>14.654999999999999</v>
      </c>
      <c r="F98">
        <v>14.654999999999999</v>
      </c>
      <c r="G98">
        <v>14.654999999999999</v>
      </c>
      <c r="H98">
        <v>308606</v>
      </c>
      <c r="J98">
        <f t="shared" si="23"/>
        <v>-6.4406779661017382E-3</v>
      </c>
    </row>
    <row r="99" spans="2:10" x14ac:dyDescent="0.3">
      <c r="B99" s="3">
        <v>45356</v>
      </c>
      <c r="C99">
        <v>14.58</v>
      </c>
      <c r="D99">
        <v>14.835000000000001</v>
      </c>
      <c r="E99">
        <v>14.48</v>
      </c>
      <c r="F99">
        <v>14.484999999999999</v>
      </c>
      <c r="G99">
        <v>14.484999999999999</v>
      </c>
      <c r="H99">
        <v>492359</v>
      </c>
      <c r="J99">
        <f t="shared" si="23"/>
        <v>-1.1600136472193786E-2</v>
      </c>
    </row>
    <row r="100" spans="2:10" x14ac:dyDescent="0.3">
      <c r="B100" s="3">
        <v>45357</v>
      </c>
      <c r="C100">
        <v>14.45</v>
      </c>
      <c r="D100">
        <v>14.53</v>
      </c>
      <c r="E100">
        <v>14.335000000000001</v>
      </c>
      <c r="F100">
        <v>14.46</v>
      </c>
      <c r="G100">
        <v>14.46</v>
      </c>
      <c r="H100">
        <v>319546</v>
      </c>
      <c r="J100">
        <f t="shared" si="23"/>
        <v>-1.7259233690023182E-3</v>
      </c>
    </row>
    <row r="101" spans="2:10" x14ac:dyDescent="0.3">
      <c r="B101" s="3">
        <v>45358</v>
      </c>
      <c r="C101">
        <v>14.375</v>
      </c>
      <c r="D101">
        <v>14.705</v>
      </c>
      <c r="E101">
        <v>14.324999999999999</v>
      </c>
      <c r="F101">
        <v>14.65</v>
      </c>
      <c r="G101">
        <v>14.65</v>
      </c>
      <c r="H101">
        <v>403013</v>
      </c>
      <c r="J101">
        <f t="shared" si="23"/>
        <v>1.3139695712309786E-2</v>
      </c>
    </row>
    <row r="102" spans="2:10" x14ac:dyDescent="0.3">
      <c r="B102" s="3">
        <v>45359</v>
      </c>
      <c r="C102">
        <v>14.625</v>
      </c>
      <c r="D102">
        <v>14.685</v>
      </c>
      <c r="E102">
        <v>14.365</v>
      </c>
      <c r="F102">
        <v>14.365</v>
      </c>
      <c r="G102">
        <v>14.365</v>
      </c>
      <c r="H102">
        <v>491522</v>
      </c>
      <c r="J102">
        <f t="shared" si="23"/>
        <v>-1.9453924914675777E-2</v>
      </c>
    </row>
    <row r="103" spans="2:10" x14ac:dyDescent="0.3">
      <c r="B103" s="3">
        <v>45362</v>
      </c>
      <c r="C103">
        <v>14.285</v>
      </c>
      <c r="D103">
        <v>14.36</v>
      </c>
      <c r="E103">
        <v>14.105</v>
      </c>
      <c r="F103">
        <v>14.305</v>
      </c>
      <c r="G103">
        <v>14.305</v>
      </c>
      <c r="H103">
        <v>453796</v>
      </c>
      <c r="J103">
        <f t="shared" si="23"/>
        <v>-4.1768186564567003E-3</v>
      </c>
    </row>
    <row r="104" spans="2:10" x14ac:dyDescent="0.3">
      <c r="B104" s="3">
        <v>45363</v>
      </c>
      <c r="C104">
        <v>14.275</v>
      </c>
      <c r="D104">
        <v>14.404999999999999</v>
      </c>
      <c r="E104">
        <v>14.175000000000001</v>
      </c>
      <c r="F104">
        <v>14.35</v>
      </c>
      <c r="G104">
        <v>14.35</v>
      </c>
      <c r="H104">
        <v>350029</v>
      </c>
      <c r="J104">
        <f t="shared" si="23"/>
        <v>3.1457532331352627E-3</v>
      </c>
    </row>
    <row r="105" spans="2:10" x14ac:dyDescent="0.3">
      <c r="B105" s="3">
        <v>45364</v>
      </c>
      <c r="C105">
        <v>14.375</v>
      </c>
      <c r="D105">
        <v>14.5</v>
      </c>
      <c r="E105">
        <v>14.3</v>
      </c>
      <c r="F105">
        <v>14.355</v>
      </c>
      <c r="G105">
        <v>14.355</v>
      </c>
      <c r="H105">
        <v>374156</v>
      </c>
      <c r="J105">
        <f t="shared" si="23"/>
        <v>3.484320557491834E-4</v>
      </c>
    </row>
    <row r="106" spans="2:10" x14ac:dyDescent="0.3">
      <c r="B106" s="3">
        <v>45365</v>
      </c>
      <c r="C106">
        <v>14.355</v>
      </c>
      <c r="D106">
        <v>14.38</v>
      </c>
      <c r="E106">
        <v>13.52</v>
      </c>
      <c r="F106">
        <v>13.535</v>
      </c>
      <c r="G106">
        <v>13.535</v>
      </c>
      <c r="H106">
        <v>1330766</v>
      </c>
      <c r="J106">
        <f t="shared" si="23"/>
        <v>-5.7122953674677832E-2</v>
      </c>
    </row>
    <row r="107" spans="2:10" x14ac:dyDescent="0.3">
      <c r="B107" s="3">
        <v>45366</v>
      </c>
      <c r="C107">
        <v>13.515000000000001</v>
      </c>
      <c r="D107">
        <v>13.725</v>
      </c>
      <c r="E107">
        <v>13.51</v>
      </c>
      <c r="F107">
        <v>13.51</v>
      </c>
      <c r="G107">
        <v>13.51</v>
      </c>
      <c r="H107">
        <v>1451057</v>
      </c>
      <c r="J107">
        <f t="shared" si="23"/>
        <v>-1.8470631695604253E-3</v>
      </c>
    </row>
    <row r="108" spans="2:10" x14ac:dyDescent="0.3">
      <c r="B108" s="3">
        <v>45369</v>
      </c>
      <c r="C108">
        <v>13.54</v>
      </c>
      <c r="D108">
        <v>13.61</v>
      </c>
      <c r="E108">
        <v>13.305</v>
      </c>
      <c r="F108">
        <v>13.465</v>
      </c>
      <c r="G108">
        <v>13.465</v>
      </c>
      <c r="H108">
        <v>332514</v>
      </c>
      <c r="J108">
        <f t="shared" si="23"/>
        <v>-3.3308660251665382E-3</v>
      </c>
    </row>
    <row r="109" spans="2:10" x14ac:dyDescent="0.3">
      <c r="B109" s="3">
        <v>45370</v>
      </c>
      <c r="C109">
        <v>13.435</v>
      </c>
      <c r="D109">
        <v>13.47</v>
      </c>
      <c r="E109">
        <v>13.244999999999999</v>
      </c>
      <c r="F109">
        <v>13.315</v>
      </c>
      <c r="G109">
        <v>13.315</v>
      </c>
      <c r="H109">
        <v>549243</v>
      </c>
      <c r="J109">
        <f t="shared" si="23"/>
        <v>-1.113999257333831E-2</v>
      </c>
    </row>
    <row r="110" spans="2:10" x14ac:dyDescent="0.3">
      <c r="B110" s="3">
        <v>45371</v>
      </c>
      <c r="C110">
        <v>13.265000000000001</v>
      </c>
      <c r="D110">
        <v>13.435</v>
      </c>
      <c r="E110">
        <v>13.26</v>
      </c>
      <c r="F110">
        <v>13.36</v>
      </c>
      <c r="G110">
        <v>13.36</v>
      </c>
      <c r="H110">
        <v>353096</v>
      </c>
      <c r="J110">
        <f t="shared" si="23"/>
        <v>3.3796470146451318E-3</v>
      </c>
    </row>
    <row r="111" spans="2:10" x14ac:dyDescent="0.3">
      <c r="B111" s="3">
        <v>45372</v>
      </c>
      <c r="C111">
        <v>13.435</v>
      </c>
      <c r="D111">
        <v>13.695</v>
      </c>
      <c r="E111">
        <v>13.39</v>
      </c>
      <c r="F111">
        <v>13.6</v>
      </c>
      <c r="G111">
        <v>13.6</v>
      </c>
      <c r="H111">
        <v>505993</v>
      </c>
      <c r="J111">
        <f t="shared" si="23"/>
        <v>1.7964071856287442E-2</v>
      </c>
    </row>
    <row r="112" spans="2:10" x14ac:dyDescent="0.3">
      <c r="B112" s="3">
        <v>45373</v>
      </c>
      <c r="C112">
        <v>13.55</v>
      </c>
      <c r="D112">
        <v>13.705</v>
      </c>
      <c r="E112">
        <v>13.505000000000001</v>
      </c>
      <c r="F112">
        <v>13.685</v>
      </c>
      <c r="G112">
        <v>13.685</v>
      </c>
      <c r="H112">
        <v>372536</v>
      </c>
      <c r="J112">
        <f t="shared" si="23"/>
        <v>6.2500000000000628E-3</v>
      </c>
    </row>
    <row r="113" spans="2:10" x14ac:dyDescent="0.3">
      <c r="B113" s="3">
        <v>45376</v>
      </c>
      <c r="C113">
        <v>13.664999999999999</v>
      </c>
      <c r="D113">
        <v>13.725</v>
      </c>
      <c r="E113">
        <v>13.515000000000001</v>
      </c>
      <c r="F113">
        <v>13.715</v>
      </c>
      <c r="G113">
        <v>13.715</v>
      </c>
      <c r="H113">
        <v>366910</v>
      </c>
      <c r="J113">
        <f t="shared" si="23"/>
        <v>2.1921812203141659E-3</v>
      </c>
    </row>
    <row r="114" spans="2:10" x14ac:dyDescent="0.3">
      <c r="B114" s="3">
        <v>45377</v>
      </c>
      <c r="C114">
        <v>13.715</v>
      </c>
      <c r="D114">
        <v>13.82</v>
      </c>
      <c r="E114">
        <v>13.54</v>
      </c>
      <c r="F114">
        <v>13.795</v>
      </c>
      <c r="G114">
        <v>13.795</v>
      </c>
      <c r="H114">
        <v>346112</v>
      </c>
      <c r="J114">
        <f t="shared" si="23"/>
        <v>5.8330295297119991E-3</v>
      </c>
    </row>
    <row r="115" spans="2:10" x14ac:dyDescent="0.3">
      <c r="B115" s="3">
        <v>45378</v>
      </c>
      <c r="C115">
        <v>13.765000000000001</v>
      </c>
      <c r="D115">
        <v>14.025</v>
      </c>
      <c r="E115">
        <v>13.75</v>
      </c>
      <c r="F115">
        <v>13.83</v>
      </c>
      <c r="G115">
        <v>13.83</v>
      </c>
      <c r="H115">
        <v>337091</v>
      </c>
      <c r="J115">
        <f t="shared" si="23"/>
        <v>2.5371511417180241E-3</v>
      </c>
    </row>
    <row r="116" spans="2:10" x14ac:dyDescent="0.3">
      <c r="B116" s="3">
        <v>45379</v>
      </c>
      <c r="C116">
        <v>13.855</v>
      </c>
      <c r="D116">
        <v>13.98</v>
      </c>
      <c r="E116">
        <v>13.725</v>
      </c>
      <c r="F116">
        <v>13.805</v>
      </c>
      <c r="G116">
        <v>13.805</v>
      </c>
      <c r="H116">
        <v>346120</v>
      </c>
      <c r="J116">
        <f t="shared" si="23"/>
        <v>-1.8076644974692954E-3</v>
      </c>
    </row>
    <row r="117" spans="2:10" x14ac:dyDescent="0.3">
      <c r="B117" s="3">
        <v>45384</v>
      </c>
      <c r="C117">
        <v>13.77</v>
      </c>
      <c r="D117">
        <v>13.815</v>
      </c>
      <c r="E117">
        <v>13.385</v>
      </c>
      <c r="F117">
        <v>13.4</v>
      </c>
      <c r="G117">
        <v>13.4</v>
      </c>
      <c r="H117">
        <v>506675</v>
      </c>
      <c r="J117">
        <f t="shared" si="23"/>
        <v>-2.9337196667873912E-2</v>
      </c>
    </row>
    <row r="118" spans="2:10" x14ac:dyDescent="0.3">
      <c r="B118" s="3">
        <v>45385</v>
      </c>
      <c r="C118">
        <v>13.395</v>
      </c>
      <c r="D118">
        <v>13.58</v>
      </c>
      <c r="E118">
        <v>13.335000000000001</v>
      </c>
      <c r="F118">
        <v>13.53</v>
      </c>
      <c r="G118">
        <v>13.53</v>
      </c>
      <c r="H118">
        <v>272561</v>
      </c>
      <c r="J118">
        <f t="shared" si="23"/>
        <v>9.7014925373133578E-3</v>
      </c>
    </row>
    <row r="119" spans="2:10" x14ac:dyDescent="0.3">
      <c r="B119" s="3">
        <v>45386</v>
      </c>
      <c r="C119">
        <v>13.494999999999999</v>
      </c>
      <c r="D119">
        <v>13.51</v>
      </c>
      <c r="E119">
        <v>13.36</v>
      </c>
      <c r="F119">
        <v>13.445</v>
      </c>
      <c r="G119">
        <v>13.445</v>
      </c>
      <c r="H119">
        <v>214940</v>
      </c>
      <c r="J119">
        <f t="shared" si="23"/>
        <v>-6.2823355506281655E-3</v>
      </c>
    </row>
    <row r="120" spans="2:10" x14ac:dyDescent="0.3">
      <c r="B120" s="3">
        <v>45387</v>
      </c>
      <c r="C120">
        <v>13.305</v>
      </c>
      <c r="D120">
        <v>13.335000000000001</v>
      </c>
      <c r="E120">
        <v>13.074999999999999</v>
      </c>
      <c r="F120">
        <v>13.074999999999999</v>
      </c>
      <c r="G120">
        <v>13.074999999999999</v>
      </c>
      <c r="H120">
        <v>459853</v>
      </c>
      <c r="J120">
        <f t="shared" si="23"/>
        <v>-2.7519523986612195E-2</v>
      </c>
    </row>
    <row r="121" spans="2:10" x14ac:dyDescent="0.3">
      <c r="B121" s="3">
        <v>45390</v>
      </c>
      <c r="C121">
        <v>13.085000000000001</v>
      </c>
      <c r="D121">
        <v>13.3</v>
      </c>
      <c r="E121">
        <v>13.085000000000001</v>
      </c>
      <c r="F121">
        <v>13.25</v>
      </c>
      <c r="G121">
        <v>13.25</v>
      </c>
      <c r="H121">
        <v>238277</v>
      </c>
      <c r="J121">
        <f t="shared" si="23"/>
        <v>1.3384321223709424E-2</v>
      </c>
    </row>
    <row r="122" spans="2:10" x14ac:dyDescent="0.3">
      <c r="B122" s="3">
        <v>45391</v>
      </c>
      <c r="C122">
        <v>13.2</v>
      </c>
      <c r="D122">
        <v>13.4</v>
      </c>
      <c r="E122">
        <v>13.125</v>
      </c>
      <c r="F122">
        <v>13.27</v>
      </c>
      <c r="G122">
        <v>13.27</v>
      </c>
      <c r="H122">
        <v>255957</v>
      </c>
      <c r="J122">
        <f t="shared" si="23"/>
        <v>1.5094339622641188E-3</v>
      </c>
    </row>
    <row r="123" spans="2:10" x14ac:dyDescent="0.3">
      <c r="B123" s="3">
        <v>45392</v>
      </c>
      <c r="C123">
        <v>13.33</v>
      </c>
      <c r="D123">
        <v>13.345000000000001</v>
      </c>
      <c r="E123">
        <v>13.03</v>
      </c>
      <c r="F123">
        <v>13.164999999999999</v>
      </c>
      <c r="G123">
        <v>13.164999999999999</v>
      </c>
      <c r="H123">
        <v>383623</v>
      </c>
      <c r="J123">
        <f t="shared" si="23"/>
        <v>-7.9125847776940796E-3</v>
      </c>
    </row>
    <row r="124" spans="2:10" x14ac:dyDescent="0.3">
      <c r="B124" s="3">
        <v>45393</v>
      </c>
      <c r="C124">
        <v>13.4</v>
      </c>
      <c r="D124">
        <v>13.5</v>
      </c>
      <c r="E124">
        <v>13.244999999999999</v>
      </c>
      <c r="F124">
        <v>13.345000000000001</v>
      </c>
      <c r="G124">
        <v>13.345000000000001</v>
      </c>
      <c r="H124">
        <v>354789</v>
      </c>
      <c r="J124">
        <f t="shared" si="23"/>
        <v>1.367261678693517E-2</v>
      </c>
    </row>
    <row r="125" spans="2:10" x14ac:dyDescent="0.3">
      <c r="B125" s="3">
        <v>45394</v>
      </c>
      <c r="C125">
        <v>13.455</v>
      </c>
      <c r="D125">
        <v>13.49</v>
      </c>
      <c r="E125">
        <v>13.025</v>
      </c>
      <c r="F125">
        <v>13.025</v>
      </c>
      <c r="G125">
        <v>13.025</v>
      </c>
      <c r="H125">
        <v>378034</v>
      </c>
      <c r="J125">
        <f t="shared" si="23"/>
        <v>-2.3979018358935952E-2</v>
      </c>
    </row>
    <row r="126" spans="2:10" x14ac:dyDescent="0.3">
      <c r="B126" s="3">
        <v>45397</v>
      </c>
      <c r="C126">
        <v>13</v>
      </c>
      <c r="D126">
        <v>13.2</v>
      </c>
      <c r="E126">
        <v>12.82</v>
      </c>
      <c r="F126">
        <v>12.82</v>
      </c>
      <c r="G126">
        <v>12.82</v>
      </c>
      <c r="H126">
        <v>421811</v>
      </c>
      <c r="J126">
        <f t="shared" si="23"/>
        <v>-1.573896353166987E-2</v>
      </c>
    </row>
    <row r="127" spans="2:10" x14ac:dyDescent="0.3">
      <c r="B127" s="3">
        <v>45398</v>
      </c>
      <c r="C127">
        <v>12.654999999999999</v>
      </c>
      <c r="D127">
        <v>12.654999999999999</v>
      </c>
      <c r="E127">
        <v>12.27</v>
      </c>
      <c r="F127">
        <v>12.455</v>
      </c>
      <c r="G127">
        <v>12.455</v>
      </c>
      <c r="H127">
        <v>913245</v>
      </c>
      <c r="J127">
        <f t="shared" si="23"/>
        <v>-2.8471138845553839E-2</v>
      </c>
    </row>
    <row r="128" spans="2:10" x14ac:dyDescent="0.3">
      <c r="B128" s="3">
        <v>45399</v>
      </c>
      <c r="C128">
        <v>12.38</v>
      </c>
      <c r="D128">
        <v>12.484999999999999</v>
      </c>
      <c r="E128">
        <v>12.29</v>
      </c>
      <c r="F128">
        <v>12.345000000000001</v>
      </c>
      <c r="G128">
        <v>12.345000000000001</v>
      </c>
      <c r="H128">
        <v>322599</v>
      </c>
      <c r="J128">
        <f t="shared" si="23"/>
        <v>-8.8317944600561568E-3</v>
      </c>
    </row>
    <row r="129" spans="2:10" x14ac:dyDescent="0.3">
      <c r="B129" s="3">
        <v>45400</v>
      </c>
      <c r="C129">
        <v>12.41</v>
      </c>
      <c r="D129">
        <v>12.465</v>
      </c>
      <c r="E129">
        <v>12.225</v>
      </c>
      <c r="F129">
        <v>12.39</v>
      </c>
      <c r="G129">
        <v>12.39</v>
      </c>
      <c r="H129">
        <v>376653</v>
      </c>
      <c r="J129">
        <f t="shared" si="23"/>
        <v>3.6452004860267257E-3</v>
      </c>
    </row>
    <row r="130" spans="2:10" x14ac:dyDescent="0.3">
      <c r="B130" s="3">
        <v>45401</v>
      </c>
      <c r="C130">
        <v>12.225</v>
      </c>
      <c r="D130">
        <v>12.54</v>
      </c>
      <c r="E130">
        <v>12.19</v>
      </c>
      <c r="F130">
        <v>12.3</v>
      </c>
      <c r="G130">
        <v>12.3</v>
      </c>
      <c r="H130">
        <v>537627</v>
      </c>
      <c r="J130">
        <f t="shared" si="23"/>
        <v>-7.2639225181597945E-3</v>
      </c>
    </row>
  </sheetData>
  <mergeCells count="12">
    <mergeCell ref="W8:Y8"/>
    <mergeCell ref="W15:Y15"/>
    <mergeCell ref="P21:U21"/>
    <mergeCell ref="C2:E2"/>
    <mergeCell ref="M3:N3"/>
    <mergeCell ref="L8:N8"/>
    <mergeCell ref="L15:N15"/>
    <mergeCell ref="R23:T23"/>
    <mergeCell ref="R35:T35"/>
    <mergeCell ref="R47:T47"/>
    <mergeCell ref="R59:T59"/>
    <mergeCell ref="R71:T7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7CA78F73-AC57-4EA5-8142-194F522337B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16DBF03-97A1-4B3C-A824-D4D8DC242E1C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1685E378-1415-409B-9420-F9F1F8156313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call</vt:lpstr>
      <vt:lpstr>put</vt:lpstr>
      <vt:lpstr>TMV analysis</vt:lpstr>
      <vt:lpstr>'TMV analysis'!TMV.DE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Schiavo</dc:creator>
  <cp:lastModifiedBy>Nicola Schiavo</cp:lastModifiedBy>
  <dcterms:created xsi:type="dcterms:W3CDTF">2024-04-11T12:53:59Z</dcterms:created>
  <dcterms:modified xsi:type="dcterms:W3CDTF">2024-04-21T10:56:26Z</dcterms:modified>
</cp:coreProperties>
</file>