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kg11058\Desktop\VaR\"/>
    </mc:Choice>
  </mc:AlternateContent>
  <xr:revisionPtr revIDLastSave="0" documentId="8_{860CB7FD-6498-48E2-9F74-400A3C7644B1}" xr6:coauthVersionLast="47" xr6:coauthVersionMax="47" xr10:uidLastSave="{00000000-0000-0000-0000-000000000000}"/>
  <bookViews>
    <workbookView xWindow="36" yWindow="48" windowWidth="23100" windowHeight="12192" xr2:uid="{00000000-000D-0000-FFFF-FFFF00000000}"/>
  </bookViews>
  <sheets>
    <sheet name="Historical VaR" sheetId="12" r:id="rId1"/>
    <sheet name="Parametric VaR" sheetId="2" r:id="rId2"/>
    <sheet name="MonteCarlo VaR" sheetId="11" r:id="rId3"/>
  </sheets>
  <functionGroups builtInGroupCount="19"/>
  <definedNames>
    <definedName name="chartTableData">'Parametric VaR'!#REF!</definedName>
    <definedName name="chartTableHeader">'Parametric VaR'!#REF!</definedName>
    <definedName name="chartTableName">'Parametric VaR'!#REF!</definedName>
    <definedName name="chartTableTotal">'Parametric VaR'!#REF!</definedName>
    <definedName name="CLS">'Parametric VaR'!$A$4:$A$127</definedName>
    <definedName name="DAT">'Parametric VaR'!#REF!</definedName>
    <definedName name="filterValues">'Parametric VaR'!#REF!</definedName>
    <definedName name="FLOW">'Parametric VaR'!#REF!</definedName>
    <definedName name="HIG">'Parametric VaR'!#REF!</definedName>
    <definedName name="LOW">'Parametric VaR'!#REF!</definedName>
    <definedName name="NET">'Parametric VaR'!#REF!</definedName>
    <definedName name="OPN">'Parametric VaR'!$D$4:$D$127</definedName>
    <definedName name="PCC">'Parametric VaR'!#REF!</definedName>
    <definedName name="phTableData">'Parametric VaR'!$A$4:$D$127</definedName>
    <definedName name="phTableHeader">'Parametric VaR'!$A$3:$D$3</definedName>
    <definedName name="phTableName">'Parametric VaR'!#REF!</definedName>
    <definedName name="sheetHeader">'Parametric VaR'!#REF!</definedName>
    <definedName name="statPriceChangeTableData">'Parametric VaR'!#REF!</definedName>
    <definedName name="statPriceChangeTableHeader">'Parametric VaR'!#REF!</definedName>
    <definedName name="statPriceTableData">'Parametric VaR'!#REF!</definedName>
    <definedName name="statPriceTableHeader">'Parametric VaR'!#REF!</definedName>
    <definedName name="statTableName">'Parametric VaR'!#REF!</definedName>
    <definedName name="statTurnoverTableData">'Parametric VaR'!#REF!</definedName>
    <definedName name="statTurnoverTableHeader">'Parametric VaR'!#REF!</definedName>
    <definedName name="statUpDownTableData">'Parametric VaR'!#REF!</definedName>
    <definedName name="statUpDownTableHeader">'Parametric VaR'!#REF!</definedName>
    <definedName name="statVolumeTableData">'Parametric VaR'!#REF!</definedName>
    <definedName name="statVolumeTableHeader">'Parametric VaR'!#REF!</definedName>
    <definedName name="TOV">'Parametric VaR'!#REF!</definedName>
    <definedName name="VOL">'Parametric VaR'!#REF!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12" l="1"/>
  <c r="N7" i="2"/>
  <c r="G13" i="11"/>
  <c r="H13" i="11"/>
  <c r="I13" i="11"/>
  <c r="G14" i="11"/>
  <c r="H14" i="11"/>
  <c r="I14" i="11"/>
  <c r="H12" i="11"/>
  <c r="I12" i="11"/>
  <c r="G12" i="11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5" i="12"/>
  <c r="E254" i="12"/>
  <c r="B254" i="12"/>
  <c r="E253" i="12"/>
  <c r="B253" i="12"/>
  <c r="E252" i="12"/>
  <c r="B252" i="12"/>
  <c r="E251" i="12"/>
  <c r="B251" i="12"/>
  <c r="E250" i="12"/>
  <c r="B250" i="12"/>
  <c r="E249" i="12"/>
  <c r="B249" i="12"/>
  <c r="E248" i="12"/>
  <c r="B248" i="12"/>
  <c r="E247" i="12"/>
  <c r="B247" i="12"/>
  <c r="E246" i="12"/>
  <c r="B246" i="12"/>
  <c r="E245" i="12"/>
  <c r="B245" i="12"/>
  <c r="E244" i="12"/>
  <c r="B244" i="12"/>
  <c r="E243" i="12"/>
  <c r="B243" i="12"/>
  <c r="E242" i="12"/>
  <c r="B242" i="12"/>
  <c r="E241" i="12"/>
  <c r="B241" i="12"/>
  <c r="E240" i="12"/>
  <c r="B240" i="12"/>
  <c r="E239" i="12"/>
  <c r="B239" i="12"/>
  <c r="E238" i="12"/>
  <c r="B238" i="12"/>
  <c r="E237" i="12"/>
  <c r="B237" i="12"/>
  <c r="E236" i="12"/>
  <c r="B236" i="12"/>
  <c r="E235" i="12"/>
  <c r="B235" i="12"/>
  <c r="E234" i="12"/>
  <c r="B234" i="12"/>
  <c r="E233" i="12"/>
  <c r="B233" i="12"/>
  <c r="E232" i="12"/>
  <c r="B232" i="12"/>
  <c r="E231" i="12"/>
  <c r="B231" i="12"/>
  <c r="E230" i="12"/>
  <c r="B230" i="12"/>
  <c r="E229" i="12"/>
  <c r="B229" i="12"/>
  <c r="E228" i="12"/>
  <c r="B228" i="12"/>
  <c r="E227" i="12"/>
  <c r="B227" i="12"/>
  <c r="E226" i="12"/>
  <c r="B226" i="12"/>
  <c r="E225" i="12"/>
  <c r="B225" i="12"/>
  <c r="E224" i="12"/>
  <c r="B224" i="12"/>
  <c r="E223" i="12"/>
  <c r="B223" i="12"/>
  <c r="E222" i="12"/>
  <c r="B222" i="12"/>
  <c r="E221" i="12"/>
  <c r="B221" i="12"/>
  <c r="E220" i="12"/>
  <c r="B220" i="12"/>
  <c r="E219" i="12"/>
  <c r="B219" i="12"/>
  <c r="E218" i="12"/>
  <c r="B218" i="12"/>
  <c r="E217" i="12"/>
  <c r="B217" i="12"/>
  <c r="E216" i="12"/>
  <c r="B216" i="12"/>
  <c r="E215" i="12"/>
  <c r="B215" i="12"/>
  <c r="E214" i="12"/>
  <c r="B214" i="12"/>
  <c r="E213" i="12"/>
  <c r="B213" i="12"/>
  <c r="E212" i="12"/>
  <c r="B212" i="12"/>
  <c r="E211" i="12"/>
  <c r="B211" i="12"/>
  <c r="E210" i="12"/>
  <c r="B210" i="12"/>
  <c r="E209" i="12"/>
  <c r="B209" i="12"/>
  <c r="E208" i="12"/>
  <c r="B208" i="12"/>
  <c r="E207" i="12"/>
  <c r="B207" i="12"/>
  <c r="E206" i="12"/>
  <c r="B206" i="12"/>
  <c r="E205" i="12"/>
  <c r="B205" i="12"/>
  <c r="E204" i="12"/>
  <c r="B204" i="12"/>
  <c r="E203" i="12"/>
  <c r="B203" i="12"/>
  <c r="E202" i="12"/>
  <c r="B202" i="12"/>
  <c r="E201" i="12"/>
  <c r="B201" i="12"/>
  <c r="E200" i="12"/>
  <c r="B200" i="12"/>
  <c r="E199" i="12"/>
  <c r="B199" i="12"/>
  <c r="E198" i="12"/>
  <c r="B198" i="12"/>
  <c r="E197" i="12"/>
  <c r="B197" i="12"/>
  <c r="E196" i="12"/>
  <c r="B196" i="12"/>
  <c r="E195" i="12"/>
  <c r="B195" i="12"/>
  <c r="E194" i="12"/>
  <c r="B194" i="12"/>
  <c r="E193" i="12"/>
  <c r="B193" i="12"/>
  <c r="E192" i="12"/>
  <c r="B192" i="12"/>
  <c r="E191" i="12"/>
  <c r="B191" i="12"/>
  <c r="E190" i="12"/>
  <c r="B190" i="12"/>
  <c r="E189" i="12"/>
  <c r="B189" i="12"/>
  <c r="E188" i="12"/>
  <c r="B188" i="12"/>
  <c r="E187" i="12"/>
  <c r="B187" i="12"/>
  <c r="E186" i="12"/>
  <c r="B186" i="12"/>
  <c r="E185" i="12"/>
  <c r="B185" i="12"/>
  <c r="E184" i="12"/>
  <c r="B184" i="12"/>
  <c r="E183" i="12"/>
  <c r="B183" i="12"/>
  <c r="E182" i="12"/>
  <c r="B182" i="12"/>
  <c r="E181" i="12"/>
  <c r="B181" i="12"/>
  <c r="E180" i="12"/>
  <c r="B180" i="12"/>
  <c r="E179" i="12"/>
  <c r="B179" i="12"/>
  <c r="E178" i="12"/>
  <c r="B178" i="12"/>
  <c r="E177" i="12"/>
  <c r="B177" i="12"/>
  <c r="E176" i="12"/>
  <c r="B176" i="12"/>
  <c r="E175" i="12"/>
  <c r="B175" i="12"/>
  <c r="E174" i="12"/>
  <c r="B174" i="12"/>
  <c r="E173" i="12"/>
  <c r="B173" i="12"/>
  <c r="E172" i="12"/>
  <c r="B172" i="12"/>
  <c r="E171" i="12"/>
  <c r="B171" i="12"/>
  <c r="E170" i="12"/>
  <c r="B170" i="12"/>
  <c r="E169" i="12"/>
  <c r="B169" i="12"/>
  <c r="E168" i="12"/>
  <c r="B168" i="12"/>
  <c r="E167" i="12"/>
  <c r="B167" i="12"/>
  <c r="E166" i="12"/>
  <c r="B166" i="12"/>
  <c r="E165" i="12"/>
  <c r="B165" i="12"/>
  <c r="E164" i="12"/>
  <c r="B164" i="12"/>
  <c r="E163" i="12"/>
  <c r="B163" i="12"/>
  <c r="E162" i="12"/>
  <c r="B162" i="12"/>
  <c r="E161" i="12"/>
  <c r="B161" i="12"/>
  <c r="E160" i="12"/>
  <c r="B160" i="12"/>
  <c r="E159" i="12"/>
  <c r="B159" i="12"/>
  <c r="E158" i="12"/>
  <c r="B158" i="12"/>
  <c r="E157" i="12"/>
  <c r="B157" i="12"/>
  <c r="E156" i="12"/>
  <c r="B156" i="12"/>
  <c r="E155" i="12"/>
  <c r="B155" i="12"/>
  <c r="E154" i="12"/>
  <c r="B154" i="12"/>
  <c r="E153" i="12"/>
  <c r="B153" i="12"/>
  <c r="E152" i="12"/>
  <c r="B152" i="12"/>
  <c r="E151" i="12"/>
  <c r="B151" i="12"/>
  <c r="E150" i="12"/>
  <c r="B150" i="12"/>
  <c r="E149" i="12"/>
  <c r="B149" i="12"/>
  <c r="E148" i="12"/>
  <c r="B148" i="12"/>
  <c r="E147" i="12"/>
  <c r="B147" i="12"/>
  <c r="E146" i="12"/>
  <c r="B146" i="12"/>
  <c r="E145" i="12"/>
  <c r="B145" i="12"/>
  <c r="E144" i="12"/>
  <c r="B144" i="12"/>
  <c r="E143" i="12"/>
  <c r="B143" i="12"/>
  <c r="E142" i="12"/>
  <c r="B142" i="12"/>
  <c r="E141" i="12"/>
  <c r="B141" i="12"/>
  <c r="E140" i="12"/>
  <c r="B140" i="12"/>
  <c r="E139" i="12"/>
  <c r="B139" i="12"/>
  <c r="E138" i="12"/>
  <c r="B138" i="12"/>
  <c r="E137" i="12"/>
  <c r="B137" i="12"/>
  <c r="E136" i="12"/>
  <c r="B136" i="12"/>
  <c r="E135" i="12"/>
  <c r="B135" i="12"/>
  <c r="E134" i="12"/>
  <c r="B134" i="12"/>
  <c r="E133" i="12"/>
  <c r="B133" i="12"/>
  <c r="E132" i="12"/>
  <c r="B132" i="12"/>
  <c r="E131" i="12"/>
  <c r="B131" i="12"/>
  <c r="E130" i="12"/>
  <c r="B130" i="12"/>
  <c r="E129" i="12"/>
  <c r="B129" i="12"/>
  <c r="E128" i="12"/>
  <c r="B128" i="12"/>
  <c r="E127" i="12"/>
  <c r="B127" i="12"/>
  <c r="E126" i="12"/>
  <c r="B126" i="12"/>
  <c r="E125" i="12"/>
  <c r="B125" i="12"/>
  <c r="E124" i="12"/>
  <c r="B124" i="12"/>
  <c r="E123" i="12"/>
  <c r="B123" i="12"/>
  <c r="E122" i="12"/>
  <c r="B122" i="12"/>
  <c r="E121" i="12"/>
  <c r="B121" i="12"/>
  <c r="E120" i="12"/>
  <c r="B120" i="12"/>
  <c r="E119" i="12"/>
  <c r="B119" i="12"/>
  <c r="E118" i="12"/>
  <c r="B118" i="12"/>
  <c r="E117" i="12"/>
  <c r="B117" i="12"/>
  <c r="E116" i="12"/>
  <c r="B116" i="12"/>
  <c r="E115" i="12"/>
  <c r="B115" i="12"/>
  <c r="E114" i="12"/>
  <c r="B114" i="12"/>
  <c r="E113" i="12"/>
  <c r="B113" i="12"/>
  <c r="E112" i="12"/>
  <c r="B112" i="12"/>
  <c r="E111" i="12"/>
  <c r="B111" i="12"/>
  <c r="E110" i="12"/>
  <c r="B110" i="12"/>
  <c r="E109" i="12"/>
  <c r="B109" i="12"/>
  <c r="E108" i="12"/>
  <c r="B108" i="12"/>
  <c r="E107" i="12"/>
  <c r="B107" i="12"/>
  <c r="E106" i="12"/>
  <c r="B106" i="12"/>
  <c r="E105" i="12"/>
  <c r="B105" i="12"/>
  <c r="E104" i="12"/>
  <c r="B104" i="12"/>
  <c r="E103" i="12"/>
  <c r="B103" i="12"/>
  <c r="E102" i="12"/>
  <c r="B102" i="12"/>
  <c r="E101" i="12"/>
  <c r="B101" i="12"/>
  <c r="E100" i="12"/>
  <c r="B100" i="12"/>
  <c r="E99" i="12"/>
  <c r="B99" i="12"/>
  <c r="E98" i="12"/>
  <c r="B98" i="12"/>
  <c r="E97" i="12"/>
  <c r="B97" i="12"/>
  <c r="E96" i="12"/>
  <c r="B96" i="12"/>
  <c r="E95" i="12"/>
  <c r="B95" i="12"/>
  <c r="E94" i="12"/>
  <c r="B94" i="12"/>
  <c r="E93" i="12"/>
  <c r="B93" i="12"/>
  <c r="E92" i="12"/>
  <c r="B92" i="12"/>
  <c r="E91" i="12"/>
  <c r="B91" i="12"/>
  <c r="E90" i="12"/>
  <c r="B90" i="12"/>
  <c r="E89" i="12"/>
  <c r="B89" i="12"/>
  <c r="E88" i="12"/>
  <c r="B88" i="12"/>
  <c r="E87" i="12"/>
  <c r="B87" i="12"/>
  <c r="E86" i="12"/>
  <c r="B86" i="12"/>
  <c r="E85" i="12"/>
  <c r="B85" i="12"/>
  <c r="E84" i="12"/>
  <c r="B84" i="12"/>
  <c r="E83" i="12"/>
  <c r="B83" i="12"/>
  <c r="E82" i="12"/>
  <c r="B82" i="12"/>
  <c r="E81" i="12"/>
  <c r="B81" i="12"/>
  <c r="E80" i="12"/>
  <c r="B80" i="12"/>
  <c r="E79" i="12"/>
  <c r="B79" i="12"/>
  <c r="E78" i="12"/>
  <c r="B78" i="12"/>
  <c r="E77" i="12"/>
  <c r="B77" i="12"/>
  <c r="E76" i="12"/>
  <c r="B76" i="12"/>
  <c r="E75" i="12"/>
  <c r="B75" i="12"/>
  <c r="E74" i="12"/>
  <c r="B74" i="12"/>
  <c r="E73" i="12"/>
  <c r="B73" i="12"/>
  <c r="E72" i="12"/>
  <c r="B72" i="12"/>
  <c r="E71" i="12"/>
  <c r="B71" i="12"/>
  <c r="E70" i="12"/>
  <c r="B70" i="12"/>
  <c r="E69" i="12"/>
  <c r="B69" i="12"/>
  <c r="E68" i="12"/>
  <c r="B68" i="12"/>
  <c r="E67" i="12"/>
  <c r="B67" i="12"/>
  <c r="E66" i="12"/>
  <c r="B66" i="12"/>
  <c r="E65" i="12"/>
  <c r="B65" i="12"/>
  <c r="E64" i="12"/>
  <c r="B64" i="12"/>
  <c r="E63" i="12"/>
  <c r="B63" i="12"/>
  <c r="E62" i="12"/>
  <c r="B62" i="12"/>
  <c r="E61" i="12"/>
  <c r="B61" i="12"/>
  <c r="E60" i="12"/>
  <c r="B60" i="12"/>
  <c r="E59" i="12"/>
  <c r="B59" i="12"/>
  <c r="E58" i="12"/>
  <c r="B58" i="12"/>
  <c r="E57" i="12"/>
  <c r="B57" i="12"/>
  <c r="E56" i="12"/>
  <c r="B56" i="12"/>
  <c r="E55" i="12"/>
  <c r="B55" i="12"/>
  <c r="E54" i="12"/>
  <c r="B54" i="12"/>
  <c r="E53" i="12"/>
  <c r="B53" i="12"/>
  <c r="E52" i="12"/>
  <c r="B52" i="12"/>
  <c r="E51" i="12"/>
  <c r="B51" i="12"/>
  <c r="E50" i="12"/>
  <c r="B50" i="12"/>
  <c r="E49" i="12"/>
  <c r="B49" i="12"/>
  <c r="E48" i="12"/>
  <c r="B48" i="12"/>
  <c r="E47" i="12"/>
  <c r="B47" i="12"/>
  <c r="E46" i="12"/>
  <c r="B46" i="12"/>
  <c r="E45" i="12"/>
  <c r="B45" i="12"/>
  <c r="E44" i="12"/>
  <c r="B44" i="12"/>
  <c r="E43" i="12"/>
  <c r="B43" i="12"/>
  <c r="E42" i="12"/>
  <c r="B42" i="12"/>
  <c r="E41" i="12"/>
  <c r="B41" i="12"/>
  <c r="E40" i="12"/>
  <c r="B40" i="12"/>
  <c r="E39" i="12"/>
  <c r="B39" i="12"/>
  <c r="E38" i="12"/>
  <c r="B38" i="12"/>
  <c r="E37" i="12"/>
  <c r="B37" i="12"/>
  <c r="E36" i="12"/>
  <c r="B36" i="12"/>
  <c r="E35" i="12"/>
  <c r="B35" i="12"/>
  <c r="E34" i="12"/>
  <c r="B34" i="12"/>
  <c r="E33" i="12"/>
  <c r="B33" i="12"/>
  <c r="E32" i="12"/>
  <c r="B32" i="12"/>
  <c r="E31" i="12"/>
  <c r="B31" i="12"/>
  <c r="E30" i="12"/>
  <c r="B30" i="12"/>
  <c r="E29" i="12"/>
  <c r="B29" i="12"/>
  <c r="E28" i="12"/>
  <c r="B28" i="12"/>
  <c r="E27" i="12"/>
  <c r="B27" i="12"/>
  <c r="E26" i="12"/>
  <c r="B26" i="12"/>
  <c r="E25" i="12"/>
  <c r="B25" i="12"/>
  <c r="E24" i="12"/>
  <c r="B24" i="12"/>
  <c r="E23" i="12"/>
  <c r="B23" i="12"/>
  <c r="E22" i="12"/>
  <c r="B22" i="12"/>
  <c r="E21" i="12"/>
  <c r="B21" i="12"/>
  <c r="E20" i="12"/>
  <c r="B20" i="12"/>
  <c r="E19" i="12"/>
  <c r="B19" i="12"/>
  <c r="E18" i="12"/>
  <c r="B18" i="12"/>
  <c r="E17" i="12"/>
  <c r="B17" i="12"/>
  <c r="E16" i="12"/>
  <c r="B16" i="12"/>
  <c r="E15" i="12"/>
  <c r="B15" i="12"/>
  <c r="E14" i="12"/>
  <c r="B14" i="12"/>
  <c r="E13" i="12"/>
  <c r="B13" i="12"/>
  <c r="E12" i="12"/>
  <c r="B12" i="12"/>
  <c r="E11" i="12"/>
  <c r="B11" i="12"/>
  <c r="E10" i="12"/>
  <c r="B10" i="12"/>
  <c r="E9" i="12"/>
  <c r="B9" i="12"/>
  <c r="E8" i="12"/>
  <c r="B8" i="12"/>
  <c r="E7" i="12"/>
  <c r="B7" i="12"/>
  <c r="E6" i="12"/>
  <c r="B6" i="12"/>
  <c r="E5" i="12"/>
  <c r="B5" i="12"/>
  <c r="G4" i="12"/>
  <c r="U13" i="2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AF13" i="2"/>
  <c r="AA13" i="2"/>
  <c r="AA14" i="2" s="1"/>
  <c r="J18" i="12" a="1"/>
  <c r="J17" i="12" a="1"/>
  <c r="J16" i="12" a="1"/>
  <c r="L18" i="12" a="1"/>
  <c r="L17" i="12" a="1"/>
  <c r="K18" i="12" a="1"/>
  <c r="K17" i="12" a="1"/>
  <c r="L16" i="12" a="1"/>
  <c r="K16" i="12" a="1"/>
  <c r="J4" i="12" a="1"/>
  <c r="J6" i="12" a="1"/>
  <c r="L6" i="12" a="1"/>
  <c r="L5" i="12" a="1"/>
  <c r="K4" i="12" a="1"/>
  <c r="L4" i="12" a="1"/>
  <c r="J5" i="12" a="1"/>
  <c r="K6" i="12" a="1"/>
  <c r="K5" i="12" a="1"/>
  <c r="J8" i="11" a="1"/>
  <c r="J7" i="11" a="1"/>
  <c r="J6" i="11" a="1"/>
  <c r="J18" i="12" l="1"/>
  <c r="J17" i="12"/>
  <c r="J16" i="12"/>
  <c r="L18" i="12"/>
  <c r="L17" i="12"/>
  <c r="K18" i="12"/>
  <c r="K17" i="12"/>
  <c r="L16" i="12"/>
  <c r="K16" i="12"/>
  <c r="J4" i="12"/>
  <c r="J8" i="11"/>
  <c r="J7" i="11"/>
  <c r="J6" i="11"/>
  <c r="L6" i="12"/>
  <c r="L11" i="12" s="1"/>
  <c r="L5" i="12"/>
  <c r="L4" i="12"/>
  <c r="L9" i="12" s="1"/>
  <c r="K6" i="12"/>
  <c r="K11" i="12" s="1"/>
  <c r="K5" i="12"/>
  <c r="K10" i="12" s="1"/>
  <c r="K4" i="12"/>
  <c r="K9" i="12" s="1"/>
  <c r="J6" i="12"/>
  <c r="J5" i="12"/>
  <c r="AA15" i="2"/>
  <c r="AF14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5" i="2"/>
  <c r="I13" i="2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M18" i="12" a="1"/>
  <c r="M17" i="12" a="1"/>
  <c r="M16" i="12" a="1"/>
  <c r="M4" i="12" a="1"/>
  <c r="M6" i="12" a="1"/>
  <c r="M5" i="12" a="1"/>
  <c r="J5" i="2" a="1"/>
  <c r="K5" i="2" a="1"/>
  <c r="M18" i="12" l="1"/>
  <c r="M17" i="12"/>
  <c r="M16" i="12"/>
  <c r="M5" i="12"/>
  <c r="M6" i="12"/>
  <c r="M4" i="12"/>
  <c r="J10" i="12"/>
  <c r="J11" i="12"/>
  <c r="J9" i="12"/>
  <c r="K5" i="2"/>
  <c r="J5" i="2"/>
  <c r="G6" i="2"/>
  <c r="G125" i="2"/>
  <c r="G117" i="2"/>
  <c r="G109" i="2"/>
  <c r="G101" i="2"/>
  <c r="G93" i="2"/>
  <c r="G85" i="2"/>
  <c r="G77" i="2"/>
  <c r="G69" i="2"/>
  <c r="G5" i="2"/>
  <c r="G124" i="2"/>
  <c r="G116" i="2"/>
  <c r="G108" i="2"/>
  <c r="G100" i="2"/>
  <c r="G92" i="2"/>
  <c r="G84" i="2"/>
  <c r="G76" i="2"/>
  <c r="G68" i="2"/>
  <c r="G123" i="2"/>
  <c r="G115" i="2"/>
  <c r="G107" i="2"/>
  <c r="G99" i="2"/>
  <c r="G91" i="2"/>
  <c r="G83" i="2"/>
  <c r="G75" i="2"/>
  <c r="G122" i="2"/>
  <c r="G114" i="2"/>
  <c r="G106" i="2"/>
  <c r="G98" i="2"/>
  <c r="G90" i="2"/>
  <c r="G82" i="2"/>
  <c r="G74" i="2"/>
  <c r="G121" i="2"/>
  <c r="G113" i="2"/>
  <c r="G105" i="2"/>
  <c r="G97" i="2"/>
  <c r="G89" i="2"/>
  <c r="G81" i="2"/>
  <c r="G73" i="2"/>
  <c r="G120" i="2"/>
  <c r="G112" i="2"/>
  <c r="G104" i="2"/>
  <c r="G96" i="2"/>
  <c r="G88" i="2"/>
  <c r="G80" i="2"/>
  <c r="G72" i="2"/>
  <c r="G127" i="2"/>
  <c r="G119" i="2"/>
  <c r="G111" i="2"/>
  <c r="G103" i="2"/>
  <c r="G95" i="2"/>
  <c r="G87" i="2"/>
  <c r="G79" i="2"/>
  <c r="G71" i="2"/>
  <c r="J3" i="2"/>
  <c r="J7" i="2"/>
  <c r="J4" i="2"/>
  <c r="G126" i="2"/>
  <c r="G118" i="2"/>
  <c r="G110" i="2"/>
  <c r="G102" i="2"/>
  <c r="G94" i="2"/>
  <c r="G86" i="2"/>
  <c r="G78" i="2"/>
  <c r="G70" i="2"/>
  <c r="G66" i="2"/>
  <c r="G58" i="2"/>
  <c r="G50" i="2"/>
  <c r="G42" i="2"/>
  <c r="G34" i="2"/>
  <c r="G26" i="2"/>
  <c r="G18" i="2"/>
  <c r="G10" i="2"/>
  <c r="G65" i="2"/>
  <c r="G57" i="2"/>
  <c r="G49" i="2"/>
  <c r="G41" i="2"/>
  <c r="G33" i="2"/>
  <c r="G25" i="2"/>
  <c r="G17" i="2"/>
  <c r="G9" i="2"/>
  <c r="G64" i="2"/>
  <c r="G56" i="2"/>
  <c r="G48" i="2"/>
  <c r="G40" i="2"/>
  <c r="G32" i="2"/>
  <c r="G24" i="2"/>
  <c r="G16" i="2"/>
  <c r="G8" i="2"/>
  <c r="G63" i="2"/>
  <c r="G55" i="2"/>
  <c r="G47" i="2"/>
  <c r="G39" i="2"/>
  <c r="G31" i="2"/>
  <c r="G23" i="2"/>
  <c r="G15" i="2"/>
  <c r="G7" i="2"/>
  <c r="G62" i="2"/>
  <c r="G54" i="2"/>
  <c r="G46" i="2"/>
  <c r="G38" i="2"/>
  <c r="G30" i="2"/>
  <c r="G22" i="2"/>
  <c r="G14" i="2"/>
  <c r="G61" i="2"/>
  <c r="G53" i="2"/>
  <c r="G45" i="2"/>
  <c r="G37" i="2"/>
  <c r="G29" i="2"/>
  <c r="G21" i="2"/>
  <c r="G13" i="2"/>
  <c r="G60" i="2"/>
  <c r="G52" i="2"/>
  <c r="G44" i="2"/>
  <c r="G36" i="2"/>
  <c r="G28" i="2"/>
  <c r="G20" i="2"/>
  <c r="G12" i="2"/>
  <c r="G67" i="2"/>
  <c r="G59" i="2"/>
  <c r="G51" i="2"/>
  <c r="G43" i="2"/>
  <c r="G35" i="2"/>
  <c r="G27" i="2"/>
  <c r="G19" i="2"/>
  <c r="G11" i="2"/>
  <c r="AF15" i="2"/>
  <c r="AA16" i="2"/>
  <c r="K3" i="2"/>
  <c r="K4" i="2"/>
  <c r="G4" i="2"/>
  <c r="AC15" i="2" a="1"/>
  <c r="AD15" i="2" a="1"/>
  <c r="AB15" i="2" a="1"/>
  <c r="AB14" i="2" a="1"/>
  <c r="AD13" i="2" a="1"/>
  <c r="AB12" i="2" a="1"/>
  <c r="AC13" i="2" a="1"/>
  <c r="AC14" i="2" a="1"/>
  <c r="AB13" i="2" a="1"/>
  <c r="AD14" i="2" a="1"/>
  <c r="AC12" i="2" a="1"/>
  <c r="AD12" i="2" a="1"/>
  <c r="AI14" i="2" a="1"/>
  <c r="AG14" i="2" a="1"/>
  <c r="AH14" i="2" a="1"/>
  <c r="AI12" i="2" a="1"/>
  <c r="AI13" i="2" a="1"/>
  <c r="AH12" i="2" a="1"/>
  <c r="AG13" i="2" a="1"/>
  <c r="AH13" i="2" a="1"/>
  <c r="AG12" i="2" a="1"/>
  <c r="AI15" i="2" a="1"/>
  <c r="AH15" i="2" a="1"/>
  <c r="AG15" i="2" a="1"/>
  <c r="AB16" i="2" a="1"/>
  <c r="AC16" i="2" a="1"/>
  <c r="AD16" i="2" a="1"/>
  <c r="N6" i="2" l="1"/>
  <c r="AD16" i="2"/>
  <c r="AC16" i="2"/>
  <c r="AB16" i="2"/>
  <c r="AG15" i="2"/>
  <c r="AH15" i="2"/>
  <c r="AI15" i="2"/>
  <c r="AG12" i="2"/>
  <c r="AH13" i="2"/>
  <c r="AG13" i="2"/>
  <c r="AH12" i="2"/>
  <c r="AI13" i="2"/>
  <c r="AI12" i="2"/>
  <c r="AH14" i="2"/>
  <c r="AG14" i="2"/>
  <c r="AI14" i="2"/>
  <c r="AD12" i="2"/>
  <c r="AC12" i="2"/>
  <c r="AD14" i="2"/>
  <c r="AB13" i="2"/>
  <c r="AC14" i="2"/>
  <c r="AC13" i="2"/>
  <c r="AB12" i="2"/>
  <c r="AD13" i="2"/>
  <c r="AB14" i="2"/>
  <c r="AB15" i="2"/>
  <c r="AD15" i="2"/>
  <c r="AC15" i="2"/>
  <c r="P7" i="2"/>
  <c r="P8" i="2" s="1"/>
  <c r="AA17" i="2"/>
  <c r="AF16" i="2"/>
  <c r="N8" i="2"/>
  <c r="AD17" i="2" a="1"/>
  <c r="AC17" i="2" a="1"/>
  <c r="AB17" i="2" a="1"/>
  <c r="AI16" i="2" a="1"/>
  <c r="AH16" i="2" a="1"/>
  <c r="AG16" i="2" a="1"/>
  <c r="K58" i="2" a="1"/>
  <c r="K61" i="2" a="1"/>
  <c r="J36" i="2" a="1"/>
  <c r="K57" i="2" a="1"/>
  <c r="K69" i="2" a="1"/>
  <c r="J88" i="2" a="1"/>
  <c r="J108" i="2" a="1"/>
  <c r="K16" i="2" a="1"/>
  <c r="K35" i="2" a="1"/>
  <c r="L56" i="2" a="1"/>
  <c r="J78" i="2" a="1"/>
  <c r="L103" i="2" a="1"/>
  <c r="J102" i="2" a="1"/>
  <c r="J18" i="2" a="1"/>
  <c r="K68" i="2" a="1"/>
  <c r="L89" i="2" a="1"/>
  <c r="K107" i="2" a="1"/>
  <c r="L77" i="2" a="1"/>
  <c r="J94" i="2" a="1"/>
  <c r="J42" i="2" a="1"/>
  <c r="J82" i="2" a="1"/>
  <c r="L37" i="2" a="1"/>
  <c r="J91" i="2" a="1"/>
  <c r="K63" i="2" a="1"/>
  <c r="K111" i="2" a="1"/>
  <c r="J59" i="2" a="1"/>
  <c r="L12" i="2" a="1"/>
  <c r="J17" i="2" a="1"/>
  <c r="L27" i="2" a="1"/>
  <c r="K38" i="2" a="1"/>
  <c r="J49" i="2" a="1"/>
  <c r="L59" i="2" a="1"/>
  <c r="K70" i="2" a="1"/>
  <c r="J81" i="2" a="1"/>
  <c r="J72" i="2" a="1"/>
  <c r="J96" i="2" a="1"/>
  <c r="J16" i="2" a="1"/>
  <c r="L26" i="2" a="1"/>
  <c r="K37" i="2" a="1"/>
  <c r="J48" i="2" a="1"/>
  <c r="L58" i="2" a="1"/>
  <c r="L70" i="2" a="1"/>
  <c r="L90" i="2" a="1"/>
  <c r="L110" i="2" a="1"/>
  <c r="J19" i="2" a="1"/>
  <c r="J38" i="2" a="1"/>
  <c r="K59" i="2" a="1"/>
  <c r="L80" i="2" a="1"/>
  <c r="J106" i="2" a="1"/>
  <c r="K104" i="2" a="1"/>
  <c r="K28" i="2" a="1"/>
  <c r="L49" i="2" a="1"/>
  <c r="J71" i="2" a="1"/>
  <c r="L95" i="2" a="1"/>
  <c r="L29" i="2" a="1"/>
  <c r="L85" i="2" a="1"/>
  <c r="K96" i="2" a="1"/>
  <c r="L44" i="2" a="1"/>
  <c r="K87" i="2" a="1"/>
  <c r="L45" i="2" a="1"/>
  <c r="K15" i="2" a="1"/>
  <c r="L68" i="2" a="1"/>
  <c r="K19" i="2" a="1"/>
  <c r="J67" i="2" a="1"/>
  <c r="J12" i="2" a="1"/>
  <c r="J37" i="2" a="1"/>
  <c r="L14" i="2" a="1"/>
  <c r="J29" i="2" a="1"/>
  <c r="K50" i="2" a="1"/>
  <c r="K82" i="2" a="1"/>
  <c r="L98" i="2" a="1"/>
  <c r="J28" i="2" a="1"/>
  <c r="J60" i="2" a="1"/>
  <c r="J92" i="2" a="1"/>
  <c r="J62" i="2" a="1"/>
  <c r="K108" i="2" a="1"/>
  <c r="J31" i="2" a="1"/>
  <c r="J98" i="2" a="1"/>
  <c r="K102" i="2" a="1"/>
  <c r="L53" i="2" a="1"/>
  <c r="J75" i="2" a="1"/>
  <c r="L19" i="2" a="1"/>
  <c r="J41" i="2" a="1"/>
  <c r="L51" i="2" a="1"/>
  <c r="K62" i="2" a="1"/>
  <c r="J73" i="2" a="1"/>
  <c r="L83" i="2" a="1"/>
  <c r="L78" i="2" a="1"/>
  <c r="K101" i="2" a="1"/>
  <c r="L18" i="2" a="1"/>
  <c r="K29" i="2" a="1"/>
  <c r="J40" i="2" a="1"/>
  <c r="L50" i="2" a="1"/>
  <c r="L62" i="2" a="1"/>
  <c r="L74" i="2" a="1"/>
  <c r="L94" i="2" a="1"/>
  <c r="L17" i="2" a="1"/>
  <c r="L25" i="2" a="1"/>
  <c r="K43" i="2" a="1"/>
  <c r="L64" i="2" a="1"/>
  <c r="J86" i="2" a="1"/>
  <c r="J14" i="2" a="1"/>
  <c r="K90" i="2" a="1"/>
  <c r="L33" i="2" a="1"/>
  <c r="J55" i="2" a="1"/>
  <c r="K76" i="2" a="1"/>
  <c r="K100" i="2" a="1"/>
  <c r="K40" i="2" a="1"/>
  <c r="L111" i="2" a="1"/>
  <c r="L104" i="2" a="1"/>
  <c r="K55" i="2" a="1"/>
  <c r="L100" i="2" a="1"/>
  <c r="K64" i="2" a="1"/>
  <c r="J34" i="2" a="1"/>
  <c r="K79" i="2" a="1"/>
  <c r="J105" i="2" a="1"/>
  <c r="K80" i="2" a="1"/>
  <c r="K26" i="2" a="1"/>
  <c r="J69" i="2" a="1"/>
  <c r="K25" i="2" a="1"/>
  <c r="K18" i="2" a="1"/>
  <c r="L39" i="2" a="1"/>
  <c r="J61" i="2" a="1"/>
  <c r="L71" i="2" a="1"/>
  <c r="J76" i="2" a="1"/>
  <c r="K17" i="2" a="1"/>
  <c r="L38" i="2" a="1"/>
  <c r="K49" i="2" a="1"/>
  <c r="K73" i="2" a="1"/>
  <c r="L13" i="2" a="1"/>
  <c r="L21" i="2" a="1"/>
  <c r="L40" i="2" a="1"/>
  <c r="K83" i="2" a="1"/>
  <c r="K110" i="2" a="1"/>
  <c r="K52" i="2" a="1"/>
  <c r="L73" i="2" a="1"/>
  <c r="K32" i="2" a="1"/>
  <c r="J95" i="2" a="1"/>
  <c r="J50" i="2" a="1"/>
  <c r="K92" i="2" a="1"/>
  <c r="L28" i="2" a="1"/>
  <c r="J74" i="2" a="1"/>
  <c r="J99" i="2" a="1"/>
  <c r="K30" i="2" a="1"/>
  <c r="J21" i="2" a="1"/>
  <c r="L31" i="2" a="1"/>
  <c r="K42" i="2" a="1"/>
  <c r="J53" i="2" a="1"/>
  <c r="L63" i="2" a="1"/>
  <c r="K74" i="2" a="1"/>
  <c r="J85" i="2" a="1"/>
  <c r="K81" i="2" a="1"/>
  <c r="J104" i="2" a="1"/>
  <c r="J20" i="2" a="1"/>
  <c r="L30" i="2" a="1"/>
  <c r="K41" i="2" a="1"/>
  <c r="J52" i="2" a="1"/>
  <c r="J64" i="2" a="1"/>
  <c r="K77" i="2" a="1"/>
  <c r="K97" i="2" a="1"/>
  <c r="K20" i="2" a="1"/>
  <c r="L20" i="2" a="1"/>
  <c r="J46" i="2" a="1"/>
  <c r="K67" i="2" a="1"/>
  <c r="L88" i="2" a="1"/>
  <c r="L24" i="2" a="1"/>
  <c r="K103" i="2" a="1"/>
  <c r="K36" i="2" a="1"/>
  <c r="L57" i="2" a="1"/>
  <c r="J79" i="2" a="1"/>
  <c r="K106" i="2" a="1"/>
  <c r="K48" i="2" a="1"/>
  <c r="K99" i="2" a="1"/>
  <c r="J107" i="2" a="1"/>
  <c r="L60" i="2" a="1"/>
  <c r="J109" i="2" a="1"/>
  <c r="K72" i="2" a="1"/>
  <c r="K39" i="2" a="1"/>
  <c r="L84" i="2" a="1"/>
  <c r="J27" i="2" a="1"/>
  <c r="K88" i="2" a="1"/>
  <c r="J70" i="2" a="1"/>
  <c r="L15" i="2" a="1"/>
  <c r="L79" i="2" a="1"/>
  <c r="L46" i="2" a="1"/>
  <c r="J33" i="2" a="1"/>
  <c r="L43" i="2" a="1"/>
  <c r="J65" i="2" a="1"/>
  <c r="L75" i="2" a="1"/>
  <c r="J84" i="2" a="1"/>
  <c r="K21" i="2" a="1"/>
  <c r="L42" i="2" a="1"/>
  <c r="K65" i="2" a="1"/>
  <c r="J80" i="2" a="1"/>
  <c r="J23" i="2" a="1"/>
  <c r="L48" i="2" a="1"/>
  <c r="J93" i="2" a="1"/>
  <c r="L16" i="2" a="1"/>
  <c r="J39" i="2" a="1"/>
  <c r="L81" i="2" a="1"/>
  <c r="K56" i="2" a="1"/>
  <c r="L107" i="2" a="1"/>
  <c r="J66" i="2" a="1"/>
  <c r="K94" i="2" a="1"/>
  <c r="K47" i="2" a="1"/>
  <c r="J90" i="2" a="1"/>
  <c r="J35" i="2" a="1"/>
  <c r="J13" i="2" a="1"/>
  <c r="L23" i="2" a="1"/>
  <c r="K34" i="2" a="1"/>
  <c r="J45" i="2" a="1"/>
  <c r="L55" i="2" a="1"/>
  <c r="K66" i="2" a="1"/>
  <c r="J77" i="2" a="1"/>
  <c r="L87" i="2" a="1"/>
  <c r="L86" i="2" a="1"/>
  <c r="K109" i="2" a="1"/>
  <c r="L22" i="2" a="1"/>
  <c r="K33" i="2" a="1"/>
  <c r="J44" i="2" a="1"/>
  <c r="L54" i="2" a="1"/>
  <c r="L66" i="2" a="1"/>
  <c r="L82" i="2" a="1"/>
  <c r="L102" i="2" a="1"/>
  <c r="K24" i="2" a="1"/>
  <c r="J30" i="2" a="1"/>
  <c r="K51" i="2" a="1"/>
  <c r="L72" i="2" a="1"/>
  <c r="K95" i="2" a="1"/>
  <c r="L93" i="2" a="1"/>
  <c r="J97" i="2" a="1"/>
  <c r="L41" i="2" a="1"/>
  <c r="J63" i="2" a="1"/>
  <c r="K84" i="2" a="1"/>
  <c r="J111" i="2" a="1"/>
  <c r="L61" i="2" a="1"/>
  <c r="J22" i="2" a="1"/>
  <c r="K31" i="2" a="1"/>
  <c r="K71" i="2" a="1"/>
  <c r="L109" i="2" a="1"/>
  <c r="L92" i="2" a="1"/>
  <c r="L52" i="2" a="1"/>
  <c r="K98" i="2" a="1"/>
  <c r="J43" i="2" a="1"/>
  <c r="L101" i="2" a="1"/>
  <c r="L47" i="2" a="1"/>
  <c r="K93" i="2" a="1"/>
  <c r="K22" i="2" a="1"/>
  <c r="K54" i="2" a="1"/>
  <c r="K86" i="2" a="1"/>
  <c r="L106" i="2" a="1"/>
  <c r="J32" i="2" a="1"/>
  <c r="K53" i="2" a="1"/>
  <c r="J100" i="2" a="1"/>
  <c r="K27" i="2" a="1"/>
  <c r="K91" i="2" a="1"/>
  <c r="K60" i="2" a="1"/>
  <c r="L108" i="2" a="1"/>
  <c r="J26" i="2" a="1"/>
  <c r="J83" i="2" a="1"/>
  <c r="J101" i="2" a="1"/>
  <c r="K14" i="2" a="1"/>
  <c r="J25" i="2" a="1"/>
  <c r="L35" i="2" a="1"/>
  <c r="K46" i="2" a="1"/>
  <c r="J57" i="2" a="1"/>
  <c r="L67" i="2" a="1"/>
  <c r="K78" i="2" a="1"/>
  <c r="J89" i="2" a="1"/>
  <c r="K89" i="2" a="1"/>
  <c r="K13" i="2" a="1"/>
  <c r="J24" i="2" a="1"/>
  <c r="L34" i="2" a="1"/>
  <c r="K45" i="2" a="1"/>
  <c r="J56" i="2" a="1"/>
  <c r="J68" i="2" a="1"/>
  <c r="K85" i="2" a="1"/>
  <c r="K105" i="2" a="1"/>
  <c r="J15" i="2" a="1"/>
  <c r="L32" i="2" a="1"/>
  <c r="J54" i="2" a="1"/>
  <c r="K75" i="2" a="1"/>
  <c r="L97" i="2" a="1"/>
  <c r="L99" i="2" a="1"/>
  <c r="J110" i="2" a="1"/>
  <c r="K44" i="2" a="1"/>
  <c r="L65" i="2" a="1"/>
  <c r="J87" i="2" a="1"/>
  <c r="L96" i="2" a="1"/>
  <c r="L69" i="2" a="1"/>
  <c r="L91" i="2" a="1"/>
  <c r="L36" i="2" a="1"/>
  <c r="L76" i="2" a="1"/>
  <c r="K23" i="2" a="1"/>
  <c r="L105" i="2" a="1"/>
  <c r="J58" i="2" a="1"/>
  <c r="J103" i="2" a="1"/>
  <c r="J51" i="2" a="1"/>
  <c r="K12" i="2" a="1"/>
  <c r="J47" i="2" a="1"/>
  <c r="W12" i="2" a="1"/>
  <c r="W42" i="2" a="1"/>
  <c r="V65" i="2" a="1"/>
  <c r="W71" i="2" a="1"/>
  <c r="V50" i="2" a="1"/>
  <c r="V105" i="2" a="1"/>
  <c r="X83" i="2" a="1"/>
  <c r="W62" i="2" a="1"/>
  <c r="X41" i="2" a="1"/>
  <c r="W63" i="2" a="1"/>
  <c r="W67" i="2" a="1"/>
  <c r="W98" i="2" a="1"/>
  <c r="W66" i="2" a="1"/>
  <c r="X43" i="2" a="1"/>
  <c r="W65" i="2" a="1"/>
  <c r="X58" i="2" a="1"/>
  <c r="V107" i="2" a="1"/>
  <c r="X106" i="2" a="1"/>
  <c r="W85" i="2" a="1"/>
  <c r="V100" i="2" a="1"/>
  <c r="V38" i="2" a="1"/>
  <c r="V22" i="2" a="1"/>
  <c r="W26" i="2" a="1"/>
  <c r="X39" i="2" a="1"/>
  <c r="V39" i="2" a="1"/>
  <c r="V41" i="2" a="1"/>
  <c r="W83" i="2" a="1"/>
  <c r="W55" i="2" a="1"/>
  <c r="W48" i="2" a="1"/>
  <c r="X42" i="2" a="1"/>
  <c r="W14" i="2" a="1"/>
  <c r="W100" i="2" a="1"/>
  <c r="V110" i="2" a="1"/>
  <c r="W28" i="2" a="1"/>
  <c r="W16" i="2" a="1"/>
  <c r="X12" i="2" a="1"/>
  <c r="V90" i="2" a="1"/>
  <c r="X76" i="2" a="1"/>
  <c r="W20" i="2" a="1"/>
  <c r="W50" i="2" a="1"/>
  <c r="V18" i="2" a="1"/>
  <c r="W22" i="2" a="1"/>
  <c r="V48" i="2" a="1"/>
  <c r="X103" i="2" a="1"/>
  <c r="W101" i="2" a="1"/>
  <c r="W54" i="2" a="1"/>
  <c r="V67" i="2" a="1"/>
  <c r="X44" i="2" a="1"/>
  <c r="X98" i="2" a="1"/>
  <c r="W77" i="2" a="1"/>
  <c r="V56" i="2" a="1"/>
  <c r="W36" i="2" a="1"/>
  <c r="W34" i="2" a="1"/>
  <c r="V111" i="2" a="1"/>
  <c r="X85" i="2" a="1"/>
  <c r="V60" i="2" a="1"/>
  <c r="W38" i="2" a="1"/>
  <c r="V45" i="2" a="1"/>
  <c r="W103" i="2" a="1"/>
  <c r="W96" i="2" a="1"/>
  <c r="W102" i="2" a="1"/>
  <c r="V81" i="2" a="1"/>
  <c r="X59" i="2" a="1"/>
  <c r="V61" i="2" a="1"/>
  <c r="X95" i="2" a="1"/>
  <c r="W74" i="2" a="1"/>
  <c r="V53" i="2" a="1"/>
  <c r="X111" i="2" a="1"/>
  <c r="V89" i="2" a="1"/>
  <c r="X67" i="2" a="1"/>
  <c r="X45" i="2" a="1"/>
  <c r="V30" i="2" a="1"/>
  <c r="W19" i="2" a="1"/>
  <c r="X29" i="2" a="1"/>
  <c r="V19" i="2" a="1"/>
  <c r="W41" i="2" a="1"/>
  <c r="W17" i="2" a="1"/>
  <c r="W33" i="2" a="1"/>
  <c r="X14" i="2" a="1"/>
  <c r="X23" i="2" a="1"/>
  <c r="V13" i="2" a="1"/>
  <c r="V54" i="2" a="1"/>
  <c r="W79" i="2" a="1"/>
  <c r="V101" i="2" a="1"/>
  <c r="W72" i="2" a="1"/>
  <c r="V43" i="2" a="1"/>
  <c r="X30" i="2" a="1"/>
  <c r="V28" i="2" a="1"/>
  <c r="W95" i="2" a="1"/>
  <c r="V97" i="2" a="1"/>
  <c r="W52" i="2" a="1"/>
  <c r="X62" i="2" a="1"/>
  <c r="V42" i="2" a="1"/>
  <c r="X96" i="2" a="1"/>
  <c r="W75" i="2" a="1"/>
  <c r="X109" i="2" a="1"/>
  <c r="W111" i="2" a="1"/>
  <c r="W105" i="2" a="1"/>
  <c r="V58" i="2" a="1"/>
  <c r="V92" i="2" a="1"/>
  <c r="X93" i="2" a="1"/>
  <c r="X65" i="2" a="1"/>
  <c r="W13" i="2" a="1"/>
  <c r="X34" i="2" a="1"/>
  <c r="W80" i="2" a="1"/>
  <c r="X90" i="2" a="1"/>
  <c r="X94" i="2" a="1"/>
  <c r="X60" i="2" a="1"/>
  <c r="W39" i="2" a="1"/>
  <c r="W94" i="2" a="1"/>
  <c r="V73" i="2" a="1"/>
  <c r="X51" i="2" a="1"/>
  <c r="X101" i="2" a="1"/>
  <c r="X105" i="2" a="1"/>
  <c r="V99" i="2" a="1"/>
  <c r="V77" i="2" a="1"/>
  <c r="X55" i="2" a="1"/>
  <c r="V108" i="2" a="1"/>
  <c r="V95" i="2" a="1"/>
  <c r="X92" i="2" a="1"/>
  <c r="X87" i="2" a="1"/>
  <c r="V96" i="2" a="1"/>
  <c r="X74" i="2" a="1"/>
  <c r="W53" i="2" a="1"/>
  <c r="V37" i="2" a="1"/>
  <c r="W89" i="2" a="1"/>
  <c r="V68" i="2" a="1"/>
  <c r="X48" i="2" a="1"/>
  <c r="V104" i="2" a="1"/>
  <c r="X82" i="2" a="1"/>
  <c r="W61" i="2" a="1"/>
  <c r="W40" i="2" a="1"/>
  <c r="W27" i="2" a="1"/>
  <c r="V21" i="2" a="1"/>
  <c r="X69" i="2" a="1"/>
  <c r="W84" i="2" a="1"/>
  <c r="W88" i="2" a="1"/>
  <c r="W58" i="2" a="1"/>
  <c r="X36" i="2" a="1"/>
  <c r="W92" i="2" a="1"/>
  <c r="V71" i="2" a="1"/>
  <c r="X49" i="2" a="1"/>
  <c r="V93" i="2" a="1"/>
  <c r="W99" i="2" a="1"/>
  <c r="W90" i="2" a="1"/>
  <c r="V75" i="2" a="1"/>
  <c r="X53" i="2" a="1"/>
  <c r="W97" i="2" a="1"/>
  <c r="X88" i="2" a="1"/>
  <c r="V82" i="2" a="1"/>
  <c r="W81" i="2" a="1"/>
  <c r="V94" i="2" a="1"/>
  <c r="X72" i="2" a="1"/>
  <c r="W51" i="2" a="1"/>
  <c r="W108" i="2" a="1"/>
  <c r="W87" i="2" a="1"/>
  <c r="V66" i="2" a="1"/>
  <c r="V46" i="2" a="1"/>
  <c r="V102" i="2" a="1"/>
  <c r="X80" i="2" a="1"/>
  <c r="W59" i="2" a="1"/>
  <c r="X37" i="2" a="1"/>
  <c r="V26" i="2" a="1"/>
  <c r="W15" i="2" a="1"/>
  <c r="X25" i="2" a="1"/>
  <c r="V15" i="2" a="1"/>
  <c r="V32" i="2" a="1"/>
  <c r="X46" i="2" a="1"/>
  <c r="W25" i="2" a="1"/>
  <c r="W30" i="2" a="1"/>
  <c r="X19" i="2" a="1"/>
  <c r="X73" i="2" a="1"/>
  <c r="V76" i="2" a="1"/>
  <c r="X110" i="2" a="1"/>
  <c r="X89" i="2" a="1"/>
  <c r="V91" i="2" a="1"/>
  <c r="X61" i="2" a="1"/>
  <c r="X97" i="2" a="1"/>
  <c r="W76" i="2" a="1"/>
  <c r="V34" i="2" a="1"/>
  <c r="X33" i="2" a="1"/>
  <c r="W49" i="2" a="1"/>
  <c r="V40" i="2" a="1"/>
  <c r="V17" i="2" a="1"/>
  <c r="W82" i="2" a="1"/>
  <c r="X78" i="2" a="1"/>
  <c r="W93" i="2" a="1"/>
  <c r="X32" i="2" a="1"/>
  <c r="X21" i="2" a="1"/>
  <c r="X22" i="2" a="1"/>
  <c r="X38" i="2" a="1"/>
  <c r="W47" i="2" a="1"/>
  <c r="W60" i="2" a="1"/>
  <c r="X56" i="2" a="1"/>
  <c r="X54" i="2" a="1"/>
  <c r="X100" i="2" a="1"/>
  <c r="V62" i="2" a="1"/>
  <c r="W35" i="2" a="1"/>
  <c r="W31" i="2" a="1"/>
  <c r="V31" i="2" a="1"/>
  <c r="V36" i="2" a="1"/>
  <c r="X107" i="2" a="1"/>
  <c r="X57" i="2" a="1"/>
  <c r="V87" i="2" a="1"/>
  <c r="W37" i="2" a="1"/>
  <c r="X16" i="2" a="1"/>
  <c r="V59" i="2" a="1"/>
  <c r="V80" i="2" a="1"/>
  <c r="V84" i="2" a="1"/>
  <c r="W56" i="2" a="1"/>
  <c r="V109" i="2" a="1"/>
  <c r="V88" i="2" a="1"/>
  <c r="X66" i="2" a="1"/>
  <c r="V47" i="2" a="1"/>
  <c r="X84" i="2" a="1"/>
  <c r="W86" i="2" a="1"/>
  <c r="X79" i="2" a="1"/>
  <c r="X70" i="2" a="1"/>
  <c r="V49" i="2" a="1"/>
  <c r="X86" i="2" a="1"/>
  <c r="V78" i="2" a="1"/>
  <c r="W73" i="2" a="1"/>
  <c r="W110" i="2" a="1"/>
  <c r="X91" i="2" a="1"/>
  <c r="W70" i="2" a="1"/>
  <c r="V106" i="2" a="1"/>
  <c r="W106" i="2" a="1"/>
  <c r="V85" i="2" a="1"/>
  <c r="X63" i="2" a="1"/>
  <c r="W43" i="2" a="1"/>
  <c r="X99" i="2" a="1"/>
  <c r="W78" i="2" a="1"/>
  <c r="V57" i="2" a="1"/>
  <c r="V35" i="2" a="1"/>
  <c r="X24" i="2" a="1"/>
  <c r="V14" i="2" a="1"/>
  <c r="W24" i="2" a="1"/>
  <c r="X13" i="2" a="1"/>
  <c r="W29" i="2" a="1"/>
  <c r="V44" i="2" a="1"/>
  <c r="V24" i="2" a="1"/>
  <c r="V29" i="2" a="1"/>
  <c r="W18" i="2" a="1"/>
  <c r="X102" i="2" a="1"/>
  <c r="W46" i="2" a="1"/>
  <c r="W69" i="2" a="1"/>
  <c r="X108" i="2" a="1"/>
  <c r="W68" i="2" a="1"/>
  <c r="W104" i="2" a="1"/>
  <c r="X40" i="2" a="1"/>
  <c r="V55" i="2" a="1"/>
  <c r="W23" i="2" a="1"/>
  <c r="V23" i="2" a="1"/>
  <c r="X26" i="2" a="1"/>
  <c r="W21" i="2" a="1"/>
  <c r="X27" i="2" a="1"/>
  <c r="V64" i="2" a="1"/>
  <c r="W57" i="2" a="1"/>
  <c r="V72" i="2" a="1"/>
  <c r="X50" i="2" a="1"/>
  <c r="W32" i="2" a="1"/>
  <c r="W45" i="2" a="1"/>
  <c r="X18" i="2" a="1"/>
  <c r="X15" i="2" a="1"/>
  <c r="V69" i="2" a="1"/>
  <c r="V103" i="2" a="1"/>
  <c r="X81" i="2" a="1"/>
  <c r="X47" i="2" a="1"/>
  <c r="W64" i="2" a="1"/>
  <c r="W109" i="2" a="1"/>
  <c r="X104" i="2" a="1"/>
  <c r="X71" i="2" a="1"/>
  <c r="W91" i="2" a="1"/>
  <c r="V70" i="2" a="1"/>
  <c r="X20" i="2" a="1"/>
  <c r="V20" i="2" a="1"/>
  <c r="V16" i="2" a="1"/>
  <c r="X35" i="2" a="1"/>
  <c r="V79" i="2" a="1"/>
  <c r="V51" i="2" a="1"/>
  <c r="X28" i="2" a="1"/>
  <c r="V33" i="2" a="1"/>
  <c r="V27" i="2" a="1"/>
  <c r="X31" i="2" a="1"/>
  <c r="V12" i="2" a="1"/>
  <c r="X52" i="2" a="1"/>
  <c r="X75" i="2" a="1"/>
  <c r="X77" i="2" a="1"/>
  <c r="V52" i="2" a="1"/>
  <c r="W107" i="2" a="1"/>
  <c r="V86" i="2" a="1"/>
  <c r="X64" i="2" a="1"/>
  <c r="W44" i="2" a="1"/>
  <c r="V74" i="2" a="1"/>
  <c r="X68" i="2" a="1"/>
  <c r="V83" i="2" a="1"/>
  <c r="V63" i="2" a="1"/>
  <c r="V98" i="2" a="1"/>
  <c r="V25" i="2" a="1"/>
  <c r="X17" i="2" a="1"/>
  <c r="J47" i="2" l="1"/>
  <c r="K12" i="2"/>
  <c r="J51" i="2"/>
  <c r="J103" i="2"/>
  <c r="J58" i="2"/>
  <c r="L105" i="2"/>
  <c r="K23" i="2"/>
  <c r="L76" i="2"/>
  <c r="L36" i="2"/>
  <c r="L91" i="2"/>
  <c r="L69" i="2"/>
  <c r="L96" i="2"/>
  <c r="J87" i="2"/>
  <c r="L65" i="2"/>
  <c r="K44" i="2"/>
  <c r="J110" i="2"/>
  <c r="L99" i="2"/>
  <c r="L97" i="2"/>
  <c r="K75" i="2"/>
  <c r="J54" i="2"/>
  <c r="L32" i="2"/>
  <c r="J15" i="2"/>
  <c r="K105" i="2"/>
  <c r="K85" i="2"/>
  <c r="J68" i="2"/>
  <c r="J56" i="2"/>
  <c r="K45" i="2"/>
  <c r="L34" i="2"/>
  <c r="J24" i="2"/>
  <c r="K13" i="2"/>
  <c r="K89" i="2"/>
  <c r="J89" i="2"/>
  <c r="K78" i="2"/>
  <c r="L67" i="2"/>
  <c r="J57" i="2"/>
  <c r="K46" i="2"/>
  <c r="L35" i="2"/>
  <c r="J25" i="2"/>
  <c r="K14" i="2"/>
  <c r="J101" i="2"/>
  <c r="J83" i="2"/>
  <c r="J26" i="2"/>
  <c r="L108" i="2"/>
  <c r="K60" i="2"/>
  <c r="K91" i="2"/>
  <c r="K27" i="2"/>
  <c r="J100" i="2"/>
  <c r="K53" i="2"/>
  <c r="J32" i="2"/>
  <c r="L106" i="2"/>
  <c r="K86" i="2"/>
  <c r="K54" i="2"/>
  <c r="K22" i="2"/>
  <c r="K93" i="2"/>
  <c r="L47" i="2"/>
  <c r="L101" i="2"/>
  <c r="J43" i="2"/>
  <c r="K98" i="2"/>
  <c r="L52" i="2"/>
  <c r="L92" i="2"/>
  <c r="L109" i="2"/>
  <c r="K71" i="2"/>
  <c r="K31" i="2"/>
  <c r="J22" i="2"/>
  <c r="L61" i="2"/>
  <c r="J111" i="2"/>
  <c r="K84" i="2"/>
  <c r="J63" i="2"/>
  <c r="L41" i="2"/>
  <c r="J97" i="2"/>
  <c r="L93" i="2"/>
  <c r="K95" i="2"/>
  <c r="L72" i="2"/>
  <c r="K51" i="2"/>
  <c r="J30" i="2"/>
  <c r="K24" i="2"/>
  <c r="L102" i="2"/>
  <c r="L82" i="2"/>
  <c r="L66" i="2"/>
  <c r="L54" i="2"/>
  <c r="J44" i="2"/>
  <c r="K33" i="2"/>
  <c r="L22" i="2"/>
  <c r="K109" i="2"/>
  <c r="L86" i="2"/>
  <c r="L87" i="2"/>
  <c r="J77" i="2"/>
  <c r="K66" i="2"/>
  <c r="L55" i="2"/>
  <c r="J45" i="2"/>
  <c r="K34" i="2"/>
  <c r="L23" i="2"/>
  <c r="J13" i="2"/>
  <c r="J35" i="2"/>
  <c r="J90" i="2"/>
  <c r="K47" i="2"/>
  <c r="K94" i="2"/>
  <c r="J66" i="2"/>
  <c r="L107" i="2"/>
  <c r="K56" i="2"/>
  <c r="L81" i="2"/>
  <c r="J39" i="2"/>
  <c r="L16" i="2"/>
  <c r="J93" i="2"/>
  <c r="L48" i="2"/>
  <c r="J23" i="2"/>
  <c r="J80" i="2"/>
  <c r="K65" i="2"/>
  <c r="L42" i="2"/>
  <c r="K21" i="2"/>
  <c r="J84" i="2"/>
  <c r="L75" i="2"/>
  <c r="J65" i="2"/>
  <c r="L43" i="2"/>
  <c r="J33" i="2"/>
  <c r="L46" i="2"/>
  <c r="L79" i="2"/>
  <c r="L15" i="2"/>
  <c r="J70" i="2"/>
  <c r="K88" i="2"/>
  <c r="J27" i="2"/>
  <c r="L84" i="2"/>
  <c r="K39" i="2"/>
  <c r="K72" i="2"/>
  <c r="J109" i="2"/>
  <c r="L60" i="2"/>
  <c r="J107" i="2"/>
  <c r="K99" i="2"/>
  <c r="K48" i="2"/>
  <c r="K106" i="2"/>
  <c r="J79" i="2"/>
  <c r="L57" i="2"/>
  <c r="K36" i="2"/>
  <c r="K103" i="2"/>
  <c r="L24" i="2"/>
  <c r="L88" i="2"/>
  <c r="K67" i="2"/>
  <c r="J46" i="2"/>
  <c r="L20" i="2"/>
  <c r="K20" i="2"/>
  <c r="K97" i="2"/>
  <c r="K77" i="2"/>
  <c r="J64" i="2"/>
  <c r="J52" i="2"/>
  <c r="K41" i="2"/>
  <c r="L30" i="2"/>
  <c r="J20" i="2"/>
  <c r="J104" i="2"/>
  <c r="K81" i="2"/>
  <c r="J85" i="2"/>
  <c r="K74" i="2"/>
  <c r="L63" i="2"/>
  <c r="J53" i="2"/>
  <c r="K42" i="2"/>
  <c r="L31" i="2"/>
  <c r="J21" i="2"/>
  <c r="K30" i="2"/>
  <c r="J99" i="2"/>
  <c r="J74" i="2"/>
  <c r="L28" i="2"/>
  <c r="K92" i="2"/>
  <c r="J50" i="2"/>
  <c r="J95" i="2"/>
  <c r="K32" i="2"/>
  <c r="L73" i="2"/>
  <c r="K52" i="2"/>
  <c r="K110" i="2"/>
  <c r="K83" i="2"/>
  <c r="L40" i="2"/>
  <c r="L21" i="2"/>
  <c r="L13" i="2"/>
  <c r="K73" i="2"/>
  <c r="K49" i="2"/>
  <c r="L38" i="2"/>
  <c r="K17" i="2"/>
  <c r="J76" i="2"/>
  <c r="L71" i="2"/>
  <c r="J61" i="2"/>
  <c r="L39" i="2"/>
  <c r="K18" i="2"/>
  <c r="K25" i="2"/>
  <c r="J69" i="2"/>
  <c r="K26" i="2"/>
  <c r="K80" i="2"/>
  <c r="J105" i="2"/>
  <c r="K79" i="2"/>
  <c r="J34" i="2"/>
  <c r="K64" i="2"/>
  <c r="L100" i="2"/>
  <c r="K55" i="2"/>
  <c r="L104" i="2"/>
  <c r="L111" i="2"/>
  <c r="K40" i="2"/>
  <c r="K100" i="2"/>
  <c r="K76" i="2"/>
  <c r="J55" i="2"/>
  <c r="L33" i="2"/>
  <c r="K90" i="2"/>
  <c r="J14" i="2"/>
  <c r="J86" i="2"/>
  <c r="L64" i="2"/>
  <c r="K43" i="2"/>
  <c r="L25" i="2"/>
  <c r="L17" i="2"/>
  <c r="L94" i="2"/>
  <c r="L74" i="2"/>
  <c r="L62" i="2"/>
  <c r="L50" i="2"/>
  <c r="J40" i="2"/>
  <c r="K29" i="2"/>
  <c r="L18" i="2"/>
  <c r="K101" i="2"/>
  <c r="L78" i="2"/>
  <c r="L83" i="2"/>
  <c r="J73" i="2"/>
  <c r="K62" i="2"/>
  <c r="L51" i="2"/>
  <c r="J41" i="2"/>
  <c r="L19" i="2"/>
  <c r="J75" i="2"/>
  <c r="L53" i="2"/>
  <c r="K102" i="2"/>
  <c r="J98" i="2"/>
  <c r="J31" i="2"/>
  <c r="K108" i="2"/>
  <c r="J62" i="2"/>
  <c r="J92" i="2"/>
  <c r="J60" i="2"/>
  <c r="J28" i="2"/>
  <c r="L98" i="2"/>
  <c r="K82" i="2"/>
  <c r="K50" i="2"/>
  <c r="J29" i="2"/>
  <c r="L14" i="2"/>
  <c r="J37" i="2"/>
  <c r="J12" i="2"/>
  <c r="J67" i="2"/>
  <c r="K19" i="2"/>
  <c r="L68" i="2"/>
  <c r="K15" i="2"/>
  <c r="L45" i="2"/>
  <c r="K87" i="2"/>
  <c r="L44" i="2"/>
  <c r="K96" i="2"/>
  <c r="L85" i="2"/>
  <c r="L29" i="2"/>
  <c r="L95" i="2"/>
  <c r="J71" i="2"/>
  <c r="L49" i="2"/>
  <c r="K28" i="2"/>
  <c r="K104" i="2"/>
  <c r="J106" i="2"/>
  <c r="L80" i="2"/>
  <c r="K59" i="2"/>
  <c r="J38" i="2"/>
  <c r="J19" i="2"/>
  <c r="L110" i="2"/>
  <c r="L90" i="2"/>
  <c r="L70" i="2"/>
  <c r="L58" i="2"/>
  <c r="J48" i="2"/>
  <c r="K37" i="2"/>
  <c r="L26" i="2"/>
  <c r="J16" i="2"/>
  <c r="J96" i="2"/>
  <c r="J72" i="2"/>
  <c r="J81" i="2"/>
  <c r="K70" i="2"/>
  <c r="L59" i="2"/>
  <c r="J49" i="2"/>
  <c r="K38" i="2"/>
  <c r="L27" i="2"/>
  <c r="J17" i="2"/>
  <c r="L12" i="2"/>
  <c r="J59" i="2"/>
  <c r="K111" i="2"/>
  <c r="K63" i="2"/>
  <c r="J91" i="2"/>
  <c r="L37" i="2"/>
  <c r="J82" i="2"/>
  <c r="J42" i="2"/>
  <c r="J94" i="2"/>
  <c r="L77" i="2"/>
  <c r="K107" i="2"/>
  <c r="L89" i="2"/>
  <c r="K68" i="2"/>
  <c r="J18" i="2"/>
  <c r="J102" i="2"/>
  <c r="L103" i="2"/>
  <c r="J78" i="2"/>
  <c r="L56" i="2"/>
  <c r="K35" i="2"/>
  <c r="K16" i="2"/>
  <c r="J108" i="2"/>
  <c r="J88" i="2"/>
  <c r="K69" i="2"/>
  <c r="K57" i="2"/>
  <c r="J36" i="2"/>
  <c r="K61" i="2"/>
  <c r="K58" i="2"/>
  <c r="AG16" i="2"/>
  <c r="AH16" i="2"/>
  <c r="AI16" i="2"/>
  <c r="AB17" i="2"/>
  <c r="AC17" i="2"/>
  <c r="AD17" i="2"/>
  <c r="V13" i="2"/>
  <c r="W14" i="2"/>
  <c r="X15" i="2"/>
  <c r="V17" i="2"/>
  <c r="W18" i="2"/>
  <c r="X19" i="2"/>
  <c r="V21" i="2"/>
  <c r="W22" i="2"/>
  <c r="X23" i="2"/>
  <c r="V25" i="2"/>
  <c r="W26" i="2"/>
  <c r="X27" i="2"/>
  <c r="V29" i="2"/>
  <c r="W30" i="2"/>
  <c r="X31" i="2"/>
  <c r="V33" i="2"/>
  <c r="X14" i="2"/>
  <c r="V16" i="2"/>
  <c r="X18" i="2"/>
  <c r="W21" i="2"/>
  <c r="V24" i="2"/>
  <c r="W25" i="2"/>
  <c r="V28" i="2"/>
  <c r="X30" i="2"/>
  <c r="W33" i="2"/>
  <c r="V36" i="2"/>
  <c r="X38" i="2"/>
  <c r="V40" i="2"/>
  <c r="V44" i="2"/>
  <c r="X46" i="2"/>
  <c r="V48" i="2"/>
  <c r="W13" i="2"/>
  <c r="W17" i="2"/>
  <c r="V20" i="2"/>
  <c r="X22" i="2"/>
  <c r="X26" i="2"/>
  <c r="W29" i="2"/>
  <c r="V32" i="2"/>
  <c r="X34" i="2"/>
  <c r="W37" i="2"/>
  <c r="W41" i="2"/>
  <c r="X42" i="2"/>
  <c r="W45" i="2"/>
  <c r="W49" i="2"/>
  <c r="X13" i="2"/>
  <c r="V15" i="2"/>
  <c r="W16" i="2"/>
  <c r="X17" i="2"/>
  <c r="V19" i="2"/>
  <c r="W20" i="2"/>
  <c r="X21" i="2"/>
  <c r="V23" i="2"/>
  <c r="W24" i="2"/>
  <c r="X25" i="2"/>
  <c r="V27" i="2"/>
  <c r="W28" i="2"/>
  <c r="X29" i="2"/>
  <c r="V31" i="2"/>
  <c r="W32" i="2"/>
  <c r="X33" i="2"/>
  <c r="V14" i="2"/>
  <c r="W15" i="2"/>
  <c r="X16" i="2"/>
  <c r="V18" i="2"/>
  <c r="W19" i="2"/>
  <c r="X20" i="2"/>
  <c r="V22" i="2"/>
  <c r="W23" i="2"/>
  <c r="X24" i="2"/>
  <c r="V26" i="2"/>
  <c r="W27" i="2"/>
  <c r="X28" i="2"/>
  <c r="V30" i="2"/>
  <c r="W31" i="2"/>
  <c r="X32" i="2"/>
  <c r="V34" i="2"/>
  <c r="V35" i="2"/>
  <c r="X37" i="2"/>
  <c r="W40" i="2"/>
  <c r="V43" i="2"/>
  <c r="X45" i="2"/>
  <c r="W48" i="2"/>
  <c r="X50" i="2"/>
  <c r="V55" i="2"/>
  <c r="V57" i="2"/>
  <c r="W59" i="2"/>
  <c r="W61" i="2"/>
  <c r="X65" i="2"/>
  <c r="X67" i="2"/>
  <c r="V70" i="2"/>
  <c r="V72" i="2"/>
  <c r="W76" i="2"/>
  <c r="W78" i="2"/>
  <c r="X80" i="2"/>
  <c r="X82" i="2"/>
  <c r="V87" i="2"/>
  <c r="V89" i="2"/>
  <c r="W91" i="2"/>
  <c r="W93" i="2"/>
  <c r="X97" i="2"/>
  <c r="X99" i="2"/>
  <c r="V102" i="2"/>
  <c r="V104" i="2"/>
  <c r="V110" i="2"/>
  <c r="X111" i="2"/>
  <c r="W35" i="2"/>
  <c r="V38" i="2"/>
  <c r="X40" i="2"/>
  <c r="W43" i="2"/>
  <c r="V46" i="2"/>
  <c r="X48" i="2"/>
  <c r="V51" i="2"/>
  <c r="V53" i="2"/>
  <c r="W55" i="2"/>
  <c r="W57" i="2"/>
  <c r="X61" i="2"/>
  <c r="X63" i="2"/>
  <c r="V66" i="2"/>
  <c r="V68" i="2"/>
  <c r="W72" i="2"/>
  <c r="W74" i="2"/>
  <c r="X76" i="2"/>
  <c r="X78" i="2"/>
  <c r="V83" i="2"/>
  <c r="V85" i="2"/>
  <c r="W87" i="2"/>
  <c r="W89" i="2"/>
  <c r="X93" i="2"/>
  <c r="X95" i="2"/>
  <c r="V98" i="2"/>
  <c r="V100" i="2"/>
  <c r="W104" i="2"/>
  <c r="W106" i="2"/>
  <c r="W108" i="2"/>
  <c r="V37" i="2"/>
  <c r="W50" i="2"/>
  <c r="V61" i="2"/>
  <c r="X71" i="2"/>
  <c r="W82" i="2"/>
  <c r="V91" i="2"/>
  <c r="V106" i="2"/>
  <c r="W51" i="2"/>
  <c r="W53" i="2"/>
  <c r="X57" i="2"/>
  <c r="X59" i="2"/>
  <c r="V62" i="2"/>
  <c r="V64" i="2"/>
  <c r="W68" i="2"/>
  <c r="W70" i="2"/>
  <c r="X72" i="2"/>
  <c r="X74" i="2"/>
  <c r="V79" i="2"/>
  <c r="V81" i="2"/>
  <c r="W83" i="2"/>
  <c r="W85" i="2"/>
  <c r="X89" i="2"/>
  <c r="X91" i="2"/>
  <c r="V94" i="2"/>
  <c r="V96" i="2"/>
  <c r="W100" i="2"/>
  <c r="W102" i="2"/>
  <c r="X104" i="2"/>
  <c r="X106" i="2"/>
  <c r="X108" i="2"/>
  <c r="W110" i="2"/>
  <c r="W81" i="2"/>
  <c r="X87" i="2"/>
  <c r="V92" i="2"/>
  <c r="W96" i="2"/>
  <c r="X100" i="2"/>
  <c r="V107" i="2"/>
  <c r="X110" i="2"/>
  <c r="W73" i="2"/>
  <c r="V82" i="2"/>
  <c r="X92" i="2"/>
  <c r="V101" i="2"/>
  <c r="W103" i="2"/>
  <c r="W109" i="2"/>
  <c r="X58" i="2"/>
  <c r="W69" i="2"/>
  <c r="V78" i="2"/>
  <c r="X88" i="2"/>
  <c r="V95" i="2"/>
  <c r="X107" i="2"/>
  <c r="V45" i="2"/>
  <c r="X54" i="2"/>
  <c r="W65" i="2"/>
  <c r="V76" i="2"/>
  <c r="X86" i="2"/>
  <c r="W97" i="2"/>
  <c r="V108" i="2"/>
  <c r="X35" i="2"/>
  <c r="W38" i="2"/>
  <c r="V41" i="2"/>
  <c r="X43" i="2"/>
  <c r="W46" i="2"/>
  <c r="V49" i="2"/>
  <c r="X53" i="2"/>
  <c r="X55" i="2"/>
  <c r="V58" i="2"/>
  <c r="V60" i="2"/>
  <c r="W64" i="2"/>
  <c r="W66" i="2"/>
  <c r="X68" i="2"/>
  <c r="X70" i="2"/>
  <c r="V75" i="2"/>
  <c r="V77" i="2"/>
  <c r="W79" i="2"/>
  <c r="X85" i="2"/>
  <c r="V90" i="2"/>
  <c r="W98" i="2"/>
  <c r="X102" i="2"/>
  <c r="X79" i="2"/>
  <c r="W90" i="2"/>
  <c r="V99" i="2"/>
  <c r="W105" i="2"/>
  <c r="V111" i="2"/>
  <c r="X56" i="2"/>
  <c r="W67" i="2"/>
  <c r="X73" i="2"/>
  <c r="W86" i="2"/>
  <c r="W99" i="2"/>
  <c r="X105" i="2"/>
  <c r="W111" i="2"/>
  <c r="W34" i="2"/>
  <c r="X47" i="2"/>
  <c r="W63" i="2"/>
  <c r="V74" i="2"/>
  <c r="X84" i="2"/>
  <c r="V93" i="2"/>
  <c r="X101" i="2"/>
  <c r="X109" i="2"/>
  <c r="W36" i="2"/>
  <c r="V39" i="2"/>
  <c r="X41" i="2"/>
  <c r="W44" i="2"/>
  <c r="V47" i="2"/>
  <c r="X49" i="2"/>
  <c r="X51" i="2"/>
  <c r="V54" i="2"/>
  <c r="V56" i="2"/>
  <c r="W60" i="2"/>
  <c r="W62" i="2"/>
  <c r="X64" i="2"/>
  <c r="X66" i="2"/>
  <c r="V71" i="2"/>
  <c r="V73" i="2"/>
  <c r="W75" i="2"/>
  <c r="W77" i="2"/>
  <c r="X81" i="2"/>
  <c r="X83" i="2"/>
  <c r="V86" i="2"/>
  <c r="V88" i="2"/>
  <c r="W92" i="2"/>
  <c r="W94" i="2"/>
  <c r="X96" i="2"/>
  <c r="X98" i="2"/>
  <c r="V103" i="2"/>
  <c r="V105" i="2"/>
  <c r="W107" i="2"/>
  <c r="V109" i="2"/>
  <c r="X36" i="2"/>
  <c r="W39" i="2"/>
  <c r="V42" i="2"/>
  <c r="X44" i="2"/>
  <c r="W47" i="2"/>
  <c r="V50" i="2"/>
  <c r="V52" i="2"/>
  <c r="W56" i="2"/>
  <c r="W58" i="2"/>
  <c r="X60" i="2"/>
  <c r="X62" i="2"/>
  <c r="V67" i="2"/>
  <c r="V69" i="2"/>
  <c r="W71" i="2"/>
  <c r="X77" i="2"/>
  <c r="V84" i="2"/>
  <c r="W88" i="2"/>
  <c r="X94" i="2"/>
  <c r="W52" i="2"/>
  <c r="W54" i="2"/>
  <c r="V63" i="2"/>
  <c r="V65" i="2"/>
  <c r="X75" i="2"/>
  <c r="V80" i="2"/>
  <c r="W84" i="2"/>
  <c r="X90" i="2"/>
  <c r="V97" i="2"/>
  <c r="W101" i="2"/>
  <c r="X39" i="2"/>
  <c r="W42" i="2"/>
  <c r="X52" i="2"/>
  <c r="V59" i="2"/>
  <c r="X69" i="2"/>
  <c r="W80" i="2"/>
  <c r="W95" i="2"/>
  <c r="X103" i="2"/>
  <c r="X12" i="2"/>
  <c r="W12" i="2"/>
  <c r="V12" i="2"/>
  <c r="AF17" i="2"/>
  <c r="AA18" i="2"/>
  <c r="AC18" i="2" a="1"/>
  <c r="AD18" i="2" a="1"/>
  <c r="AB18" i="2" a="1"/>
  <c r="AI17" i="2" a="1"/>
  <c r="AH17" i="2" a="1"/>
  <c r="AG17" i="2" a="1"/>
  <c r="AK13" i="2" a="1"/>
  <c r="AM14" i="2" a="1"/>
  <c r="AL14" i="2" a="1"/>
  <c r="AK16" i="2" a="1"/>
  <c r="AM12" i="2" a="1"/>
  <c r="AM15" i="2" a="1"/>
  <c r="AL12" i="2" a="1"/>
  <c r="AK12" i="2" a="1"/>
  <c r="AM13" i="2" a="1"/>
  <c r="AK14" i="2" a="1"/>
  <c r="AK15" i="2" a="1"/>
  <c r="AL15" i="2" a="1"/>
  <c r="AL16" i="2" a="1"/>
  <c r="AM16" i="2" a="1"/>
  <c r="AL13" i="2" a="1"/>
  <c r="AG17" i="2" l="1"/>
  <c r="AH17" i="2"/>
  <c r="AI17" i="2"/>
  <c r="AB18" i="2"/>
  <c r="AD18" i="2"/>
  <c r="AC18" i="2"/>
  <c r="AL13" i="2"/>
  <c r="AM16" i="2"/>
  <c r="AL16" i="2"/>
  <c r="AL15" i="2"/>
  <c r="AK15" i="2"/>
  <c r="AK14" i="2"/>
  <c r="AM13" i="2"/>
  <c r="AK12" i="2"/>
  <c r="AL12" i="2"/>
  <c r="AM15" i="2"/>
  <c r="AM12" i="2"/>
  <c r="AK16" i="2"/>
  <c r="AL14" i="2"/>
  <c r="AM14" i="2"/>
  <c r="AK13" i="2"/>
  <c r="AA19" i="2"/>
  <c r="AF18" i="2"/>
  <c r="AK17" i="2" a="1"/>
  <c r="AL17" i="2" a="1"/>
  <c r="AM17" i="2" a="1"/>
  <c r="AD19" i="2" a="1"/>
  <c r="AC19" i="2" a="1"/>
  <c r="AB19" i="2" a="1"/>
  <c r="AG18" i="2" a="1"/>
  <c r="AI18" i="2" a="1"/>
  <c r="AH18" i="2" a="1"/>
  <c r="AH18" i="2" l="1"/>
  <c r="AI18" i="2"/>
  <c r="AG18" i="2"/>
  <c r="AB19" i="2"/>
  <c r="AC19" i="2"/>
  <c r="AD19" i="2"/>
  <c r="AM17" i="2"/>
  <c r="AL17" i="2"/>
  <c r="AK17" i="2"/>
  <c r="AF19" i="2"/>
  <c r="AA20" i="2"/>
  <c r="AM18" i="2" a="1"/>
  <c r="AH19" i="2" a="1"/>
  <c r="AG19" i="2" a="1"/>
  <c r="AI19" i="2" a="1"/>
  <c r="AK18" i="2" a="1"/>
  <c r="AB20" i="2" a="1"/>
  <c r="AC20" i="2" a="1"/>
  <c r="AD20" i="2" a="1"/>
  <c r="AL18" i="2" a="1"/>
  <c r="AL18" i="2" l="1"/>
  <c r="AD20" i="2"/>
  <c r="AC20" i="2"/>
  <c r="AB20" i="2"/>
  <c r="AK18" i="2"/>
  <c r="AI19" i="2"/>
  <c r="AG19" i="2"/>
  <c r="AH19" i="2"/>
  <c r="AM18" i="2"/>
  <c r="AA21" i="2"/>
  <c r="AF20" i="2"/>
  <c r="AC21" i="2" a="1"/>
  <c r="AB21" i="2" a="1"/>
  <c r="AD21" i="2" a="1"/>
  <c r="AM19" i="2" a="1"/>
  <c r="AK19" i="2" a="1"/>
  <c r="AL19" i="2" a="1"/>
  <c r="AI20" i="2" a="1"/>
  <c r="AH20" i="2" a="1"/>
  <c r="AG20" i="2" a="1"/>
  <c r="AG20" i="2" l="1"/>
  <c r="AH20" i="2"/>
  <c r="AI20" i="2"/>
  <c r="AL19" i="2"/>
  <c r="AK19" i="2"/>
  <c r="AM19" i="2"/>
  <c r="AD21" i="2"/>
  <c r="AB21" i="2"/>
  <c r="AC21" i="2"/>
  <c r="AF21" i="2"/>
  <c r="AA22" i="2"/>
  <c r="AK20" i="2" a="1"/>
  <c r="AM20" i="2" a="1"/>
  <c r="AC22" i="2" a="1"/>
  <c r="AD22" i="2" a="1"/>
  <c r="AB22" i="2" a="1"/>
  <c r="AL20" i="2" a="1"/>
  <c r="AI21" i="2" a="1"/>
  <c r="AG21" i="2" a="1"/>
  <c r="AH21" i="2" a="1"/>
  <c r="AH21" i="2" l="1"/>
  <c r="AG21" i="2"/>
  <c r="AI21" i="2"/>
  <c r="AL20" i="2"/>
  <c r="AB22" i="2"/>
  <c r="AD22" i="2"/>
  <c r="AC22" i="2"/>
  <c r="AM20" i="2"/>
  <c r="AK20" i="2"/>
  <c r="AA23" i="2"/>
  <c r="AF22" i="2"/>
  <c r="AL21" i="2" a="1"/>
  <c r="AK21" i="2" a="1"/>
  <c r="AB23" i="2" a="1"/>
  <c r="AD23" i="2" a="1"/>
  <c r="AC23" i="2" a="1"/>
  <c r="AG22" i="2" a="1"/>
  <c r="AI22" i="2" a="1"/>
  <c r="AH22" i="2" a="1"/>
  <c r="AM21" i="2" a="1"/>
  <c r="AM21" i="2" l="1"/>
  <c r="AH22" i="2"/>
  <c r="AI22" i="2"/>
  <c r="AG22" i="2"/>
  <c r="AC23" i="2"/>
  <c r="AD23" i="2"/>
  <c r="AB23" i="2"/>
  <c r="AK21" i="2"/>
  <c r="AL21" i="2"/>
  <c r="AF23" i="2"/>
  <c r="AA24" i="2"/>
  <c r="AL22" i="2" a="1"/>
  <c r="AI23" i="2" a="1"/>
  <c r="AH23" i="2" a="1"/>
  <c r="AG23" i="2" a="1"/>
  <c r="AK22" i="2" a="1"/>
  <c r="AM22" i="2" a="1"/>
  <c r="AC24" i="2" a="1"/>
  <c r="AD24" i="2" a="1"/>
  <c r="AB24" i="2" a="1"/>
  <c r="AB24" i="2" l="1"/>
  <c r="AD24" i="2"/>
  <c r="AC24" i="2"/>
  <c r="AM22" i="2"/>
  <c r="AK22" i="2"/>
  <c r="AG23" i="2"/>
  <c r="AH23" i="2"/>
  <c r="AI23" i="2"/>
  <c r="AL22" i="2"/>
  <c r="AA25" i="2"/>
  <c r="AF24" i="2"/>
  <c r="AD25" i="2" a="1"/>
  <c r="AC25" i="2" a="1"/>
  <c r="AB25" i="2" a="1"/>
  <c r="AI24" i="2" a="1"/>
  <c r="AH24" i="2" a="1"/>
  <c r="AG24" i="2" a="1"/>
  <c r="AK23" i="2" a="1"/>
  <c r="AL23" i="2" a="1"/>
  <c r="AM23" i="2" a="1"/>
  <c r="AM23" i="2" l="1"/>
  <c r="AL23" i="2"/>
  <c r="AK23" i="2"/>
  <c r="AG24" i="2"/>
  <c r="AH24" i="2"/>
  <c r="AI24" i="2"/>
  <c r="AB25" i="2"/>
  <c r="AC25" i="2"/>
  <c r="AD25" i="2"/>
  <c r="AF25" i="2"/>
  <c r="AA26" i="2"/>
  <c r="AG25" i="2" a="1"/>
  <c r="AH25" i="2" a="1"/>
  <c r="AI25" i="2" a="1"/>
  <c r="AD26" i="2" a="1"/>
  <c r="AB26" i="2" a="1"/>
  <c r="AC26" i="2" a="1"/>
  <c r="AK24" i="2" a="1"/>
  <c r="AL24" i="2" a="1"/>
  <c r="AM24" i="2" a="1"/>
  <c r="AM24" i="2" l="1"/>
  <c r="AL24" i="2"/>
  <c r="AK24" i="2"/>
  <c r="AC26" i="2"/>
  <c r="AB26" i="2"/>
  <c r="AD26" i="2"/>
  <c r="AI25" i="2"/>
  <c r="AH25" i="2"/>
  <c r="AG25" i="2"/>
  <c r="AA27" i="2"/>
  <c r="AF26" i="2"/>
  <c r="AK25" i="2" a="1"/>
  <c r="AC27" i="2" a="1"/>
  <c r="AB27" i="2" a="1"/>
  <c r="AD27" i="2" a="1"/>
  <c r="AH26" i="2" a="1"/>
  <c r="AG26" i="2" a="1"/>
  <c r="AI26" i="2" a="1"/>
  <c r="AM25" i="2" a="1"/>
  <c r="AL25" i="2" a="1"/>
  <c r="AL25" i="2" l="1"/>
  <c r="AM25" i="2"/>
  <c r="AI26" i="2"/>
  <c r="AG26" i="2"/>
  <c r="AH26" i="2"/>
  <c r="AD27" i="2"/>
  <c r="AB27" i="2"/>
  <c r="AC27" i="2"/>
  <c r="AK25" i="2"/>
  <c r="AF27" i="2"/>
  <c r="AA28" i="2"/>
  <c r="AH27" i="2" a="1"/>
  <c r="AG27" i="2" a="1"/>
  <c r="AI27" i="2" a="1"/>
  <c r="AK26" i="2" a="1"/>
  <c r="AL26" i="2" a="1"/>
  <c r="AM26" i="2" a="1"/>
  <c r="AC28" i="2" a="1"/>
  <c r="AB28" i="2" a="1"/>
  <c r="AD28" i="2" a="1"/>
  <c r="AD28" i="2" l="1"/>
  <c r="AB28" i="2"/>
  <c r="AC28" i="2"/>
  <c r="AM26" i="2"/>
  <c r="AL26" i="2"/>
  <c r="AK26" i="2"/>
  <c r="AI27" i="2"/>
  <c r="AG27" i="2"/>
  <c r="AH27" i="2"/>
  <c r="AA29" i="2"/>
  <c r="AF28" i="2"/>
  <c r="AL27" i="2" a="1"/>
  <c r="AC29" i="2" a="1"/>
  <c r="AB29" i="2" a="1"/>
  <c r="AD29" i="2" a="1"/>
  <c r="AK27" i="2" a="1"/>
  <c r="AG28" i="2" a="1"/>
  <c r="AI28" i="2" a="1"/>
  <c r="AH28" i="2" a="1"/>
  <c r="AM27" i="2" a="1"/>
  <c r="AM27" i="2" l="1"/>
  <c r="AH28" i="2"/>
  <c r="AI28" i="2"/>
  <c r="AG28" i="2"/>
  <c r="AK27" i="2"/>
  <c r="AD29" i="2"/>
  <c r="AB29" i="2"/>
  <c r="AC29" i="2"/>
  <c r="AL27" i="2"/>
  <c r="AF29" i="2"/>
  <c r="AA30" i="2"/>
  <c r="AL28" i="2" a="1"/>
  <c r="AH29" i="2" a="1"/>
  <c r="AG29" i="2" a="1"/>
  <c r="AI29" i="2" a="1"/>
  <c r="AM28" i="2" a="1"/>
  <c r="AB30" i="2" a="1"/>
  <c r="AC30" i="2" a="1"/>
  <c r="AD30" i="2" a="1"/>
  <c r="AK28" i="2" a="1"/>
  <c r="AK28" i="2" l="1"/>
  <c r="AD30" i="2"/>
  <c r="AC30" i="2"/>
  <c r="AB30" i="2"/>
  <c r="AM28" i="2"/>
  <c r="AI29" i="2"/>
  <c r="AG29" i="2"/>
  <c r="AH29" i="2"/>
  <c r="AL28" i="2"/>
  <c r="AA31" i="2"/>
  <c r="AF30" i="2"/>
  <c r="AB31" i="2" a="1"/>
  <c r="AC31" i="2" a="1"/>
  <c r="AD31" i="2" a="1"/>
  <c r="AI30" i="2" a="1"/>
  <c r="AH30" i="2" a="1"/>
  <c r="AG30" i="2" a="1"/>
  <c r="AM29" i="2" a="1"/>
  <c r="AK29" i="2" a="1"/>
  <c r="AL29" i="2" a="1"/>
  <c r="AL29" i="2" l="1"/>
  <c r="AK29" i="2"/>
  <c r="AM29" i="2"/>
  <c r="AG30" i="2"/>
  <c r="AH30" i="2"/>
  <c r="AI30" i="2"/>
  <c r="AD31" i="2"/>
  <c r="AC31" i="2"/>
  <c r="AB31" i="2"/>
  <c r="AF31" i="2"/>
  <c r="AA32" i="2"/>
  <c r="AG31" i="2" a="1"/>
  <c r="AH31" i="2" a="1"/>
  <c r="AI31" i="2" a="1"/>
  <c r="AB32" i="2" a="1"/>
  <c r="AC32" i="2" a="1"/>
  <c r="AD32" i="2" a="1"/>
  <c r="AK30" i="2" a="1"/>
  <c r="AL30" i="2" a="1"/>
  <c r="AM30" i="2" a="1"/>
  <c r="AM30" i="2" l="1"/>
  <c r="AL30" i="2"/>
  <c r="AK30" i="2"/>
  <c r="AD32" i="2"/>
  <c r="AC32" i="2"/>
  <c r="AB32" i="2"/>
  <c r="AI31" i="2"/>
  <c r="AH31" i="2"/>
  <c r="AG31" i="2"/>
  <c r="AA33" i="2"/>
  <c r="AF32" i="2"/>
  <c r="AK31" i="2" a="1"/>
  <c r="AB33" i="2" a="1"/>
  <c r="AD33" i="2" a="1"/>
  <c r="AC33" i="2" a="1"/>
  <c r="AG32" i="2" a="1"/>
  <c r="AH32" i="2" a="1"/>
  <c r="AI32" i="2" a="1"/>
  <c r="AM31" i="2" a="1"/>
  <c r="AL31" i="2" a="1"/>
  <c r="AL31" i="2" l="1"/>
  <c r="AM31" i="2"/>
  <c r="AI32" i="2"/>
  <c r="AH32" i="2"/>
  <c r="AG32" i="2"/>
  <c r="AC33" i="2"/>
  <c r="AD33" i="2"/>
  <c r="AB33" i="2"/>
  <c r="AK31" i="2"/>
  <c r="AF33" i="2"/>
  <c r="AA34" i="2"/>
  <c r="AI33" i="2" a="1"/>
  <c r="AG33" i="2" a="1"/>
  <c r="AH33" i="2" a="1"/>
  <c r="AM32" i="2" a="1"/>
  <c r="AB34" i="2" a="1"/>
  <c r="AC34" i="2" a="1"/>
  <c r="AD34" i="2" a="1"/>
  <c r="AL32" i="2" a="1"/>
  <c r="AK32" i="2" a="1"/>
  <c r="AK32" i="2" l="1"/>
  <c r="AL32" i="2"/>
  <c r="AD34" i="2"/>
  <c r="AC34" i="2"/>
  <c r="AB34" i="2"/>
  <c r="AM32" i="2"/>
  <c r="AH33" i="2"/>
  <c r="AG33" i="2"/>
  <c r="AI33" i="2"/>
  <c r="AA35" i="2"/>
  <c r="AF34" i="2"/>
  <c r="AM33" i="2" a="1"/>
  <c r="AC35" i="2" a="1"/>
  <c r="AD35" i="2" a="1"/>
  <c r="AB35" i="2" a="1"/>
  <c r="AL33" i="2" a="1"/>
  <c r="AK33" i="2" a="1"/>
  <c r="AI34" i="2" a="1"/>
  <c r="AH34" i="2" a="1"/>
  <c r="AG34" i="2" a="1"/>
  <c r="AG34" i="2" l="1"/>
  <c r="AH34" i="2"/>
  <c r="AI34" i="2"/>
  <c r="AK33" i="2"/>
  <c r="AL33" i="2"/>
  <c r="AB35" i="2"/>
  <c r="AD35" i="2"/>
  <c r="AC35" i="2"/>
  <c r="AM33" i="2"/>
  <c r="AF35" i="2"/>
  <c r="AA36" i="2"/>
  <c r="AK34" i="2" a="1"/>
  <c r="AM34" i="2" a="1"/>
  <c r="AC36" i="2" a="1"/>
  <c r="AD36" i="2" a="1"/>
  <c r="AB36" i="2" a="1"/>
  <c r="AL34" i="2" a="1"/>
  <c r="AI35" i="2" a="1"/>
  <c r="AH35" i="2" a="1"/>
  <c r="AG35" i="2" a="1"/>
  <c r="AG35" i="2" l="1"/>
  <c r="AH35" i="2"/>
  <c r="AI35" i="2"/>
  <c r="AL34" i="2"/>
  <c r="AB36" i="2"/>
  <c r="AD36" i="2"/>
  <c r="AC36" i="2"/>
  <c r="AM34" i="2"/>
  <c r="AK34" i="2"/>
  <c r="AA37" i="2"/>
  <c r="AF36" i="2"/>
  <c r="AK35" i="2" a="1"/>
  <c r="AL35" i="2" a="1"/>
  <c r="AB37" i="2" a="1"/>
  <c r="AD37" i="2" a="1"/>
  <c r="AC37" i="2" a="1"/>
  <c r="AM35" i="2" a="1"/>
  <c r="AI36" i="2" a="1"/>
  <c r="AH36" i="2" a="1"/>
  <c r="AG36" i="2" a="1"/>
  <c r="AG36" i="2" l="1"/>
  <c r="AH36" i="2"/>
  <c r="AI36" i="2"/>
  <c r="AM35" i="2"/>
  <c r="AC37" i="2"/>
  <c r="AD37" i="2"/>
  <c r="AB37" i="2"/>
  <c r="AL35" i="2"/>
  <c r="AK35" i="2"/>
  <c r="AF37" i="2"/>
  <c r="AA38" i="2"/>
  <c r="AK36" i="2" a="1"/>
  <c r="AL36" i="2" a="1"/>
  <c r="AG37" i="2" a="1"/>
  <c r="AI37" i="2" a="1"/>
  <c r="AH37" i="2" a="1"/>
  <c r="AM36" i="2" a="1"/>
  <c r="AC38" i="2" a="1"/>
  <c r="AB38" i="2" a="1"/>
  <c r="AD38" i="2" a="1"/>
  <c r="AD38" i="2" l="1"/>
  <c r="AB38" i="2"/>
  <c r="AC38" i="2"/>
  <c r="AM36" i="2"/>
  <c r="AH37" i="2"/>
  <c r="AI37" i="2"/>
  <c r="AG37" i="2"/>
  <c r="AL36" i="2"/>
  <c r="AK36" i="2"/>
  <c r="AA39" i="2"/>
  <c r="AF38" i="2"/>
  <c r="AB39" i="2" a="1"/>
  <c r="AD39" i="2" a="1"/>
  <c r="AC39" i="2" a="1"/>
  <c r="AG38" i="2" a="1"/>
  <c r="AI38" i="2" a="1"/>
  <c r="AH38" i="2" a="1"/>
  <c r="AL37" i="2" a="1"/>
  <c r="AM37" i="2" a="1"/>
  <c r="AK37" i="2" a="1"/>
  <c r="AK37" i="2" l="1"/>
  <c r="AM37" i="2"/>
  <c r="AL37" i="2"/>
  <c r="AH38" i="2"/>
  <c r="AI38" i="2"/>
  <c r="AG38" i="2"/>
  <c r="AC39" i="2"/>
  <c r="AD39" i="2"/>
  <c r="AB39" i="2"/>
  <c r="AF39" i="2"/>
  <c r="AA40" i="2"/>
  <c r="AH39" i="2" a="1"/>
  <c r="AI39" i="2" a="1"/>
  <c r="AG39" i="2" a="1"/>
  <c r="AL38" i="2" a="1"/>
  <c r="AM38" i="2" a="1"/>
  <c r="AC40" i="2" a="1"/>
  <c r="AD40" i="2" a="1"/>
  <c r="AB40" i="2" a="1"/>
  <c r="AK38" i="2" a="1"/>
  <c r="AK38" i="2" l="1"/>
  <c r="AB40" i="2"/>
  <c r="AD40" i="2"/>
  <c r="AC40" i="2"/>
  <c r="AM38" i="2"/>
  <c r="AL38" i="2"/>
  <c r="AG39" i="2"/>
  <c r="AI39" i="2"/>
  <c r="AH39" i="2"/>
  <c r="AA41" i="2"/>
  <c r="AF40" i="2"/>
  <c r="AL39" i="2" a="1"/>
  <c r="AC41" i="2" a="1"/>
  <c r="AD41" i="2" a="1"/>
  <c r="AB41" i="2" a="1"/>
  <c r="AH40" i="2" a="1"/>
  <c r="AI40" i="2" a="1"/>
  <c r="AG40" i="2" a="1"/>
  <c r="AK39" i="2" a="1"/>
  <c r="AM39" i="2" a="1"/>
  <c r="AM39" i="2" l="1"/>
  <c r="AK39" i="2"/>
  <c r="AG40" i="2"/>
  <c r="AI40" i="2"/>
  <c r="AH40" i="2"/>
  <c r="AB41" i="2"/>
  <c r="AD41" i="2"/>
  <c r="AC41" i="2"/>
  <c r="AL39" i="2"/>
  <c r="AA42" i="2"/>
  <c r="AF41" i="2"/>
  <c r="AD42" i="2" a="1"/>
  <c r="AB42" i="2" a="1"/>
  <c r="AC42" i="2" a="1"/>
  <c r="AK40" i="2" a="1"/>
  <c r="AI41" i="2" a="1"/>
  <c r="AH41" i="2" a="1"/>
  <c r="AG41" i="2" a="1"/>
  <c r="AM40" i="2" a="1"/>
  <c r="AL40" i="2" a="1"/>
  <c r="AL40" i="2" l="1"/>
  <c r="AM40" i="2"/>
  <c r="AG41" i="2"/>
  <c r="AH41" i="2"/>
  <c r="AI41" i="2"/>
  <c r="AK40" i="2"/>
  <c r="AC42" i="2"/>
  <c r="AB42" i="2"/>
  <c r="AD42" i="2"/>
  <c r="AA43" i="2"/>
  <c r="AF42" i="2"/>
  <c r="AD43" i="2" a="1"/>
  <c r="AC43" i="2" a="1"/>
  <c r="AB43" i="2" a="1"/>
  <c r="AL41" i="2" a="1"/>
  <c r="AK41" i="2" a="1"/>
  <c r="AG42" i="2" a="1"/>
  <c r="AH42" i="2" a="1"/>
  <c r="AI42" i="2" a="1"/>
  <c r="AM41" i="2" a="1"/>
  <c r="AM41" i="2" l="1"/>
  <c r="AI42" i="2"/>
  <c r="AH42" i="2"/>
  <c r="AG42" i="2"/>
  <c r="AK41" i="2"/>
  <c r="AL41" i="2"/>
  <c r="AB43" i="2"/>
  <c r="AC43" i="2"/>
  <c r="AD43" i="2"/>
  <c r="AA44" i="2"/>
  <c r="AF43" i="2"/>
  <c r="AM42" i="2" a="1"/>
  <c r="AB44" i="2" a="1"/>
  <c r="AC44" i="2" a="1"/>
  <c r="AD44" i="2" a="1"/>
  <c r="AL42" i="2" a="1"/>
  <c r="AG43" i="2" a="1"/>
  <c r="AH43" i="2" a="1"/>
  <c r="AI43" i="2" a="1"/>
  <c r="AK42" i="2" a="1"/>
  <c r="AK42" i="2" l="1"/>
  <c r="AI43" i="2"/>
  <c r="AH43" i="2"/>
  <c r="AG43" i="2"/>
  <c r="AL42" i="2"/>
  <c r="AD44" i="2"/>
  <c r="AC44" i="2"/>
  <c r="AB44" i="2"/>
  <c r="AM42" i="2"/>
  <c r="AF44" i="2"/>
  <c r="AA45" i="2"/>
  <c r="AM43" i="2" a="1"/>
  <c r="AI44" i="2" a="1"/>
  <c r="AG44" i="2" a="1"/>
  <c r="AH44" i="2" a="1"/>
  <c r="AK43" i="2" a="1"/>
  <c r="AL43" i="2" a="1"/>
  <c r="AD45" i="2" a="1"/>
  <c r="AC45" i="2" a="1"/>
  <c r="AB45" i="2" a="1"/>
  <c r="AB45" i="2" l="1"/>
  <c r="AC45" i="2"/>
  <c r="AD45" i="2"/>
  <c r="AL43" i="2"/>
  <c r="AK43" i="2"/>
  <c r="AH44" i="2"/>
  <c r="AG44" i="2"/>
  <c r="AI44" i="2"/>
  <c r="AM43" i="2"/>
  <c r="AF45" i="2"/>
  <c r="AA46" i="2"/>
  <c r="AI45" i="2" a="1"/>
  <c r="AG45" i="2" a="1"/>
  <c r="AH45" i="2" a="1"/>
  <c r="AB46" i="2" a="1"/>
  <c r="AC46" i="2" a="1"/>
  <c r="AD46" i="2" a="1"/>
  <c r="AL44" i="2" a="1"/>
  <c r="AK44" i="2" a="1"/>
  <c r="AM44" i="2" a="1"/>
  <c r="AM44" i="2" l="1"/>
  <c r="AK44" i="2"/>
  <c r="AL44" i="2"/>
  <c r="AD46" i="2"/>
  <c r="AC46" i="2"/>
  <c r="AB46" i="2"/>
  <c r="AH45" i="2"/>
  <c r="AG45" i="2"/>
  <c r="AI45" i="2"/>
  <c r="AA47" i="2"/>
  <c r="AF46" i="2"/>
  <c r="AM45" i="2" a="1"/>
  <c r="AB47" i="2" a="1"/>
  <c r="AD47" i="2" a="1"/>
  <c r="AC47" i="2" a="1"/>
  <c r="AG46" i="2" a="1"/>
  <c r="AH46" i="2" a="1"/>
  <c r="AI46" i="2" a="1"/>
  <c r="AL45" i="2" a="1"/>
  <c r="AK45" i="2" a="1"/>
  <c r="AK45" i="2" l="1"/>
  <c r="AL45" i="2"/>
  <c r="AI46" i="2"/>
  <c r="AH46" i="2"/>
  <c r="AG46" i="2"/>
  <c r="AC47" i="2"/>
  <c r="AD47" i="2"/>
  <c r="AB47" i="2"/>
  <c r="AM45" i="2"/>
  <c r="AF47" i="2"/>
  <c r="AA48" i="2"/>
  <c r="AB48" i="2" a="1"/>
  <c r="AC48" i="2" a="1"/>
  <c r="AD48" i="2" a="1"/>
  <c r="AL46" i="2" a="1"/>
  <c r="AK46" i="2" a="1"/>
  <c r="AI47" i="2" a="1"/>
  <c r="AH47" i="2" a="1"/>
  <c r="AG47" i="2" a="1"/>
  <c r="AM46" i="2" a="1"/>
  <c r="AM46" i="2" l="1"/>
  <c r="AG47" i="2"/>
  <c r="AH47" i="2"/>
  <c r="AI47" i="2"/>
  <c r="AK46" i="2"/>
  <c r="AL46" i="2"/>
  <c r="AD48" i="2"/>
  <c r="AC48" i="2"/>
  <c r="AB48" i="2"/>
  <c r="AA49" i="2"/>
  <c r="AF48" i="2"/>
  <c r="AK47" i="2" a="1"/>
  <c r="AD49" i="2" a="1"/>
  <c r="AC49" i="2" a="1"/>
  <c r="AB49" i="2" a="1"/>
  <c r="AL47" i="2" a="1"/>
  <c r="AI48" i="2" a="1"/>
  <c r="AH48" i="2" a="1"/>
  <c r="AG48" i="2" a="1"/>
  <c r="AM47" i="2" a="1"/>
  <c r="AM47" i="2" l="1"/>
  <c r="AG48" i="2"/>
  <c r="AH48" i="2"/>
  <c r="AI48" i="2"/>
  <c r="AL47" i="2"/>
  <c r="AB49" i="2"/>
  <c r="AC49" i="2"/>
  <c r="AD49" i="2"/>
  <c r="AK47" i="2"/>
  <c r="AF49" i="2"/>
  <c r="AA50" i="2"/>
  <c r="AK48" i="2" a="1"/>
  <c r="AH49" i="2" a="1"/>
  <c r="AI49" i="2" a="1"/>
  <c r="AG49" i="2" a="1"/>
  <c r="AM48" i="2" a="1"/>
  <c r="AL48" i="2" a="1"/>
  <c r="AC50" i="2" a="1"/>
  <c r="AD50" i="2" a="1"/>
  <c r="AB50" i="2" a="1"/>
  <c r="AB50" i="2" l="1"/>
  <c r="AD50" i="2"/>
  <c r="AC50" i="2"/>
  <c r="AL48" i="2"/>
  <c r="AM48" i="2"/>
  <c r="AG49" i="2"/>
  <c r="AI49" i="2"/>
  <c r="AH49" i="2"/>
  <c r="AK48" i="2"/>
  <c r="AA51" i="2"/>
  <c r="AF50" i="2"/>
  <c r="AL49" i="2" a="1"/>
  <c r="AC51" i="2" a="1"/>
  <c r="AD51" i="2" a="1"/>
  <c r="AB51" i="2" a="1"/>
  <c r="AG50" i="2" a="1"/>
  <c r="AI50" i="2" a="1"/>
  <c r="AH50" i="2" a="1"/>
  <c r="AK49" i="2" a="1"/>
  <c r="AM49" i="2" a="1"/>
  <c r="AM49" i="2" l="1"/>
  <c r="AK49" i="2"/>
  <c r="AH50" i="2"/>
  <c r="AI50" i="2"/>
  <c r="AG50" i="2"/>
  <c r="AB51" i="2"/>
  <c r="AD51" i="2"/>
  <c r="AC51" i="2"/>
  <c r="AL49" i="2"/>
  <c r="AF51" i="2"/>
  <c r="AA52" i="2"/>
  <c r="AI51" i="2" a="1"/>
  <c r="AG51" i="2" a="1"/>
  <c r="AH51" i="2" a="1"/>
  <c r="AL50" i="2" a="1"/>
  <c r="AM50" i="2" a="1"/>
  <c r="AK50" i="2" a="1"/>
  <c r="AC52" i="2" a="1"/>
  <c r="AD52" i="2" a="1"/>
  <c r="AB52" i="2" a="1"/>
  <c r="AB52" i="2" l="1"/>
  <c r="AD52" i="2"/>
  <c r="AC52" i="2"/>
  <c r="AK50" i="2"/>
  <c r="AM50" i="2"/>
  <c r="AL50" i="2"/>
  <c r="AH51" i="2"/>
  <c r="AG51" i="2"/>
  <c r="AI51" i="2"/>
  <c r="AA53" i="2"/>
  <c r="AF52" i="2"/>
  <c r="AD53" i="2" a="1"/>
  <c r="AC53" i="2" a="1"/>
  <c r="AB53" i="2" a="1"/>
  <c r="AL51" i="2" a="1"/>
  <c r="AK51" i="2" a="1"/>
  <c r="AM51" i="2" a="1"/>
  <c r="AH52" i="2" a="1"/>
  <c r="AG52" i="2" a="1"/>
  <c r="AI52" i="2" a="1"/>
  <c r="AI52" i="2" l="1"/>
  <c r="AG52" i="2"/>
  <c r="AH52" i="2"/>
  <c r="AM51" i="2"/>
  <c r="AK51" i="2"/>
  <c r="AL51" i="2"/>
  <c r="AB53" i="2"/>
  <c r="AC53" i="2"/>
  <c r="AD53" i="2"/>
  <c r="AF53" i="2"/>
  <c r="AA54" i="2"/>
  <c r="AM52" i="2" a="1"/>
  <c r="AK52" i="2" a="1"/>
  <c r="AH53" i="2" a="1"/>
  <c r="AG53" i="2" a="1"/>
  <c r="AI53" i="2" a="1"/>
  <c r="AL52" i="2" a="1"/>
  <c r="AC54" i="2" a="1"/>
  <c r="AD54" i="2" a="1"/>
  <c r="AB54" i="2" a="1"/>
  <c r="AB54" i="2" l="1"/>
  <c r="AD54" i="2"/>
  <c r="AC54" i="2"/>
  <c r="AL52" i="2"/>
  <c r="AI53" i="2"/>
  <c r="AG53" i="2"/>
  <c r="AH53" i="2"/>
  <c r="AK52" i="2"/>
  <c r="AM52" i="2"/>
  <c r="AA55" i="2"/>
  <c r="AF54" i="2"/>
  <c r="AD55" i="2" a="1"/>
  <c r="AC55" i="2" a="1"/>
  <c r="AB55" i="2" a="1"/>
  <c r="AI54" i="2" a="1"/>
  <c r="AH54" i="2" a="1"/>
  <c r="AG54" i="2" a="1"/>
  <c r="AK53" i="2" a="1"/>
  <c r="AM53" i="2" a="1"/>
  <c r="AL53" i="2" a="1"/>
  <c r="AL53" i="2" l="1"/>
  <c r="AM53" i="2"/>
  <c r="AK53" i="2"/>
  <c r="AG54" i="2"/>
  <c r="AH54" i="2"/>
  <c r="AI54" i="2"/>
  <c r="AB55" i="2"/>
  <c r="AC55" i="2"/>
  <c r="AD55" i="2"/>
  <c r="AA56" i="2"/>
  <c r="AF55" i="2"/>
  <c r="AC56" i="2" a="1"/>
  <c r="AD56" i="2" a="1"/>
  <c r="AB56" i="2" a="1"/>
  <c r="AG55" i="2" a="1"/>
  <c r="AI55" i="2" a="1"/>
  <c r="AH55" i="2" a="1"/>
  <c r="AK54" i="2" a="1"/>
  <c r="AL54" i="2" a="1"/>
  <c r="AM54" i="2" a="1"/>
  <c r="AM54" i="2" l="1"/>
  <c r="AL54" i="2"/>
  <c r="AK54" i="2"/>
  <c r="AH55" i="2"/>
  <c r="AI55" i="2"/>
  <c r="AG55" i="2"/>
  <c r="AB56" i="2"/>
  <c r="AD56" i="2"/>
  <c r="AC56" i="2"/>
  <c r="AF56" i="2"/>
  <c r="AA57" i="2"/>
  <c r="AI56" i="2" a="1"/>
  <c r="AH56" i="2" a="1"/>
  <c r="AG56" i="2" a="1"/>
  <c r="AC57" i="2" a="1"/>
  <c r="AB57" i="2" a="1"/>
  <c r="AD57" i="2" a="1"/>
  <c r="AL55" i="2" a="1"/>
  <c r="AM55" i="2" a="1"/>
  <c r="AK55" i="2" a="1"/>
  <c r="AK55" i="2" l="1"/>
  <c r="AM55" i="2"/>
  <c r="AL55" i="2"/>
  <c r="AD57" i="2"/>
  <c r="AB57" i="2"/>
  <c r="AC57" i="2"/>
  <c r="AG56" i="2"/>
  <c r="AH56" i="2"/>
  <c r="AI56" i="2"/>
  <c r="AA58" i="2"/>
  <c r="AF57" i="2"/>
  <c r="AM56" i="2" a="1"/>
  <c r="AD58" i="2" a="1"/>
  <c r="AB58" i="2" a="1"/>
  <c r="AC58" i="2" a="1"/>
  <c r="AK56" i="2" a="1"/>
  <c r="AL56" i="2" a="1"/>
  <c r="AG57" i="2" a="1"/>
  <c r="AH57" i="2" a="1"/>
  <c r="AI57" i="2" a="1"/>
  <c r="AI57" i="2" l="1"/>
  <c r="AH57" i="2"/>
  <c r="AG57" i="2"/>
  <c r="AL56" i="2"/>
  <c r="AK56" i="2"/>
  <c r="AC58" i="2"/>
  <c r="AB58" i="2"/>
  <c r="AD58" i="2"/>
  <c r="AM56" i="2"/>
  <c r="AF58" i="2"/>
  <c r="AA59" i="2"/>
  <c r="AM57" i="2" a="1"/>
  <c r="AL57" i="2" a="1"/>
  <c r="AH58" i="2" a="1"/>
  <c r="AG58" i="2" a="1"/>
  <c r="AI58" i="2" a="1"/>
  <c r="AK57" i="2" a="1"/>
  <c r="AD59" i="2" a="1"/>
  <c r="AC59" i="2" a="1"/>
  <c r="AB59" i="2" a="1"/>
  <c r="AB59" i="2" l="1"/>
  <c r="AC59" i="2"/>
  <c r="AD59" i="2"/>
  <c r="AK57" i="2"/>
  <c r="AI58" i="2"/>
  <c r="AG58" i="2"/>
  <c r="AH58" i="2"/>
  <c r="AL57" i="2"/>
  <c r="AM57" i="2"/>
  <c r="AA60" i="2"/>
  <c r="AF59" i="2"/>
  <c r="AB60" i="2" a="1"/>
  <c r="AC60" i="2" a="1"/>
  <c r="AD60" i="2" a="1"/>
  <c r="AG59" i="2" a="1"/>
  <c r="AH59" i="2" a="1"/>
  <c r="AI59" i="2" a="1"/>
  <c r="AM58" i="2" a="1"/>
  <c r="AL58" i="2" a="1"/>
  <c r="AK58" i="2" a="1"/>
  <c r="AK58" i="2" l="1"/>
  <c r="AL58" i="2"/>
  <c r="AM58" i="2"/>
  <c r="AI59" i="2"/>
  <c r="AH59" i="2"/>
  <c r="AG59" i="2"/>
  <c r="AD60" i="2"/>
  <c r="AC60" i="2"/>
  <c r="AB60" i="2"/>
  <c r="AF60" i="2"/>
  <c r="AA61" i="2"/>
  <c r="AI60" i="2" a="1"/>
  <c r="AG60" i="2" a="1"/>
  <c r="AH60" i="2" a="1"/>
  <c r="AD61" i="2" a="1"/>
  <c r="AB61" i="2" a="1"/>
  <c r="AC61" i="2" a="1"/>
  <c r="AM59" i="2" a="1"/>
  <c r="AL59" i="2" a="1"/>
  <c r="AK59" i="2" a="1"/>
  <c r="AK59" i="2" l="1"/>
  <c r="AL59" i="2"/>
  <c r="AM59" i="2"/>
  <c r="AC61" i="2"/>
  <c r="AB61" i="2"/>
  <c r="AD61" i="2"/>
  <c r="AH60" i="2"/>
  <c r="AG60" i="2"/>
  <c r="AI60" i="2"/>
  <c r="AA62" i="2"/>
  <c r="AF61" i="2"/>
  <c r="AM60" i="2" a="1"/>
  <c r="AB62" i="2" a="1"/>
  <c r="AC62" i="2" a="1"/>
  <c r="AD62" i="2" a="1"/>
  <c r="AI61" i="2" a="1"/>
  <c r="AH61" i="2" a="1"/>
  <c r="AG61" i="2" a="1"/>
  <c r="AL60" i="2" a="1"/>
  <c r="AK60" i="2" a="1"/>
  <c r="AK60" i="2" l="1"/>
  <c r="AL60" i="2"/>
  <c r="AG61" i="2"/>
  <c r="AH61" i="2"/>
  <c r="AI61" i="2"/>
  <c r="AD62" i="2"/>
  <c r="AC62" i="2"/>
  <c r="AB62" i="2"/>
  <c r="AM60" i="2"/>
  <c r="AF62" i="2"/>
  <c r="AA63" i="2"/>
  <c r="AK61" i="2" a="1"/>
  <c r="AC63" i="2" a="1"/>
  <c r="AB63" i="2" a="1"/>
  <c r="AD63" i="2" a="1"/>
  <c r="AL61" i="2" a="1"/>
  <c r="AM61" i="2" a="1"/>
  <c r="AI62" i="2" a="1"/>
  <c r="AH62" i="2" a="1"/>
  <c r="AG62" i="2" a="1"/>
  <c r="AG62" i="2" l="1"/>
  <c r="AH62" i="2"/>
  <c r="AI62" i="2"/>
  <c r="AM61" i="2"/>
  <c r="AL61" i="2"/>
  <c r="AD63" i="2"/>
  <c r="AB63" i="2"/>
  <c r="AC63" i="2"/>
  <c r="AK61" i="2"/>
  <c r="AA64" i="2"/>
  <c r="AF63" i="2"/>
  <c r="AK62" i="2" a="1"/>
  <c r="AL62" i="2" a="1"/>
  <c r="AC64" i="2" a="1"/>
  <c r="AD64" i="2" a="1"/>
  <c r="AB64" i="2" a="1"/>
  <c r="AM62" i="2" a="1"/>
  <c r="AI63" i="2" a="1"/>
  <c r="AH63" i="2" a="1"/>
  <c r="AG63" i="2" a="1"/>
  <c r="AG63" i="2" l="1"/>
  <c r="AH63" i="2"/>
  <c r="AI63" i="2"/>
  <c r="AM62" i="2"/>
  <c r="AB64" i="2"/>
  <c r="AD64" i="2"/>
  <c r="AC64" i="2"/>
  <c r="AL62" i="2"/>
  <c r="AK62" i="2"/>
  <c r="AF64" i="2"/>
  <c r="AA65" i="2"/>
  <c r="AK63" i="2" a="1"/>
  <c r="AL63" i="2" a="1"/>
  <c r="AI64" i="2" a="1"/>
  <c r="AG64" i="2" a="1"/>
  <c r="AH64" i="2" a="1"/>
  <c r="AM63" i="2" a="1"/>
  <c r="AB65" i="2" a="1"/>
  <c r="AC65" i="2" a="1"/>
  <c r="AD65" i="2" a="1"/>
  <c r="AD65" i="2" l="1"/>
  <c r="AC65" i="2"/>
  <c r="AB65" i="2"/>
  <c r="AM63" i="2"/>
  <c r="AH64" i="2"/>
  <c r="AG64" i="2"/>
  <c r="AI64" i="2"/>
  <c r="AL63" i="2"/>
  <c r="AK63" i="2"/>
  <c r="AA66" i="2"/>
  <c r="AF65" i="2"/>
  <c r="AB66" i="2" a="1"/>
  <c r="AC66" i="2" a="1"/>
  <c r="AD66" i="2" a="1"/>
  <c r="AM64" i="2" a="1"/>
  <c r="AG65" i="2" a="1"/>
  <c r="AI65" i="2" a="1"/>
  <c r="AH65" i="2" a="1"/>
  <c r="AL64" i="2" a="1"/>
  <c r="AK64" i="2" a="1"/>
  <c r="AK64" i="2" l="1"/>
  <c r="AL64" i="2"/>
  <c r="AH65" i="2"/>
  <c r="AI65" i="2"/>
  <c r="AG65" i="2"/>
  <c r="AM64" i="2"/>
  <c r="AD66" i="2"/>
  <c r="AC66" i="2"/>
  <c r="AB66" i="2"/>
  <c r="AF66" i="2"/>
  <c r="AA67" i="2"/>
  <c r="AG66" i="2" a="1"/>
  <c r="AH66" i="2" a="1"/>
  <c r="AI66" i="2" a="1"/>
  <c r="AM65" i="2" a="1"/>
  <c r="AK65" i="2" a="1"/>
  <c r="AL65" i="2" a="1"/>
  <c r="AD67" i="2" a="1"/>
  <c r="AB67" i="2" a="1"/>
  <c r="AC67" i="2" a="1"/>
  <c r="AC67" i="2" l="1"/>
  <c r="AB67" i="2"/>
  <c r="AD67" i="2"/>
  <c r="AL65" i="2"/>
  <c r="AK65" i="2"/>
  <c r="AM65" i="2"/>
  <c r="AI66" i="2"/>
  <c r="AH66" i="2"/>
  <c r="AG66" i="2"/>
  <c r="AF67" i="2"/>
  <c r="AA68" i="2"/>
  <c r="AK66" i="2" a="1"/>
  <c r="AI67" i="2" a="1"/>
  <c r="AG67" i="2" a="1"/>
  <c r="AH67" i="2" a="1"/>
  <c r="AB68" i="2" a="1"/>
  <c r="AC68" i="2" a="1"/>
  <c r="AD68" i="2" a="1"/>
  <c r="AM66" i="2" a="1"/>
  <c r="AL66" i="2" a="1"/>
  <c r="AL66" i="2" l="1"/>
  <c r="AM66" i="2"/>
  <c r="AD68" i="2"/>
  <c r="AC68" i="2"/>
  <c r="AB68" i="2"/>
  <c r="AH67" i="2"/>
  <c r="AG67" i="2"/>
  <c r="AI67" i="2"/>
  <c r="AK66" i="2"/>
  <c r="AF68" i="2"/>
  <c r="AA69" i="2"/>
  <c r="AI68" i="2" a="1"/>
  <c r="AG68" i="2" a="1"/>
  <c r="AH68" i="2" a="1"/>
  <c r="AC69" i="2" a="1"/>
  <c r="AD69" i="2" a="1"/>
  <c r="AB69" i="2" a="1"/>
  <c r="AL67" i="2" a="1"/>
  <c r="AK67" i="2" a="1"/>
  <c r="AM67" i="2" a="1"/>
  <c r="AM67" i="2" l="1"/>
  <c r="AK67" i="2"/>
  <c r="AL67" i="2"/>
  <c r="AB69" i="2"/>
  <c r="AD69" i="2"/>
  <c r="AC69" i="2"/>
  <c r="AH68" i="2"/>
  <c r="AG68" i="2"/>
  <c r="AI68" i="2"/>
  <c r="AF69" i="2"/>
  <c r="AA70" i="2"/>
  <c r="AM68" i="2" a="1"/>
  <c r="AC70" i="2" a="1"/>
  <c r="AD70" i="2" a="1"/>
  <c r="AB70" i="2" a="1"/>
  <c r="AG69" i="2" a="1"/>
  <c r="AI69" i="2" a="1"/>
  <c r="AH69" i="2" a="1"/>
  <c r="AL68" i="2" a="1"/>
  <c r="AK68" i="2" a="1"/>
  <c r="AK68" i="2" l="1"/>
  <c r="AL68" i="2"/>
  <c r="AH69" i="2"/>
  <c r="AI69" i="2"/>
  <c r="AG69" i="2"/>
  <c r="AB70" i="2"/>
  <c r="AD70" i="2"/>
  <c r="AC70" i="2"/>
  <c r="AM68" i="2"/>
  <c r="AF70" i="2"/>
  <c r="AA71" i="2"/>
  <c r="AI70" i="2" a="1"/>
  <c r="AG70" i="2" a="1"/>
  <c r="AH70" i="2" a="1"/>
  <c r="AL69" i="2" a="1"/>
  <c r="AB71" i="2" a="1"/>
  <c r="AD71" i="2" a="1"/>
  <c r="AC71" i="2" a="1"/>
  <c r="AM69" i="2" a="1"/>
  <c r="AK69" i="2" a="1"/>
  <c r="AK69" i="2" l="1"/>
  <c r="AM69" i="2"/>
  <c r="AC71" i="2"/>
  <c r="AD71" i="2"/>
  <c r="AB71" i="2"/>
  <c r="AL69" i="2"/>
  <c r="AH70" i="2"/>
  <c r="AG70" i="2"/>
  <c r="AI70" i="2"/>
  <c r="AF71" i="2"/>
  <c r="AA72" i="2"/>
  <c r="AM70" i="2" a="1"/>
  <c r="AG71" i="2" a="1"/>
  <c r="AH71" i="2" a="1"/>
  <c r="AI71" i="2" a="1"/>
  <c r="AC72" i="2" a="1"/>
  <c r="AD72" i="2" a="1"/>
  <c r="AB72" i="2" a="1"/>
  <c r="AL70" i="2" a="1"/>
  <c r="AK70" i="2" a="1"/>
  <c r="AK70" i="2" l="1"/>
  <c r="AL70" i="2"/>
  <c r="AB72" i="2"/>
  <c r="AD72" i="2"/>
  <c r="AC72" i="2"/>
  <c r="AI71" i="2"/>
  <c r="AH71" i="2"/>
  <c r="AG71" i="2"/>
  <c r="AM70" i="2"/>
  <c r="AF72" i="2"/>
  <c r="AA73" i="2"/>
  <c r="AI72" i="2" a="1"/>
  <c r="AG72" i="2" a="1"/>
  <c r="AH72" i="2" a="1"/>
  <c r="AB73" i="2" a="1"/>
  <c r="AD73" i="2" a="1"/>
  <c r="AC73" i="2" a="1"/>
  <c r="AM71" i="2" a="1"/>
  <c r="AL71" i="2" a="1"/>
  <c r="AK71" i="2" a="1"/>
  <c r="AK71" i="2" l="1"/>
  <c r="AL71" i="2"/>
  <c r="AM71" i="2"/>
  <c r="AC73" i="2"/>
  <c r="AD73" i="2"/>
  <c r="AB73" i="2"/>
  <c r="AH72" i="2"/>
  <c r="AG72" i="2"/>
  <c r="AI72" i="2"/>
  <c r="AF73" i="2"/>
  <c r="AA74" i="2"/>
  <c r="AM72" i="2" a="1"/>
  <c r="AH73" i="2" a="1"/>
  <c r="AI73" i="2" a="1"/>
  <c r="AG73" i="2" a="1"/>
  <c r="AD74" i="2" a="1"/>
  <c r="AB74" i="2" a="1"/>
  <c r="AC74" i="2" a="1"/>
  <c r="AL72" i="2" a="1"/>
  <c r="AK72" i="2" a="1"/>
  <c r="AK72" i="2" l="1"/>
  <c r="AL72" i="2"/>
  <c r="AC74" i="2"/>
  <c r="AB74" i="2"/>
  <c r="AD74" i="2"/>
  <c r="AG73" i="2"/>
  <c r="AI73" i="2"/>
  <c r="AH73" i="2"/>
  <c r="AM72" i="2"/>
  <c r="AF74" i="2"/>
  <c r="AA75" i="2"/>
  <c r="AG74" i="2" a="1"/>
  <c r="AH74" i="2" a="1"/>
  <c r="AI74" i="2" a="1"/>
  <c r="AB75" i="2" a="1"/>
  <c r="AC75" i="2" a="1"/>
  <c r="AD75" i="2" a="1"/>
  <c r="AK73" i="2" a="1"/>
  <c r="AM73" i="2" a="1"/>
  <c r="AL73" i="2" a="1"/>
  <c r="AL73" i="2" l="1"/>
  <c r="AM73" i="2"/>
  <c r="AK73" i="2"/>
  <c r="AD75" i="2"/>
  <c r="AC75" i="2"/>
  <c r="AB75" i="2"/>
  <c r="AI74" i="2"/>
  <c r="AH74" i="2"/>
  <c r="AG74" i="2"/>
  <c r="AF75" i="2"/>
  <c r="AA76" i="2"/>
  <c r="AK74" i="2" a="1"/>
  <c r="AG75" i="2" a="1"/>
  <c r="AH75" i="2" a="1"/>
  <c r="AI75" i="2" a="1"/>
  <c r="AB76" i="2" a="1"/>
  <c r="AC76" i="2" a="1"/>
  <c r="AD76" i="2" a="1"/>
  <c r="AM74" i="2" a="1"/>
  <c r="AL74" i="2" a="1"/>
  <c r="AL74" i="2" l="1"/>
  <c r="AM74" i="2"/>
  <c r="AD76" i="2"/>
  <c r="AC76" i="2"/>
  <c r="AB76" i="2"/>
  <c r="AI75" i="2"/>
  <c r="AH75" i="2"/>
  <c r="AG75" i="2"/>
  <c r="AK74" i="2"/>
  <c r="AF76" i="2"/>
  <c r="AA77" i="2"/>
  <c r="AI76" i="2" a="1"/>
  <c r="AG76" i="2" a="1"/>
  <c r="AH76" i="2" a="1"/>
  <c r="AB77" i="2" a="1"/>
  <c r="AD77" i="2" a="1"/>
  <c r="AC77" i="2" a="1"/>
  <c r="AM75" i="2" a="1"/>
  <c r="AL75" i="2" a="1"/>
  <c r="AK75" i="2" a="1"/>
  <c r="AK75" i="2" l="1"/>
  <c r="AL75" i="2"/>
  <c r="AM75" i="2"/>
  <c r="AC77" i="2"/>
  <c r="AD77" i="2"/>
  <c r="AB77" i="2"/>
  <c r="AH76" i="2"/>
  <c r="AG76" i="2"/>
  <c r="AI76" i="2"/>
  <c r="AF77" i="2"/>
  <c r="AA78" i="2"/>
  <c r="AM76" i="2" a="1"/>
  <c r="AI77" i="2" a="1"/>
  <c r="AH77" i="2" a="1"/>
  <c r="AG77" i="2" a="1"/>
  <c r="AC78" i="2" a="1"/>
  <c r="AB78" i="2" a="1"/>
  <c r="AD78" i="2" a="1"/>
  <c r="AK76" i="2" a="1"/>
  <c r="AL76" i="2" a="1"/>
  <c r="AL76" i="2" l="1"/>
  <c r="AK76" i="2"/>
  <c r="AD78" i="2"/>
  <c r="AB78" i="2"/>
  <c r="AC78" i="2"/>
  <c r="AG77" i="2"/>
  <c r="AH77" i="2"/>
  <c r="AI77" i="2"/>
  <c r="AM76" i="2"/>
  <c r="AF78" i="2"/>
  <c r="AA79" i="2"/>
  <c r="AH78" i="2" a="1"/>
  <c r="AI78" i="2" a="1"/>
  <c r="AG78" i="2" a="1"/>
  <c r="AB79" i="2" a="1"/>
  <c r="AD79" i="2" a="1"/>
  <c r="AC79" i="2" a="1"/>
  <c r="AK77" i="2" a="1"/>
  <c r="AL77" i="2" a="1"/>
  <c r="AM77" i="2" a="1"/>
  <c r="AM77" i="2" l="1"/>
  <c r="AL77" i="2"/>
  <c r="AK77" i="2"/>
  <c r="AC79" i="2"/>
  <c r="AD79" i="2"/>
  <c r="AB79" i="2"/>
  <c r="AG78" i="2"/>
  <c r="AI78" i="2"/>
  <c r="AH78" i="2"/>
  <c r="AA80" i="2"/>
  <c r="AF79" i="2"/>
  <c r="AL78" i="2" a="1"/>
  <c r="AB80" i="2" a="1"/>
  <c r="AC80" i="2" a="1"/>
  <c r="AD80" i="2" a="1"/>
  <c r="AI79" i="2" a="1"/>
  <c r="AG79" i="2" a="1"/>
  <c r="AH79" i="2" a="1"/>
  <c r="AK78" i="2" a="1"/>
  <c r="AM78" i="2" a="1"/>
  <c r="AM78" i="2" l="1"/>
  <c r="AK78" i="2"/>
  <c r="AH79" i="2"/>
  <c r="AG79" i="2"/>
  <c r="AI79" i="2"/>
  <c r="AD80" i="2"/>
  <c r="AC80" i="2"/>
  <c r="AB80" i="2"/>
  <c r="AL78" i="2"/>
  <c r="AF80" i="2"/>
  <c r="AA81" i="2"/>
  <c r="AL79" i="2" a="1"/>
  <c r="AC81" i="2" a="1"/>
  <c r="AB81" i="2" a="1"/>
  <c r="AD81" i="2" a="1"/>
  <c r="AH80" i="2" a="1"/>
  <c r="AI80" i="2" a="1"/>
  <c r="AG80" i="2" a="1"/>
  <c r="AK79" i="2" a="1"/>
  <c r="AM79" i="2" a="1"/>
  <c r="AM79" i="2" l="1"/>
  <c r="AK79" i="2"/>
  <c r="AG80" i="2"/>
  <c r="AI80" i="2"/>
  <c r="AH80" i="2"/>
  <c r="AD81" i="2"/>
  <c r="AB81" i="2"/>
  <c r="AC81" i="2"/>
  <c r="AL79" i="2"/>
  <c r="AA82" i="2"/>
  <c r="AF81" i="2"/>
  <c r="AB82" i="2" a="1"/>
  <c r="AC82" i="2" a="1"/>
  <c r="AD82" i="2" a="1"/>
  <c r="AK80" i="2" a="1"/>
  <c r="AH81" i="2" a="1"/>
  <c r="AI81" i="2" a="1"/>
  <c r="AG81" i="2" a="1"/>
  <c r="AM80" i="2" a="1"/>
  <c r="AL80" i="2" a="1"/>
  <c r="AL80" i="2" l="1"/>
  <c r="AM80" i="2"/>
  <c r="AG81" i="2"/>
  <c r="AI81" i="2"/>
  <c r="AH81" i="2"/>
  <c r="AK80" i="2"/>
  <c r="AD82" i="2"/>
  <c r="AC82" i="2"/>
  <c r="AB82" i="2"/>
  <c r="AA83" i="2"/>
  <c r="AF82" i="2"/>
  <c r="AD83" i="2" a="1"/>
  <c r="AB83" i="2" a="1"/>
  <c r="AC83" i="2" a="1"/>
  <c r="AK81" i="2" a="1"/>
  <c r="AI82" i="2" a="1"/>
  <c r="AG82" i="2" a="1"/>
  <c r="AH82" i="2" a="1"/>
  <c r="AM81" i="2" a="1"/>
  <c r="AL81" i="2" a="1"/>
  <c r="AL81" i="2" l="1"/>
  <c r="AM81" i="2"/>
  <c r="AH82" i="2"/>
  <c r="AG82" i="2"/>
  <c r="AI82" i="2"/>
  <c r="AK81" i="2"/>
  <c r="AC83" i="2"/>
  <c r="AB83" i="2"/>
  <c r="AD83" i="2"/>
  <c r="AA84" i="2"/>
  <c r="AF83" i="2"/>
  <c r="AB84" i="2" a="1"/>
  <c r="AC84" i="2" a="1"/>
  <c r="AD84" i="2" a="1"/>
  <c r="AK82" i="2" a="1"/>
  <c r="AM82" i="2" a="1"/>
  <c r="AL82" i="2" a="1"/>
  <c r="AH83" i="2" a="1"/>
  <c r="AG83" i="2" a="1"/>
  <c r="AI83" i="2" a="1"/>
  <c r="AI83" i="2" l="1"/>
  <c r="AG83" i="2"/>
  <c r="AH83" i="2"/>
  <c r="AL82" i="2"/>
  <c r="AM82" i="2"/>
  <c r="AK82" i="2"/>
  <c r="AD84" i="2"/>
  <c r="AC84" i="2"/>
  <c r="AB84" i="2"/>
  <c r="AF84" i="2"/>
  <c r="AA85" i="2"/>
  <c r="AM83" i="2" a="1"/>
  <c r="AK83" i="2" a="1"/>
  <c r="AI84" i="2" a="1"/>
  <c r="AH84" i="2" a="1"/>
  <c r="AG84" i="2" a="1"/>
  <c r="AL83" i="2" a="1"/>
  <c r="AD85" i="2" a="1"/>
  <c r="AC85" i="2" a="1"/>
  <c r="AB85" i="2" a="1"/>
  <c r="AB85" i="2" l="1"/>
  <c r="AC85" i="2"/>
  <c r="AD85" i="2"/>
  <c r="AL83" i="2"/>
  <c r="AG84" i="2"/>
  <c r="AH84" i="2"/>
  <c r="AI84" i="2"/>
  <c r="AK83" i="2"/>
  <c r="AM83" i="2"/>
  <c r="AA86" i="2"/>
  <c r="AF85" i="2"/>
  <c r="AC86" i="2" a="1"/>
  <c r="AD86" i="2" a="1"/>
  <c r="AB86" i="2" a="1"/>
  <c r="AI85" i="2" a="1"/>
  <c r="AH85" i="2" a="1"/>
  <c r="AG85" i="2" a="1"/>
  <c r="AK84" i="2" a="1"/>
  <c r="AL84" i="2" a="1"/>
  <c r="AM84" i="2" a="1"/>
  <c r="AM84" i="2" l="1"/>
  <c r="AL84" i="2"/>
  <c r="AK84" i="2"/>
  <c r="AG85" i="2"/>
  <c r="AH85" i="2"/>
  <c r="AI85" i="2"/>
  <c r="AB86" i="2"/>
  <c r="AD86" i="2"/>
  <c r="AC86" i="2"/>
  <c r="AF86" i="2"/>
  <c r="AA87" i="2"/>
  <c r="AH86" i="2" a="1"/>
  <c r="AI86" i="2" a="1"/>
  <c r="AG86" i="2" a="1"/>
  <c r="AC87" i="2" a="1"/>
  <c r="AB87" i="2" a="1"/>
  <c r="AD87" i="2" a="1"/>
  <c r="AK85" i="2" a="1"/>
  <c r="AL85" i="2" a="1"/>
  <c r="AM85" i="2" a="1"/>
  <c r="AM85" i="2" l="1"/>
  <c r="AL85" i="2"/>
  <c r="AK85" i="2"/>
  <c r="AD87" i="2"/>
  <c r="AB87" i="2"/>
  <c r="AC87" i="2"/>
  <c r="AG86" i="2"/>
  <c r="AI86" i="2"/>
  <c r="AH86" i="2"/>
  <c r="AF87" i="2"/>
  <c r="AA88" i="2"/>
  <c r="AL86" i="2" a="1"/>
  <c r="AH87" i="2" a="1"/>
  <c r="AI87" i="2" a="1"/>
  <c r="AG87" i="2" a="1"/>
  <c r="AK86" i="2" a="1"/>
  <c r="AM86" i="2" a="1"/>
  <c r="AC88" i="2" a="1"/>
  <c r="AB88" i="2" a="1"/>
  <c r="AD88" i="2" a="1"/>
  <c r="AD88" i="2" l="1"/>
  <c r="AB88" i="2"/>
  <c r="AC88" i="2"/>
  <c r="AM86" i="2"/>
  <c r="AK86" i="2"/>
  <c r="AG87" i="2"/>
  <c r="AI87" i="2"/>
  <c r="AH87" i="2"/>
  <c r="AL86" i="2"/>
  <c r="AF88" i="2"/>
  <c r="AA89" i="2"/>
  <c r="AI88" i="2" a="1"/>
  <c r="AH88" i="2" a="1"/>
  <c r="AG88" i="2" a="1"/>
  <c r="AD89" i="2" a="1"/>
  <c r="AC89" i="2" a="1"/>
  <c r="AB89" i="2" a="1"/>
  <c r="AK87" i="2" a="1"/>
  <c r="AM87" i="2" a="1"/>
  <c r="AL87" i="2" a="1"/>
  <c r="AL87" i="2" l="1"/>
  <c r="AM87" i="2"/>
  <c r="AK87" i="2"/>
  <c r="AB89" i="2"/>
  <c r="AC89" i="2"/>
  <c r="AD89" i="2"/>
  <c r="AG88" i="2"/>
  <c r="AH88" i="2"/>
  <c r="AI88" i="2"/>
  <c r="AA90" i="2"/>
  <c r="AF89" i="2"/>
  <c r="AM88" i="2" a="1"/>
  <c r="AK88" i="2" a="1"/>
  <c r="AD90" i="2" a="1"/>
  <c r="AB90" i="2" a="1"/>
  <c r="AC90" i="2" a="1"/>
  <c r="AH89" i="2" a="1"/>
  <c r="AG89" i="2" a="1"/>
  <c r="AI89" i="2" a="1"/>
  <c r="AL88" i="2" a="1"/>
  <c r="AL88" i="2" l="1"/>
  <c r="AI89" i="2"/>
  <c r="AG89" i="2"/>
  <c r="AH89" i="2"/>
  <c r="AC90" i="2"/>
  <c r="AB90" i="2"/>
  <c r="AD90" i="2"/>
  <c r="AK88" i="2"/>
  <c r="AM88" i="2"/>
  <c r="AF90" i="2"/>
  <c r="AA91" i="2"/>
  <c r="AM89" i="2" a="1"/>
  <c r="AH90" i="2" a="1"/>
  <c r="AG90" i="2" a="1"/>
  <c r="AI90" i="2" a="1"/>
  <c r="AK89" i="2" a="1"/>
  <c r="AB91" i="2" a="1"/>
  <c r="AC91" i="2" a="1"/>
  <c r="AD91" i="2" a="1"/>
  <c r="AL89" i="2" a="1"/>
  <c r="AL89" i="2" l="1"/>
  <c r="AD91" i="2"/>
  <c r="AC91" i="2"/>
  <c r="AB91" i="2"/>
  <c r="AK89" i="2"/>
  <c r="AI90" i="2"/>
  <c r="AG90" i="2"/>
  <c r="AH90" i="2"/>
  <c r="AM89" i="2"/>
  <c r="AF91" i="2"/>
  <c r="AA92" i="2"/>
  <c r="AG91" i="2" a="1"/>
  <c r="AH91" i="2" a="1"/>
  <c r="AI91" i="2" a="1"/>
  <c r="AD92" i="2" a="1"/>
  <c r="AC92" i="2" a="1"/>
  <c r="AB92" i="2" a="1"/>
  <c r="AM90" i="2" a="1"/>
  <c r="AK90" i="2" a="1"/>
  <c r="AL90" i="2" a="1"/>
  <c r="AL90" i="2" l="1"/>
  <c r="AK90" i="2"/>
  <c r="AM90" i="2"/>
  <c r="AB92" i="2"/>
  <c r="AC92" i="2"/>
  <c r="AD92" i="2"/>
  <c r="AI91" i="2"/>
  <c r="AH91" i="2"/>
  <c r="AG91" i="2"/>
  <c r="AA93" i="2"/>
  <c r="AF92" i="2"/>
  <c r="AK91" i="2" a="1"/>
  <c r="AC93" i="2" a="1"/>
  <c r="AB93" i="2" a="1"/>
  <c r="AD93" i="2" a="1"/>
  <c r="AG92" i="2" a="1"/>
  <c r="AH92" i="2" a="1"/>
  <c r="AI92" i="2" a="1"/>
  <c r="AM91" i="2" a="1"/>
  <c r="AL91" i="2" a="1"/>
  <c r="AL91" i="2" l="1"/>
  <c r="AM91" i="2"/>
  <c r="AI92" i="2"/>
  <c r="AH92" i="2"/>
  <c r="AG92" i="2"/>
  <c r="AD93" i="2"/>
  <c r="AB93" i="2"/>
  <c r="AC93" i="2"/>
  <c r="AK91" i="2"/>
  <c r="AA94" i="2"/>
  <c r="AF93" i="2"/>
  <c r="AC94" i="2" a="1"/>
  <c r="AB94" i="2" a="1"/>
  <c r="AD94" i="2" a="1"/>
  <c r="AM92" i="2" a="1"/>
  <c r="AI93" i="2" a="1"/>
  <c r="AH93" i="2" a="1"/>
  <c r="AG93" i="2" a="1"/>
  <c r="AL92" i="2" a="1"/>
  <c r="AK92" i="2" a="1"/>
  <c r="AK92" i="2" l="1"/>
  <c r="AL92" i="2"/>
  <c r="AG93" i="2"/>
  <c r="AH93" i="2"/>
  <c r="AI93" i="2"/>
  <c r="AM92" i="2"/>
  <c r="AD94" i="2"/>
  <c r="AB94" i="2"/>
  <c r="AC94" i="2"/>
  <c r="AA95" i="2"/>
  <c r="AF94" i="2"/>
  <c r="AC95" i="2" a="1"/>
  <c r="AD95" i="2" a="1"/>
  <c r="AB95" i="2" a="1"/>
  <c r="AL93" i="2" a="1"/>
  <c r="AM93" i="2" a="1"/>
  <c r="AK93" i="2" a="1"/>
  <c r="AG94" i="2" a="1"/>
  <c r="AI94" i="2" a="1"/>
  <c r="AH94" i="2" a="1"/>
  <c r="AH94" i="2" l="1"/>
  <c r="AI94" i="2"/>
  <c r="AG94" i="2"/>
  <c r="AK93" i="2"/>
  <c r="AM93" i="2"/>
  <c r="AL93" i="2"/>
  <c r="AB95" i="2"/>
  <c r="AD95" i="2"/>
  <c r="AC95" i="2"/>
  <c r="AF95" i="2"/>
  <c r="AA96" i="2"/>
  <c r="AL94" i="2" a="1"/>
  <c r="AM94" i="2" a="1"/>
  <c r="AH95" i="2" a="1"/>
  <c r="AG95" i="2" a="1"/>
  <c r="AI95" i="2" a="1"/>
  <c r="AK94" i="2" a="1"/>
  <c r="AB96" i="2" a="1"/>
  <c r="AC96" i="2" a="1"/>
  <c r="AD96" i="2" a="1"/>
  <c r="AD96" i="2" l="1"/>
  <c r="AC96" i="2"/>
  <c r="AB96" i="2"/>
  <c r="AK94" i="2"/>
  <c r="AI95" i="2"/>
  <c r="AG95" i="2"/>
  <c r="AH95" i="2"/>
  <c r="AM94" i="2"/>
  <c r="AL94" i="2"/>
  <c r="AA97" i="2"/>
  <c r="AF96" i="2"/>
  <c r="AD97" i="2" a="1"/>
  <c r="AC97" i="2" a="1"/>
  <c r="AB97" i="2" a="1"/>
  <c r="AH96" i="2" a="1"/>
  <c r="AI96" i="2" a="1"/>
  <c r="AG96" i="2" a="1"/>
  <c r="AM95" i="2" a="1"/>
  <c r="AK95" i="2" a="1"/>
  <c r="AL95" i="2" a="1"/>
  <c r="AL95" i="2" l="1"/>
  <c r="AK95" i="2"/>
  <c r="AM95" i="2"/>
  <c r="AG96" i="2"/>
  <c r="AI96" i="2"/>
  <c r="AH96" i="2"/>
  <c r="AB97" i="2"/>
  <c r="AC97" i="2"/>
  <c r="AD97" i="2"/>
  <c r="AA98" i="2"/>
  <c r="AF97" i="2"/>
  <c r="AC98" i="2" a="1"/>
  <c r="AB98" i="2" a="1"/>
  <c r="AD98" i="2" a="1"/>
  <c r="AG97" i="2" a="1"/>
  <c r="AI97" i="2" a="1"/>
  <c r="AH97" i="2" a="1"/>
  <c r="AK96" i="2" a="1"/>
  <c r="AM96" i="2" a="1"/>
  <c r="AL96" i="2" a="1"/>
  <c r="AL96" i="2" l="1"/>
  <c r="AM96" i="2"/>
  <c r="AK96" i="2"/>
  <c r="AH97" i="2"/>
  <c r="AI97" i="2"/>
  <c r="AG97" i="2"/>
  <c r="AD98" i="2"/>
  <c r="AB98" i="2"/>
  <c r="AC98" i="2"/>
  <c r="AF98" i="2"/>
  <c r="AA99" i="2"/>
  <c r="AI98" i="2" a="1"/>
  <c r="AH98" i="2" a="1"/>
  <c r="AG98" i="2" a="1"/>
  <c r="AD99" i="2" a="1"/>
  <c r="AB99" i="2" a="1"/>
  <c r="AC99" i="2" a="1"/>
  <c r="AL97" i="2" a="1"/>
  <c r="AM97" i="2" a="1"/>
  <c r="AK97" i="2" a="1"/>
  <c r="AK97" i="2" l="1"/>
  <c r="AM97" i="2"/>
  <c r="AL97" i="2"/>
  <c r="AC99" i="2"/>
  <c r="AB99" i="2"/>
  <c r="AD99" i="2"/>
  <c r="AG98" i="2"/>
  <c r="AH98" i="2"/>
  <c r="AI98" i="2"/>
  <c r="AA100" i="2"/>
  <c r="AF99" i="2"/>
  <c r="AM98" i="2" a="1"/>
  <c r="AC100" i="2" a="1"/>
  <c r="AD100" i="2" a="1"/>
  <c r="AB100" i="2" a="1"/>
  <c r="AI99" i="2" a="1"/>
  <c r="AG99" i="2" a="1"/>
  <c r="AH99" i="2" a="1"/>
  <c r="AK98" i="2" a="1"/>
  <c r="AL98" i="2" a="1"/>
  <c r="AL98" i="2" l="1"/>
  <c r="AK98" i="2"/>
  <c r="AH99" i="2"/>
  <c r="AG99" i="2"/>
  <c r="AI99" i="2"/>
  <c r="AB100" i="2"/>
  <c r="AD100" i="2"/>
  <c r="AC100" i="2"/>
  <c r="AM98" i="2"/>
  <c r="AF100" i="2"/>
  <c r="AA101" i="2"/>
  <c r="AG100" i="2" a="1"/>
  <c r="AI100" i="2" a="1"/>
  <c r="AH100" i="2" a="1"/>
  <c r="AL99" i="2" a="1"/>
  <c r="AK99" i="2" a="1"/>
  <c r="AM99" i="2" a="1"/>
  <c r="AB101" i="2" a="1"/>
  <c r="AD101" i="2" a="1"/>
  <c r="AC101" i="2" a="1"/>
  <c r="AC101" i="2" l="1"/>
  <c r="AD101" i="2"/>
  <c r="AB101" i="2"/>
  <c r="AM99" i="2"/>
  <c r="AK99" i="2"/>
  <c r="AL99" i="2"/>
  <c r="AH100" i="2"/>
  <c r="AI100" i="2"/>
  <c r="AG100" i="2"/>
  <c r="AF101" i="2"/>
  <c r="AA102" i="2"/>
  <c r="AK100" i="2" a="1"/>
  <c r="AI101" i="2" a="1"/>
  <c r="AG101" i="2" a="1"/>
  <c r="AH101" i="2" a="1"/>
  <c r="AC102" i="2" a="1"/>
  <c r="AB102" i="2" a="1"/>
  <c r="AD102" i="2" a="1"/>
  <c r="AL100" i="2" a="1"/>
  <c r="AM100" i="2" a="1"/>
  <c r="AM100" i="2" l="1"/>
  <c r="AL100" i="2"/>
  <c r="AD102" i="2"/>
  <c r="AB102" i="2"/>
  <c r="AC102" i="2"/>
  <c r="AH101" i="2"/>
  <c r="AG101" i="2"/>
  <c r="AI101" i="2"/>
  <c r="AK100" i="2"/>
  <c r="AA103" i="2"/>
  <c r="AF102" i="2"/>
  <c r="AG102" i="2" a="1"/>
  <c r="AI102" i="2" a="1"/>
  <c r="AH102" i="2" a="1"/>
  <c r="AK101" i="2" a="1"/>
  <c r="AC103" i="2" a="1"/>
  <c r="AD103" i="2" a="1"/>
  <c r="AB103" i="2" a="1"/>
  <c r="AL101" i="2" a="1"/>
  <c r="AM101" i="2" a="1"/>
  <c r="AM101" i="2" l="1"/>
  <c r="AL101" i="2"/>
  <c r="AB103" i="2"/>
  <c r="AD103" i="2"/>
  <c r="AC103" i="2"/>
  <c r="AK101" i="2"/>
  <c r="AH102" i="2"/>
  <c r="AI102" i="2"/>
  <c r="AG102" i="2"/>
  <c r="AA104" i="2"/>
  <c r="AF103" i="2"/>
  <c r="AK102" i="2" a="1"/>
  <c r="AC104" i="2" a="1"/>
  <c r="AB104" i="2" a="1"/>
  <c r="AD104" i="2" a="1"/>
  <c r="AG103" i="2" a="1"/>
  <c r="AH103" i="2" a="1"/>
  <c r="AI103" i="2" a="1"/>
  <c r="AL102" i="2" a="1"/>
  <c r="AM102" i="2" a="1"/>
  <c r="AM102" i="2" l="1"/>
  <c r="AL102" i="2"/>
  <c r="AI103" i="2"/>
  <c r="AH103" i="2"/>
  <c r="AG103" i="2"/>
  <c r="AD104" i="2"/>
  <c r="AB104" i="2"/>
  <c r="AC104" i="2"/>
  <c r="AK102" i="2"/>
  <c r="AA105" i="2"/>
  <c r="AF104" i="2"/>
  <c r="AD105" i="2" a="1"/>
  <c r="AC105" i="2" a="1"/>
  <c r="AB105" i="2" a="1"/>
  <c r="AM103" i="2" a="1"/>
  <c r="AG104" i="2" a="1"/>
  <c r="AI104" i="2" a="1"/>
  <c r="AH104" i="2" a="1"/>
  <c r="AL103" i="2" a="1"/>
  <c r="AK103" i="2" a="1"/>
  <c r="AK103" i="2" l="1"/>
  <c r="AL103" i="2"/>
  <c r="AH104" i="2"/>
  <c r="AI104" i="2"/>
  <c r="AG104" i="2"/>
  <c r="AM103" i="2"/>
  <c r="AB105" i="2"/>
  <c r="AC105" i="2"/>
  <c r="AD105" i="2"/>
  <c r="AF105" i="2"/>
  <c r="AA106" i="2"/>
  <c r="AB106" i="2" a="1"/>
  <c r="AD106" i="2" a="1"/>
  <c r="AC106" i="2" a="1"/>
  <c r="AH105" i="2" a="1"/>
  <c r="AI105" i="2" a="1"/>
  <c r="AG105" i="2" a="1"/>
  <c r="AL104" i="2" a="1"/>
  <c r="AM104" i="2" a="1"/>
  <c r="AK104" i="2" a="1"/>
  <c r="AK104" i="2" l="1"/>
  <c r="AM104" i="2"/>
  <c r="AL104" i="2"/>
  <c r="AG105" i="2"/>
  <c r="AI105" i="2"/>
  <c r="AH105" i="2"/>
  <c r="AC106" i="2"/>
  <c r="AD106" i="2"/>
  <c r="AB106" i="2"/>
  <c r="AA107" i="2"/>
  <c r="AF106" i="2"/>
  <c r="AB107" i="2" a="1"/>
  <c r="AC107" i="2" a="1"/>
  <c r="AD107" i="2" a="1"/>
  <c r="AI106" i="2" a="1"/>
  <c r="AG106" i="2" a="1"/>
  <c r="AH106" i="2" a="1"/>
  <c r="AK105" i="2" a="1"/>
  <c r="AM105" i="2" a="1"/>
  <c r="AL105" i="2" a="1"/>
  <c r="AL105" i="2" l="1"/>
  <c r="AM105" i="2"/>
  <c r="AK105" i="2"/>
  <c r="AH106" i="2"/>
  <c r="AG106" i="2"/>
  <c r="AI106" i="2"/>
  <c r="AD107" i="2"/>
  <c r="AC107" i="2"/>
  <c r="AB107" i="2"/>
  <c r="AF107" i="2"/>
  <c r="AA108" i="2"/>
  <c r="AH107" i="2" a="1"/>
  <c r="AI107" i="2" a="1"/>
  <c r="AG107" i="2" a="1"/>
  <c r="AD108" i="2" a="1"/>
  <c r="AB108" i="2" a="1"/>
  <c r="AC108" i="2" a="1"/>
  <c r="AL106" i="2" a="1"/>
  <c r="AK106" i="2" a="1"/>
  <c r="AM106" i="2" a="1"/>
  <c r="AM106" i="2" l="1"/>
  <c r="AK106" i="2"/>
  <c r="AL106" i="2"/>
  <c r="AC108" i="2"/>
  <c r="AB108" i="2"/>
  <c r="AD108" i="2"/>
  <c r="AG107" i="2"/>
  <c r="AI107" i="2"/>
  <c r="AH107" i="2"/>
  <c r="AA109" i="2"/>
  <c r="AF108" i="2"/>
  <c r="AL107" i="2" a="1"/>
  <c r="AB109" i="2" a="1"/>
  <c r="AD109" i="2" a="1"/>
  <c r="AC109" i="2" a="1"/>
  <c r="AH108" i="2" a="1"/>
  <c r="AI108" i="2" a="1"/>
  <c r="AG108" i="2" a="1"/>
  <c r="AK107" i="2" a="1"/>
  <c r="AM107" i="2" a="1"/>
  <c r="AM107" i="2" l="1"/>
  <c r="AK107" i="2"/>
  <c r="AG108" i="2"/>
  <c r="AI108" i="2"/>
  <c r="AH108" i="2"/>
  <c r="AC109" i="2"/>
  <c r="AD109" i="2"/>
  <c r="AB109" i="2"/>
  <c r="AL107" i="2"/>
  <c r="AF109" i="2"/>
  <c r="AA110" i="2"/>
  <c r="AG109" i="2" a="1"/>
  <c r="AI109" i="2" a="1"/>
  <c r="AH109" i="2" a="1"/>
  <c r="AK108" i="2" a="1"/>
  <c r="AD110" i="2" a="1"/>
  <c r="AB110" i="2" a="1"/>
  <c r="AC110" i="2" a="1"/>
  <c r="AM108" i="2" a="1"/>
  <c r="AL108" i="2" a="1"/>
  <c r="AL108" i="2" l="1"/>
  <c r="AM108" i="2"/>
  <c r="AC110" i="2"/>
  <c r="AB110" i="2"/>
  <c r="AD110" i="2"/>
  <c r="AK108" i="2"/>
  <c r="AH109" i="2"/>
  <c r="AI109" i="2"/>
  <c r="AG109" i="2"/>
  <c r="AA111" i="2"/>
  <c r="AF110" i="2"/>
  <c r="AK109" i="2" a="1"/>
  <c r="AC111" i="2" a="1"/>
  <c r="AD111" i="2" a="1"/>
  <c r="AB111" i="2" a="1"/>
  <c r="AH110" i="2" a="1"/>
  <c r="AI110" i="2" a="1"/>
  <c r="AG110" i="2" a="1"/>
  <c r="AL109" i="2" a="1"/>
  <c r="AM109" i="2" a="1"/>
  <c r="AM109" i="2" l="1"/>
  <c r="AL109" i="2"/>
  <c r="AG110" i="2"/>
  <c r="AI110" i="2"/>
  <c r="AH110" i="2"/>
  <c r="AB111" i="2"/>
  <c r="AD111" i="2"/>
  <c r="AC111" i="2"/>
  <c r="AK109" i="2"/>
  <c r="AF111" i="2"/>
  <c r="AI111" i="2" a="1"/>
  <c r="AH111" i="2" a="1"/>
  <c r="AG111" i="2" a="1"/>
  <c r="AK110" i="2" a="1"/>
  <c r="AM110" i="2" a="1"/>
  <c r="AL110" i="2" a="1"/>
  <c r="AL110" i="2" l="1"/>
  <c r="AM110" i="2"/>
  <c r="AK110" i="2"/>
  <c r="AG111" i="2"/>
  <c r="AH111" i="2"/>
  <c r="AI111" i="2"/>
  <c r="AK111" i="2" a="1"/>
  <c r="AL111" i="2" a="1"/>
  <c r="AM111" i="2" a="1"/>
  <c r="AM111" i="2" l="1"/>
  <c r="AL111" i="2"/>
  <c r="AK1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1BCC826-D3BA-4E63-B540-E33BE44E7681}" keepAlive="1" name="Query - AMD" description="Connection to the 'AMD' query in the workbook." type="5" refreshedVersion="8" background="1" saveData="1">
    <dbPr connection="Provider=Microsoft.Mashup.OleDb.1;Data Source=$Workbook$;Location=AMD;Extended Properties=&quot;&quot;" command="SELECT * FROM [AMD]"/>
  </connection>
  <connection id="2" xr16:uid="{7C335CEA-A8DD-498D-959D-6DC893054316}" keepAlive="1" name="Query - CVX" description="Connection to the 'CVX' query in the workbook." type="5" refreshedVersion="8" background="1" saveData="1">
    <dbPr connection="Provider=Microsoft.Mashup.OleDb.1;Data Source=$Workbook$;Location=CVX;Extended Properties=&quot;&quot;" command="SELECT * FROM [CVX]"/>
  </connection>
  <connection id="3" xr16:uid="{BBE871AF-86B5-4523-A8B2-D15D6FA75105}" keepAlive="1" name="Query - DOW" description="Connection to the 'DOW' query in the workbook." type="5" refreshedVersion="8" background="1" saveData="1">
    <dbPr connection="Provider=Microsoft.Mashup.OleDb.1;Data Source=$Workbook$;Location=DOW;Extended Properties=&quot;&quot;" command="SELECT * FROM [DOW]"/>
  </connection>
  <connection id="4" xr16:uid="{A5099646-8467-4CDE-BA9F-5D12BB83F245}" keepAlive="1" name="Query - META" description="Connection to the 'META' query in the workbook." type="5" refreshedVersion="8" background="1" saveData="1">
    <dbPr connection="Provider=Microsoft.Mashup.OleDb.1;Data Source=$Workbook$;Location=META;Extended Properties=&quot;&quot;" command="SELECT * FROM [META]"/>
  </connection>
  <connection id="5" xr16:uid="{9942A161-4E8B-4C99-A2AB-B4D64F7D8599}" keepAlive="1" name="Query - META (1)" description="Connection to the 'META (1)' query in the workbook." type="5" refreshedVersion="8" background="1" saveData="1">
    <dbPr connection="Provider=Microsoft.Mashup.OleDb.1;Data Source=$Workbook$;Location=&quot;META (1)&quot;;Extended Properties=&quot;&quot;" command="SELECT * FROM [META (1)]"/>
  </connection>
  <connection id="6" xr16:uid="{3295DA31-571E-4BF5-ABC0-ACA2ADB6C912}" keepAlive="1" name="Query - SHW" description="Connection to the 'SHW' query in the workbook." type="5" refreshedVersion="8" background="1" saveData="1">
    <dbPr connection="Provider=Microsoft.Mashup.OleDb.1;Data Source=$Workbook$;Location=SHW;Extended Properties=&quot;&quot;" command="SELECT * FROM [SHW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<sst xmlns="http://schemas.openxmlformats.org/spreadsheetml/2006/main" count="80" uniqueCount="43">
  <si>
    <t>Returns</t>
  </si>
  <si>
    <t>Correlation</t>
  </si>
  <si>
    <t>variance</t>
  </si>
  <si>
    <t>Adj Close</t>
  </si>
  <si>
    <t>META</t>
  </si>
  <si>
    <t>CVX</t>
  </si>
  <si>
    <t>returns</t>
  </si>
  <si>
    <t>std dev</t>
  </si>
  <si>
    <t>CVX weight</t>
  </si>
  <si>
    <t>META weight</t>
  </si>
  <si>
    <t>Adj close</t>
  </si>
  <si>
    <t>Portfolio(last 180 days)</t>
  </si>
  <si>
    <t>yearly exp return</t>
  </si>
  <si>
    <t>yearly Std. Dev.</t>
  </si>
  <si>
    <t>value($)</t>
  </si>
  <si>
    <t>EMWA volatility</t>
  </si>
  <si>
    <t>joint VaR sigma flat ($)</t>
  </si>
  <si>
    <t>Portfolio</t>
  </si>
  <si>
    <t>CVX VaR($)</t>
  </si>
  <si>
    <t>META VaR($)</t>
  </si>
  <si>
    <t>yearly mean returns</t>
  </si>
  <si>
    <t>yearly std dev</t>
  </si>
  <si>
    <t>correlation</t>
  </si>
  <si>
    <t>Number of simulations</t>
  </si>
  <si>
    <t>time horizon(days)</t>
  </si>
  <si>
    <t>MONTE CARLO SIMULATION INPUT</t>
  </si>
  <si>
    <t>VaR (0.95)</t>
  </si>
  <si>
    <t>VaR (0.99)</t>
  </si>
  <si>
    <t>VaR (0.995)</t>
  </si>
  <si>
    <t>Historical VaR</t>
  </si>
  <si>
    <t>VaR(0.95)</t>
  </si>
  <si>
    <t>VaR(0.99)</t>
  </si>
  <si>
    <t>VaR(0.995)</t>
  </si>
  <si>
    <t>portfolio</t>
  </si>
  <si>
    <t>Subaddittivity</t>
  </si>
  <si>
    <t>Combined Portfolio</t>
  </si>
  <si>
    <t>subaddittivity</t>
  </si>
  <si>
    <t>RESULTS(%)</t>
  </si>
  <si>
    <t>RESULTS($, 1m invested)</t>
  </si>
  <si>
    <t>EMWA variance</t>
  </si>
  <si>
    <t>EWMA std dev</t>
  </si>
  <si>
    <t>joint VaR EMWA($)</t>
  </si>
  <si>
    <t>Historical simulation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</si>
</sst>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 applyNumberFormat="0" applyBorder="0" applyAlignment="0"/>
    <xf numFmtId="0" fontId="2" fillId="2" borderId="0" applyNumberFormat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2" fillId="2" borderId="1" xfId="1" applyBorder="1" applyAlignment="1">
      <alignment horizontal="right"/>
    </xf>
    <xf numFmtId="0" fontId="2" fillId="2" borderId="1" xfId="1" applyBorder="1"/>
    <xf numFmtId="0" fontId="2" fillId="2" borderId="2" xfId="1" applyBorder="1" applyAlignment="1">
      <alignment horizontal="center"/>
    </xf>
    <xf numFmtId="0" fontId="2" fillId="2" borderId="3" xfId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parametric VaR (sigma flat)</a:t>
            </a:r>
            <a:endParaRPr lang="en-US"/>
          </a:p>
        </c:rich>
      </c:tx>
      <c:layout>
        <c:manualLayout>
          <c:xMode val="edge"/>
          <c:yMode val="edge"/>
          <c:x val="0.27272802898344045"/>
          <c:y val="2.77777237054268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'Parametric VaR'!$V$11</c:f>
              <c:strCache>
                <c:ptCount val="1"/>
                <c:pt idx="0">
                  <c:v>0.95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'Parametric VaR'!$U$12:$U$111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'Parametric VaR'!$V$12:$V$111</c:f>
              <c:numCache>
                <c:formatCode>General</c:formatCode>
                <c:ptCount val="100"/>
                <c:pt idx="0">
                  <c:v>19011.628414528772</c:v>
                </c:pt>
                <c:pt idx="1">
                  <c:v>25540.059894090256</c:v>
                </c:pt>
                <c:pt idx="2">
                  <c:v>30014.697584800782</c:v>
                </c:pt>
                <c:pt idx="3">
                  <c:v>33426.213380975532</c:v>
                </c:pt>
                <c:pt idx="4">
                  <c:v>36158.335700363546</c:v>
                </c:pt>
                <c:pt idx="5">
                  <c:v>38407.863837350145</c:v>
                </c:pt>
                <c:pt idx="6">
                  <c:v>40291.705599817207</c:v>
                </c:pt>
                <c:pt idx="7">
                  <c:v>41886.032892016483</c:v>
                </c:pt>
                <c:pt idx="8">
                  <c:v>43243.754899340274</c:v>
                </c:pt>
                <c:pt idx="9">
                  <c:v>44403.394477623231</c:v>
                </c:pt>
                <c:pt idx="10">
                  <c:v>45394.033271325003</c:v>
                </c:pt>
                <c:pt idx="11">
                  <c:v>46238.264825355523</c:v>
                </c:pt>
                <c:pt idx="12">
                  <c:v>46954.056599916286</c:v>
                </c:pt>
                <c:pt idx="13">
                  <c:v>47555.976542667238</c:v>
                </c:pt>
                <c:pt idx="14">
                  <c:v>48056.03073124533</c:v>
                </c:pt>
                <c:pt idx="15">
                  <c:v>48464.252969623005</c:v>
                </c:pt>
                <c:pt idx="16">
                  <c:v>48789.130610396896</c:v>
                </c:pt>
                <c:pt idx="17">
                  <c:v>49037.918993778694</c:v>
                </c:pt>
                <c:pt idx="18">
                  <c:v>49216.87816892581</c:v>
                </c:pt>
                <c:pt idx="19">
                  <c:v>49331.454160317029</c:v>
                </c:pt>
                <c:pt idx="20">
                  <c:v>49386.419876008535</c:v>
                </c:pt>
                <c:pt idx="21">
                  <c:v>49385.986125248965</c:v>
                </c:pt>
                <c:pt idx="22">
                  <c:v>49333.890148136692</c:v>
                </c:pt>
                <c:pt idx="23">
                  <c:v>49233.466986208208</c:v>
                </c:pt>
                <c:pt idx="24">
                  <c:v>49087.707591823717</c:v>
                </c:pt>
                <c:pt idx="25">
                  <c:v>48899.306569093103</c:v>
                </c:pt>
                <c:pt idx="26">
                  <c:v>48670.701721664234</c:v>
                </c:pt>
                <c:pt idx="27">
                  <c:v>48404.107063060321</c:v>
                </c:pt>
                <c:pt idx="28">
                  <c:v>48101.540563789247</c:v>
                </c:pt>
                <c:pt idx="29">
                  <c:v>47764.84762593489</c:v>
                </c:pt>
                <c:pt idx="30">
                  <c:v>47395.721062814846</c:v>
                </c:pt>
                <c:pt idx="31">
                  <c:v>46995.718199376861</c:v>
                </c:pt>
                <c:pt idx="32">
                  <c:v>46566.275584791911</c:v>
                </c:pt>
                <c:pt idx="33">
                  <c:v>46108.721712537037</c:v>
                </c:pt>
                <c:pt idx="34">
                  <c:v>45624.288068174887</c:v>
                </c:pt>
                <c:pt idx="35">
                  <c:v>45114.118765942418</c:v>
                </c:pt>
                <c:pt idx="36">
                  <c:v>44579.27898840441</c:v>
                </c:pt>
                <c:pt idx="37">
                  <c:v>44020.762406012545</c:v>
                </c:pt>
                <c:pt idx="38">
                  <c:v>43439.49772333834</c:v>
                </c:pt>
                <c:pt idx="39">
                  <c:v>42836.354474426334</c:v>
                </c:pt>
                <c:pt idx="40">
                  <c:v>42212.148169927845</c:v>
                </c:pt>
                <c:pt idx="41">
                  <c:v>41567.644882488763</c:v>
                </c:pt>
                <c:pt idx="42">
                  <c:v>40903.565343553782</c:v>
                </c:pt>
                <c:pt idx="43">
                  <c:v>40220.588613747866</c:v>
                </c:pt>
                <c:pt idx="44">
                  <c:v>39519.355379860433</c:v>
                </c:pt>
                <c:pt idx="45">
                  <c:v>38800.470923836569</c:v>
                </c:pt>
                <c:pt idx="46">
                  <c:v>38064.507802795531</c:v>
                </c:pt>
                <c:pt idx="47">
                  <c:v>37312.008273726889</c:v>
                </c:pt>
                <c:pt idx="48">
                  <c:v>36543.4864919791</c:v>
                </c:pt>
                <c:pt idx="49">
                  <c:v>35759.430508811005</c:v>
                </c:pt>
                <c:pt idx="50">
                  <c:v>34960.304090007208</c:v>
                </c:pt>
                <c:pt idx="51">
                  <c:v>34146.548374766389</c:v>
                </c:pt>
                <c:pt idx="52">
                  <c:v>33318.583391681081</c:v>
                </c:pt>
                <c:pt idx="53">
                  <c:v>32476.809446574203</c:v>
                </c:pt>
                <c:pt idx="54">
                  <c:v>31621.608395187246</c:v>
                </c:pt>
                <c:pt idx="55">
                  <c:v>30753.344812186293</c:v>
                </c:pt>
                <c:pt idx="56">
                  <c:v>29872.367066626452</c:v>
                </c:pt>
                <c:pt idx="57">
                  <c:v>28979.008312863352</c:v>
                </c:pt>
                <c:pt idx="58">
                  <c:v>28073.587404897469</c:v>
                </c:pt>
                <c:pt idx="59">
                  <c:v>27156.409741260464</c:v>
                </c:pt>
                <c:pt idx="60">
                  <c:v>26227.768046785332</c:v>
                </c:pt>
                <c:pt idx="61">
                  <c:v>25287.943096929903</c:v>
                </c:pt>
                <c:pt idx="62">
                  <c:v>24337.204389729337</c:v>
                </c:pt>
                <c:pt idx="63">
                  <c:v>23375.810769933792</c:v>
                </c:pt>
                <c:pt idx="64">
                  <c:v>22404.011009424183</c:v>
                </c:pt>
                <c:pt idx="65">
                  <c:v>21422.044347592746</c:v>
                </c:pt>
                <c:pt idx="66">
                  <c:v>20430.140995012756</c:v>
                </c:pt>
                <c:pt idx="67">
                  <c:v>19428.522603399568</c:v>
                </c:pt>
                <c:pt idx="68">
                  <c:v>18417.402704581185</c:v>
                </c:pt>
                <c:pt idx="69">
                  <c:v>17396.98712093876</c:v>
                </c:pt>
                <c:pt idx="70">
                  <c:v>16367.474349552404</c:v>
                </c:pt>
                <c:pt idx="71">
                  <c:v>15329.055922081136</c:v>
                </c:pt>
                <c:pt idx="72">
                  <c:v>14281.916742225601</c:v>
                </c:pt>
                <c:pt idx="73">
                  <c:v>13226.235402456228</c:v>
                </c:pt>
                <c:pt idx="74">
                  <c:v>12162.184481543505</c:v>
                </c:pt>
                <c:pt idx="75">
                  <c:v>11089.930824293366</c:v>
                </c:pt>
                <c:pt idx="76">
                  <c:v>10009.635804771586</c:v>
                </c:pt>
                <c:pt idx="77">
                  <c:v>8921.4555741929908</c:v>
                </c:pt>
                <c:pt idx="78">
                  <c:v>7825.5412945533781</c:v>
                </c:pt>
                <c:pt idx="79">
                  <c:v>6722.0393589937876</c:v>
                </c:pt>
                <c:pt idx="80">
                  <c:v>5611.0915998064402</c:v>
                </c:pt>
                <c:pt idx="81">
                  <c:v>4492.835484919221</c:v>
                </c:pt>
                <c:pt idx="82">
                  <c:v>3367.4043036290527</c:v>
                </c:pt>
                <c:pt idx="83">
                  <c:v>2234.9273422948081</c:v>
                </c:pt>
                <c:pt idx="84">
                  <c:v>1095.5300506446715</c:v>
                </c:pt>
                <c:pt idx="85">
                  <c:v>-50.665800695548199</c:v>
                </c:pt>
                <c:pt idx="86">
                  <c:v>-1203.5419708941565</c:v>
                </c:pt>
                <c:pt idx="87">
                  <c:v>-2362.983607306358</c:v>
                </c:pt>
                <c:pt idx="88">
                  <c:v>-3528.8791110888947</c:v>
                </c:pt>
                <c:pt idx="89">
                  <c:v>-4701.1200095907207</c:v>
                </c:pt>
                <c:pt idx="90">
                  <c:v>-5879.6008351069358</c:v>
                </c:pt>
                <c:pt idx="91">
                  <c:v>-7064.219009612937</c:v>
                </c:pt>
                <c:pt idx="92">
                  <c:v>-8254.874735121075</c:v>
                </c:pt>
                <c:pt idx="93">
                  <c:v>-9451.4708893296483</c:v>
                </c:pt>
                <c:pt idx="94">
                  <c:v>-10653.912926253755</c:v>
                </c:pt>
                <c:pt idx="95">
                  <c:v>-11862.108781551897</c:v>
                </c:pt>
                <c:pt idx="96">
                  <c:v>-13075.968782278374</c:v>
                </c:pt>
                <c:pt idx="97">
                  <c:v>-14295.405560812778</c:v>
                </c:pt>
                <c:pt idx="98">
                  <c:v>-15520.333972731394</c:v>
                </c:pt>
                <c:pt idx="99">
                  <c:v>-16750.671018402903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BB-4B34-95FF-7747A2740951}"/>
            </c:ext>
          </c:extLst>
        </c:ser>
        <c:ser>
          <c:idx val="1"/>
          <c:order val="1"/>
          <c:tx>
            <c:strRef>
              <c:f>'Parametric VaR'!$W$11</c:f>
              <c:strCache>
                <c:ptCount val="1"/>
                <c:pt idx="0">
                  <c:v>0.99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'Parametric VaR'!$U$12:$U$111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'Parametric VaR'!$W$12:$W$111</c:f>
              <c:numCache>
                <c:formatCode>General</c:formatCode>
                <c:ptCount val="100"/>
                <c:pt idx="0">
                  <c:v>27840.830287623157</c:v>
                </c:pt>
                <c:pt idx="1">
                  <c:v>38026.436927950272</c:v>
                </c:pt>
                <c:pt idx="2">
                  <c:v>45307.323819282552</c:v>
                </c:pt>
                <c:pt idx="3">
                  <c:v>51084.617127164303</c:v>
                </c:pt>
                <c:pt idx="4">
                  <c:v>55901.031275671063</c:v>
                </c:pt>
                <c:pt idx="5">
                  <c:v>60034.903262456872</c:v>
                </c:pt>
                <c:pt idx="6">
                  <c:v>63651.578031210614</c:v>
                </c:pt>
                <c:pt idx="7">
                  <c:v>66858.786959736521</c:v>
                </c:pt>
                <c:pt idx="8">
                  <c:v>69731.360518623434</c:v>
                </c:pt>
                <c:pt idx="9">
                  <c:v>72323.782318026409</c:v>
                </c:pt>
                <c:pt idx="10">
                  <c:v>74677.183082682168</c:v>
                </c:pt>
                <c:pt idx="11">
                  <c:v>76823.51729431907</c:v>
                </c:pt>
                <c:pt idx="12">
                  <c:v>78788.196674780789</c:v>
                </c:pt>
                <c:pt idx="13">
                  <c:v>80591.824950449169</c:v>
                </c:pt>
                <c:pt idx="14">
                  <c:v>82251.382546043227</c:v>
                </c:pt>
                <c:pt idx="15">
                  <c:v>83781.060462000547</c:v>
                </c:pt>
                <c:pt idx="16">
                  <c:v>85192.862523066346</c:v>
                </c:pt>
                <c:pt idx="17">
                  <c:v>86497.050095358747</c:v>
                </c:pt>
                <c:pt idx="18">
                  <c:v>87702.476885864264</c:v>
                </c:pt>
                <c:pt idx="19">
                  <c:v>88816.845310932069</c:v>
                </c:pt>
                <c:pt idx="20">
                  <c:v>89846.905785509458</c:v>
                </c:pt>
                <c:pt idx="21">
                  <c:v>90798.61373747341</c:v>
                </c:pt>
                <c:pt idx="22">
                  <c:v>91677.254816814442</c:v>
                </c:pt>
                <c:pt idx="23">
                  <c:v>92487.545836421661</c:v>
                </c:pt>
                <c:pt idx="24">
                  <c:v>93233.716957295634</c:v>
                </c:pt>
                <c:pt idx="25">
                  <c:v>93919.579209451345</c:v>
                </c:pt>
                <c:pt idx="26">
                  <c:v>94548.580425109554</c:v>
                </c:pt>
                <c:pt idx="27">
                  <c:v>95123.85192584715</c:v>
                </c:pt>
                <c:pt idx="28">
                  <c:v>95648.247765863183</c:v>
                </c:pt>
                <c:pt idx="29">
                  <c:v>96124.37793254148</c:v>
                </c:pt>
                <c:pt idx="30">
                  <c:v>96554.636604061845</c:v>
                </c:pt>
                <c:pt idx="31">
                  <c:v>96941.226334816922</c:v>
                </c:pt>
                <c:pt idx="32">
                  <c:v>97286.178863713518</c:v>
                </c:pt>
                <c:pt idx="33">
                  <c:v>97591.373104428421</c:v>
                </c:pt>
                <c:pt idx="34">
                  <c:v>97858.550770493835</c:v>
                </c:pt>
                <c:pt idx="35">
                  <c:v>98089.330004508724</c:v>
                </c:pt>
                <c:pt idx="36">
                  <c:v>98285.217314501802</c:v>
                </c:pt>
                <c:pt idx="37">
                  <c:v>98447.618067555508</c:v>
                </c:pt>
                <c:pt idx="38">
                  <c:v>98577.84574826817</c:v>
                </c:pt>
                <c:pt idx="39">
                  <c:v>98677.130155232706</c:v>
                </c:pt>
                <c:pt idx="40">
                  <c:v>98746.624680726003</c:v>
                </c:pt>
                <c:pt idx="41">
                  <c:v>98787.412795910466</c:v>
                </c:pt>
                <c:pt idx="42">
                  <c:v>98800.513845022288</c:v>
                </c:pt>
                <c:pt idx="43">
                  <c:v>98786.888236462211</c:v>
                </c:pt>
                <c:pt idx="44">
                  <c:v>98747.44210578299</c:v>
                </c:pt>
                <c:pt idx="45">
                  <c:v>98683.031514790389</c:v>
                </c:pt>
                <c:pt idx="46">
                  <c:v>98594.466241944567</c:v>
                </c:pt>
                <c:pt idx="47">
                  <c:v>98482.51321165399</c:v>
                </c:pt>
                <c:pt idx="48">
                  <c:v>98347.899603639802</c:v>
                </c:pt>
                <c:pt idx="49">
                  <c:v>98191.315678111088</c:v>
                </c:pt>
                <c:pt idx="50">
                  <c:v>98013.417347867246</c:v>
                </c:pt>
                <c:pt idx="51">
                  <c:v>97814.828524495417</c:v>
                </c:pt>
                <c:pt idx="52">
                  <c:v>97596.143262449594</c:v>
                </c:pt>
                <c:pt idx="53">
                  <c:v>97357.927721894375</c:v>
                </c:pt>
                <c:pt idx="54">
                  <c:v>97100.721968692029</c:v>
                </c:pt>
                <c:pt idx="55">
                  <c:v>96825.04162775015</c:v>
                </c:pt>
                <c:pt idx="56">
                  <c:v>96531.379404071457</c:v>
                </c:pt>
                <c:pt idx="57">
                  <c:v>96220.206484218827</c:v>
                </c:pt>
                <c:pt idx="58">
                  <c:v>95891.973829489973</c:v>
                </c:pt>
                <c:pt idx="59">
                  <c:v>95547.113370856256</c:v>
                </c:pt>
                <c:pt idx="60">
                  <c:v>95186.03911463519</c:v>
                </c:pt>
                <c:pt idx="61">
                  <c:v>94809.148166914922</c:v>
                </c:pt>
                <c:pt idx="62">
                  <c:v>94416.821683909569</c:v>
                </c:pt>
                <c:pt idx="63">
                  <c:v>94009.425754688884</c:v>
                </c:pt>
                <c:pt idx="64">
                  <c:v>93587.312222071472</c:v>
                </c:pt>
                <c:pt idx="65">
                  <c:v>93150.819446895301</c:v>
                </c:pt>
                <c:pt idx="66">
                  <c:v>92700.273020367313</c:v>
                </c:pt>
                <c:pt idx="67">
                  <c:v>92235.98642873847</c:v>
                </c:pt>
                <c:pt idx="68">
                  <c:v>91758.261674147987</c:v>
                </c:pt>
                <c:pt idx="69">
                  <c:v>91267.389855117348</c:v>
                </c:pt>
                <c:pt idx="70">
                  <c:v>90763.651709854938</c:v>
                </c:pt>
                <c:pt idx="71">
                  <c:v>90247.318125241232</c:v>
                </c:pt>
                <c:pt idx="72">
                  <c:v>89718.650614108599</c:v>
                </c:pt>
                <c:pt idx="73">
                  <c:v>89177.901763196147</c:v>
                </c:pt>
                <c:pt idx="74">
                  <c:v>88625.315653952377</c:v>
                </c:pt>
                <c:pt idx="75">
                  <c:v>88061.128258170284</c:v>
                </c:pt>
                <c:pt idx="76">
                  <c:v>87485.567810270659</c:v>
                </c:pt>
                <c:pt idx="77">
                  <c:v>86898.855157896513</c:v>
                </c:pt>
                <c:pt idx="78">
                  <c:v>86301.204092343236</c:v>
                </c:pt>
                <c:pt idx="79">
                  <c:v>85692.821660223854</c:v>
                </c:pt>
                <c:pt idx="80">
                  <c:v>85073.908457655911</c:v>
                </c:pt>
                <c:pt idx="81">
                  <c:v>84444.658908153171</c:v>
                </c:pt>
                <c:pt idx="82">
                  <c:v>83805.261525311886</c:v>
                </c:pt>
                <c:pt idx="83">
                  <c:v>83155.89916129662</c:v>
                </c:pt>
                <c:pt idx="84">
                  <c:v>82496.749242051999</c:v>
                </c:pt>
                <c:pt idx="85">
                  <c:v>81827.983990097855</c:v>
                </c:pt>
                <c:pt idx="86">
                  <c:v>81149.770635698951</c:v>
                </c:pt>
                <c:pt idx="87">
                  <c:v>80462.271617142527</c:v>
                </c:pt>
                <c:pt idx="88">
                  <c:v>79765.644770802377</c:v>
                </c:pt>
                <c:pt idx="89">
                  <c:v>79060.043511618846</c:v>
                </c:pt>
                <c:pt idx="90">
                  <c:v>78345.617004579661</c:v>
                </c:pt>
                <c:pt idx="91">
                  <c:v>77622.510327742595</c:v>
                </c:pt>
                <c:pt idx="92">
                  <c:v>76890.864627306015</c:v>
                </c:pt>
                <c:pt idx="93">
                  <c:v>76150.81726519471</c:v>
                </c:pt>
                <c:pt idx="94">
                  <c:v>75402.501959599322</c:v>
                </c:pt>
                <c:pt idx="95">
                  <c:v>74646.048918874978</c:v>
                </c:pt>
                <c:pt idx="96">
                  <c:v>73881.584969180039</c:v>
                </c:pt>
                <c:pt idx="97">
                  <c:v>73109.233676207325</c:v>
                </c:pt>
                <c:pt idx="98">
                  <c:v>72329.11546134013</c:v>
                </c:pt>
                <c:pt idx="99">
                  <c:v>71541.347712540955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BB-4B34-95FF-7747A2740951}"/>
            </c:ext>
          </c:extLst>
        </c:ser>
        <c:ser>
          <c:idx val="2"/>
          <c:order val="2"/>
          <c:tx>
            <c:strRef>
              <c:f>'Parametric VaR'!$X$11</c:f>
              <c:strCache>
                <c:ptCount val="1"/>
                <c:pt idx="0">
                  <c:v>0.995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'Parametric VaR'!$U$12:$U$111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'Parametric VaR'!$X$12:$X$111</c:f>
              <c:numCache>
                <c:formatCode>General</c:formatCode>
                <c:ptCount val="100"/>
                <c:pt idx="0">
                  <c:v>31073.024710573238</c:v>
                </c:pt>
                <c:pt idx="1">
                  <c:v>42597.450117112952</c:v>
                </c:pt>
                <c:pt idx="2">
                  <c:v>50905.648779772862</c:v>
                </c:pt>
                <c:pt idx="3">
                  <c:v>57549.005973064464</c:v>
                </c:pt>
                <c:pt idx="4">
                  <c:v>63128.437721883143</c:v>
                </c:pt>
                <c:pt idx="5">
                  <c:v>67952.130348154082</c:v>
                </c:pt>
                <c:pt idx="6">
                  <c:v>72203.16066334644</c:v>
                </c:pt>
                <c:pt idx="7">
                  <c:v>76000.813338061867</c:v>
                </c:pt>
                <c:pt idx="8">
                  <c:v>79427.943787473661</c:v>
                </c:pt>
                <c:pt idx="9">
                  <c:v>82544.87853504227</c:v>
                </c:pt>
                <c:pt idx="10">
                  <c:v>85397.159233086873</c:v>
                </c:pt>
                <c:pt idx="11">
                  <c:v>88020.167215299676</c:v>
                </c:pt>
                <c:pt idx="12">
                  <c:v>90442.039398996028</c:v>
                </c:pt>
                <c:pt idx="13">
                  <c:v>92685.589088569861</c:v>
                </c:pt>
                <c:pt idx="14">
                  <c:v>94769.61771783336</c:v>
                </c:pt>
                <c:pt idx="15">
                  <c:v>96709.838153800869</c:v>
                </c:pt>
                <c:pt idx="16">
                  <c:v>98519.541531421841</c:v>
                </c:pt>
                <c:pt idx="17">
                  <c:v>100210.08966284677</c:v>
                </c:pt>
                <c:pt idx="18">
                  <c:v>101791.28574137941</c:v>
                </c:pt>
                <c:pt idx="19">
                  <c:v>103271.65820335622</c:v>
                </c:pt>
                <c:pt idx="20">
                  <c:v>104658.6813894923</c:v>
                </c:pt>
                <c:pt idx="21">
                  <c:v>105958.94939769185</c:v>
                </c:pt>
                <c:pt idx="22">
                  <c:v>107178.31471987399</c:v>
                </c:pt>
                <c:pt idx="23">
                  <c:v>108322.00000781607</c:v>
                </c:pt>
                <c:pt idx="24">
                  <c:v>109394.68907204602</c:v>
                </c:pt>
                <c:pt idx="25">
                  <c:v>110400.60164379956</c:v>
                </c:pt>
                <c:pt idx="26">
                  <c:v>111343.55530658047</c:v>
                </c:pt>
                <c:pt idx="27">
                  <c:v>112227.0171901188</c:v>
                </c:pt>
                <c:pt idx="28">
                  <c:v>113054.14742215034</c:v>
                </c:pt>
                <c:pt idx="29">
                  <c:v>113827.83588946301</c:v>
                </c:pt>
                <c:pt idx="30">
                  <c:v>114550.73352590123</c:v>
                </c:pt>
                <c:pt idx="31">
                  <c:v>115225.27909146764</c:v>
                </c:pt>
                <c:pt idx="32">
                  <c:v>115853.72221214107</c:v>
                </c:pt>
                <c:pt idx="33">
                  <c:v>116438.14329943758</c:v>
                </c:pt>
                <c:pt idx="34">
                  <c:v>116980.47085115612</c:v>
                </c:pt>
                <c:pt idx="35">
                  <c:v>117482.49654220921</c:v>
                </c:pt>
                <c:pt idx="36">
                  <c:v>117945.88844106141</c:v>
                </c:pt>
                <c:pt idx="37">
                  <c:v>118372.20262870718</c:v>
                </c:pt>
                <c:pt idx="38">
                  <c:v>118762.89345002588</c:v>
                </c:pt>
                <c:pt idx="39">
                  <c:v>119119.32258926441</c:v>
                </c:pt>
                <c:pt idx="40">
                  <c:v>119442.76713041293</c:v>
                </c:pt>
                <c:pt idx="41">
                  <c:v>119734.42673788994</c:v>
                </c:pt>
                <c:pt idx="42">
                  <c:v>119995.4300721092</c:v>
                </c:pt>
                <c:pt idx="43">
                  <c:v>120226.84053727159</c:v>
                </c:pt>
                <c:pt idx="44">
                  <c:v>120429.66144441922</c:v>
                </c:pt>
                <c:pt idx="45">
                  <c:v>120604.84066085498</c:v>
                </c:pt>
                <c:pt idx="46">
                  <c:v>120753.27480703287</c:v>
                </c:pt>
                <c:pt idx="47">
                  <c:v>120875.81305361519</c:v>
                </c:pt>
                <c:pt idx="48">
                  <c:v>120973.26056429035</c:v>
                </c:pt>
                <c:pt idx="49">
                  <c:v>121046.38162392448</c:v>
                </c:pt>
                <c:pt idx="50">
                  <c:v>121095.90248650056</c:v>
                </c:pt>
                <c:pt idx="51">
                  <c:v>121122.5139729259</c:v>
                </c:pt>
                <c:pt idx="52">
                  <c:v>121126.87384504579</c:v>
                </c:pt>
                <c:pt idx="53">
                  <c:v>121109.60897898598</c:v>
                </c:pt>
                <c:pt idx="54">
                  <c:v>121071.31735817343</c:v>
                </c:pt>
                <c:pt idx="55">
                  <c:v>121012.56990399153</c:v>
                </c:pt>
                <c:pt idx="56">
                  <c:v>120933.91215995002</c:v>
                </c:pt>
                <c:pt idx="57">
                  <c:v>120835.86584344532</c:v>
                </c:pt>
                <c:pt idx="58">
                  <c:v>120718.93027761759</c:v>
                </c:pt>
                <c:pt idx="59">
                  <c:v>120583.58371443654</c:v>
                </c:pt>
                <c:pt idx="60">
                  <c:v>120430.28455894832</c:v>
                </c:pt>
                <c:pt idx="61">
                  <c:v>120259.4725035609</c:v>
                </c:pt>
                <c:pt idx="62">
                  <c:v>120071.56958031705</c:v>
                </c:pt>
                <c:pt idx="63">
                  <c:v>119866.98113828951</c:v>
                </c:pt>
                <c:pt idx="64">
                  <c:v>119646.09675250809</c:v>
                </c:pt>
                <c:pt idx="65">
                  <c:v>119409.29107019189</c:v>
                </c:pt>
                <c:pt idx="66">
                  <c:v>119156.92459949241</c:v>
                </c:pt>
                <c:pt idx="67">
                  <c:v>118889.34444544945</c:v>
                </c:pt>
                <c:pt idx="68">
                  <c:v>118606.88499741581</c:v>
                </c:pt>
                <c:pt idx="69">
                  <c:v>118309.86857180439</c:v>
                </c:pt>
                <c:pt idx="70">
                  <c:v>117998.60601365764</c:v>
                </c:pt>
                <c:pt idx="71">
                  <c:v>117673.3972602173</c:v>
                </c:pt>
                <c:pt idx="72">
                  <c:v>117334.53186938849</c:v>
                </c:pt>
                <c:pt idx="73">
                  <c:v>116982.28951573386</c:v>
                </c:pt>
                <c:pt idx="74">
                  <c:v>116616.94045640387</c:v>
                </c:pt>
                <c:pt idx="75">
                  <c:v>116238.74596920057</c:v>
                </c:pt>
                <c:pt idx="76">
                  <c:v>115847.95876478501</c:v>
                </c:pt>
                <c:pt idx="77">
                  <c:v>115444.82337487012</c:v>
                </c:pt>
                <c:pt idx="78">
                  <c:v>115029.5765180867</c:v>
                </c:pt>
                <c:pt idx="79">
                  <c:v>114602.44744507218</c:v>
                </c:pt>
                <c:pt idx="80">
                  <c:v>114163.65826420662</c:v>
                </c:pt>
                <c:pt idx="81">
                  <c:v>113713.42424930594</c:v>
                </c:pt>
                <c:pt idx="82">
                  <c:v>113251.95413047919</c:v>
                </c:pt>
                <c:pt idx="83">
                  <c:v>112779.45036926231</c:v>
                </c:pt>
                <c:pt idx="84">
                  <c:v>112296.10941905437</c:v>
                </c:pt>
                <c:pt idx="85">
                  <c:v>111802.12197180577</c:v>
                </c:pt>
                <c:pt idx="86">
                  <c:v>111297.67319183398</c:v>
                </c:pt>
                <c:pt idx="87">
                  <c:v>110782.94293757941</c:v>
                </c:pt>
                <c:pt idx="88">
                  <c:v>110258.10597205198</c:v>
                </c:pt>
                <c:pt idx="89">
                  <c:v>109723.3321626664</c:v>
                </c:pt>
                <c:pt idx="90">
                  <c:v>109178.78667111268</c:v>
                </c:pt>
                <c:pt idx="91">
                  <c:v>108624.63013386168</c:v>
                </c:pt>
                <c:pt idx="92">
                  <c:v>108061.01883386572</c:v>
                </c:pt>
                <c:pt idx="93">
                  <c:v>107488.10486397168</c:v>
                </c:pt>
                <c:pt idx="94">
                  <c:v>106906.03628253222</c:v>
                </c:pt>
                <c:pt idx="95">
                  <c:v>106314.95726166382</c:v>
                </c:pt>
                <c:pt idx="96">
                  <c:v>105715.00822857377</c:v>
                </c:pt>
                <c:pt idx="97">
                  <c:v>105106.32600034609</c:v>
                </c:pt>
                <c:pt idx="98">
                  <c:v>104489.0439125542</c:v>
                </c:pt>
                <c:pt idx="99">
                  <c:v>103863.29194204173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BB-4B34-95FF-7747A2740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308175"/>
        <c:axId val="763379680"/>
      </c:lineChart>
      <c:catAx>
        <c:axId val="630308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horizon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79680"/>
        <c:crosses val="autoZero"/>
        <c:auto val="1"/>
        <c:lblAlgn val="ctr"/>
        <c:lblOffset val="100"/>
        <c:noMultiLvlLbl val="0"/>
      </c:catAx>
      <c:valAx>
        <c:axId val="76337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VaR</a:t>
                </a:r>
                <a:r>
                  <a:rPr lang="en-US" baseline="0"/>
                  <a:t> ($)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308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parametric VaR (EWMA sigma)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'Parametric VaR'!$J$11</c:f>
              <c:strCache>
                <c:ptCount val="1"/>
                <c:pt idx="0">
                  <c:v>0.95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'Parametric VaR'!$I$12:$I$111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'Parametric VaR'!$J$12:$J$111</c:f>
              <c:numCache>
                <c:formatCode>General</c:formatCode>
                <c:ptCount val="100"/>
                <c:pt idx="0">
                  <c:v>33786.093547468219</c:v>
                </c:pt>
                <c:pt idx="1">
                  <c:v>46434.308861901627</c:v>
                </c:pt>
                <c:pt idx="2">
                  <c:v>55604.821849706765</c:v>
                </c:pt>
                <c:pt idx="3">
                  <c:v>62975.143646854413</c:v>
                </c:pt>
                <c:pt idx="4">
                  <c:v>69195.044068816598</c:v>
                </c:pt>
                <c:pt idx="5">
                  <c:v>74597.764635593019</c:v>
                </c:pt>
                <c:pt idx="6">
                  <c:v>79381.266095569808</c:v>
                </c:pt>
                <c:pt idx="7">
                  <c:v>83674.530827639232</c:v>
                </c:pt>
                <c:pt idx="8">
                  <c:v>87567.150298158609</c:v>
                </c:pt>
                <c:pt idx="9">
                  <c:v>91124.355508454275</c:v>
                </c:pt>
                <c:pt idx="10">
                  <c:v>94395.390595473451</c:v>
                </c:pt>
                <c:pt idx="11">
                  <c:v>97418.513355167495</c:v>
                </c:pt>
                <c:pt idx="12">
                  <c:v>100224.14820428433</c:v>
                </c:pt>
                <c:pt idx="13">
                  <c:v>102836.96314296416</c:v>
                </c:pt>
                <c:pt idx="14">
                  <c:v>105277.28814024194</c:v>
                </c:pt>
                <c:pt idx="15">
                  <c:v>107562.11350138078</c:v>
                </c:pt>
                <c:pt idx="16">
                  <c:v>109705.81091551149</c:v>
                </c:pt>
                <c:pt idx="17">
                  <c:v>111720.66589721284</c:v>
                </c:pt>
                <c:pt idx="18">
                  <c:v>113617.27862827404</c:v>
                </c:pt>
                <c:pt idx="19">
                  <c:v>115404.87089722315</c:v>
                </c:pt>
                <c:pt idx="20">
                  <c:v>117091.52470018933</c:v>
                </c:pt>
                <c:pt idx="21">
                  <c:v>118684.37022774988</c:v>
                </c:pt>
                <c:pt idx="22">
                  <c:v>120189.73577277231</c:v>
                </c:pt>
                <c:pt idx="23">
                  <c:v>121613.26858269396</c:v>
                </c:pt>
                <c:pt idx="24">
                  <c:v>122960.03325652092</c:v>
                </c:pt>
                <c:pt idx="25">
                  <c:v>124234.59258484755</c:v>
                </c:pt>
                <c:pt idx="26">
                  <c:v>125441.07451638217</c:v>
                </c:pt>
                <c:pt idx="27">
                  <c:v>126583.22805456554</c:v>
                </c:pt>
                <c:pt idx="28">
                  <c:v>127664.47024193054</c:v>
                </c:pt>
                <c:pt idx="29">
                  <c:v>128687.92590977985</c:v>
                </c:pt>
                <c:pt idx="30">
                  <c:v>129656.46150986978</c:v>
                </c:pt>
                <c:pt idx="31">
                  <c:v>130572.71407062234</c:v>
                </c:pt>
                <c:pt idx="32">
                  <c:v>131439.11611005434</c:v>
                </c:pt>
                <c:pt idx="33">
                  <c:v>132257.91717477611</c:v>
                </c:pt>
                <c:pt idx="34">
                  <c:v>133031.20254726813</c:v>
                </c:pt>
                <c:pt idx="35">
                  <c:v>133760.90956357907</c:v>
                </c:pt>
                <c:pt idx="36">
                  <c:v>134448.84190424596</c:v>
                </c:pt>
                <c:pt idx="37">
                  <c:v>135096.68215788135</c:v>
                </c:pt>
                <c:pt idx="38">
                  <c:v>135706.00290595207</c:v>
                </c:pt>
                <c:pt idx="39">
                  <c:v>136278.27653608841</c:v>
                </c:pt>
                <c:pt idx="40">
                  <c:v>136814.88395775892</c:v>
                </c:pt>
                <c:pt idx="41">
                  <c:v>137317.12236673731</c:v>
                </c:pt>
                <c:pt idx="42">
                  <c:v>137786.21218224757</c:v>
                </c:pt>
                <c:pt idx="43">
                  <c:v>138223.30326204476</c:v>
                </c:pt>
                <c:pt idx="44">
                  <c:v>138629.48048521965</c:v>
                </c:pt>
                <c:pt idx="45">
                  <c:v>139005.7687796106</c:v>
                </c:pt>
                <c:pt idx="46">
                  <c:v>139353.13765989669</c:v>
                </c:pt>
                <c:pt idx="47">
                  <c:v>139672.50533335083</c:v>
                </c:pt>
                <c:pt idx="48">
                  <c:v>139964.74242255522</c:v>
                </c:pt>
                <c:pt idx="49">
                  <c:v>140230.67534786786</c:v>
                </c:pt>
                <c:pt idx="50">
                  <c:v>140471.08940689609</c:v>
                </c:pt>
                <c:pt idx="51">
                  <c:v>140686.73158350246</c:v>
                </c:pt>
                <c:pt idx="52">
                  <c:v>140878.31311482374</c:v>
                </c:pt>
                <c:pt idx="53">
                  <c:v>141046.51184130282</c:v>
                </c:pt>
                <c:pt idx="54">
                  <c:v>141191.97436174034</c:v>
                </c:pt>
                <c:pt idx="55">
                  <c:v>141315.31801278013</c:v>
                </c:pt>
                <c:pt idx="56">
                  <c:v>141417.13268999974</c:v>
                </c:pt>
                <c:pt idx="57">
                  <c:v>141497.9825258276</c:v>
                </c:pt>
                <c:pt idx="58">
                  <c:v>141558.40743780829</c:v>
                </c:pt>
                <c:pt idx="59">
                  <c:v>141598.92455925368</c:v>
                </c:pt>
                <c:pt idx="60">
                  <c:v>141620.02956301978</c:v>
                </c:pt>
                <c:pt idx="61">
                  <c:v>141622.19788800803</c:v>
                </c:pt>
                <c:pt idx="62">
                  <c:v>141605.88587698719</c:v>
                </c:pt>
                <c:pt idx="63">
                  <c:v>141571.53183344938</c:v>
                </c:pt>
                <c:pt idx="64">
                  <c:v>141519.55700443196</c:v>
                </c:pt>
                <c:pt idx="65">
                  <c:v>141450.3664955477</c:v>
                </c:pt>
                <c:pt idx="66">
                  <c:v>141364.3501238515</c:v>
                </c:pt>
                <c:pt idx="67">
                  <c:v>141261.88321362875</c:v>
                </c:pt>
                <c:pt idx="68">
                  <c:v>141143.32733970706</c:v>
                </c:pt>
                <c:pt idx="69">
                  <c:v>141009.03102245767</c:v>
                </c:pt>
                <c:pt idx="70">
                  <c:v>140859.33037827211</c:v>
                </c:pt>
                <c:pt idx="71">
                  <c:v>140694.54972894941</c:v>
                </c:pt>
                <c:pt idx="72">
                  <c:v>140515.00217312347</c:v>
                </c:pt>
                <c:pt idx="73">
                  <c:v>140320.99012258151</c:v>
                </c:pt>
                <c:pt idx="74">
                  <c:v>140112.80580607345</c:v>
                </c:pt>
                <c:pt idx="75">
                  <c:v>139890.73174298985</c:v>
                </c:pt>
                <c:pt idx="76">
                  <c:v>139655.04118908182</c:v>
                </c:pt>
                <c:pt idx="77">
                  <c:v>139405.99855621284</c:v>
                </c:pt>
                <c:pt idx="78">
                  <c:v>139143.85980796957</c:v>
                </c:pt>
                <c:pt idx="79">
                  <c:v>138868.87283280602</c:v>
                </c:pt>
                <c:pt idx="80">
                  <c:v>138581.27779626145</c:v>
                </c:pt>
                <c:pt idx="81">
                  <c:v>138281.30747366848</c:v>
                </c:pt>
                <c:pt idx="82">
                  <c:v>137969.18756465719</c:v>
                </c:pt>
                <c:pt idx="83">
                  <c:v>137645.13699065638</c:v>
                </c:pt>
                <c:pt idx="84">
                  <c:v>137309.36817650354</c:v>
                </c:pt>
                <c:pt idx="85">
                  <c:v>136962.0873171881</c:v>
                </c:pt>
                <c:pt idx="86">
                  <c:v>136603.49463067629</c:v>
                </c:pt>
                <c:pt idx="87">
                  <c:v>136233.78459769551</c:v>
                </c:pt>
                <c:pt idx="88">
                  <c:v>135853.14618929001</c:v>
                </c:pt>
                <c:pt idx="89">
                  <c:v>135461.76308290238</c:v>
                </c:pt>
                <c:pt idx="90">
                  <c:v>135059.81386768064</c:v>
                </c:pt>
                <c:pt idx="91">
                  <c:v>134647.47223965832</c:v>
                </c:pt>
                <c:pt idx="92">
                  <c:v>134224.90718741427</c:v>
                </c:pt>
                <c:pt idx="93">
                  <c:v>133792.28316877119</c:v>
                </c:pt>
                <c:pt idx="94">
                  <c:v>133349.76027905763</c:v>
                </c:pt>
                <c:pt idx="95">
                  <c:v>132897.49441141961</c:v>
                </c:pt>
                <c:pt idx="96">
                  <c:v>132435.63740963681</c:v>
                </c:pt>
                <c:pt idx="97">
                  <c:v>131964.33721386682</c:v>
                </c:pt>
                <c:pt idx="98">
                  <c:v>131483.73799971392</c:v>
                </c:pt>
                <c:pt idx="99">
                  <c:v>130993.98031099152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DF-4165-A8BD-348C7626CCC9}"/>
            </c:ext>
          </c:extLst>
        </c:ser>
        <c:ser>
          <c:idx val="1"/>
          <c:order val="1"/>
          <c:tx>
            <c:strRef>
              <c:f>'Parametric VaR'!$K$11</c:f>
              <c:strCache>
                <c:ptCount val="1"/>
                <c:pt idx="0">
                  <c:v>0.99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'Parametric VaR'!$I$12:$I$111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'Parametric VaR'!$K$12:$K$111</c:f>
              <c:numCache>
                <c:formatCode>General</c:formatCode>
                <c:ptCount val="100"/>
                <c:pt idx="0">
                  <c:v>48736.63827255959</c:v>
                </c:pt>
                <c:pt idx="1">
                  <c:v>67577.571976991385</c:v>
                </c:pt>
                <c:pt idx="2">
                  <c:v>81499.924914395888</c:v>
                </c:pt>
                <c:pt idx="3">
                  <c:v>92876.233097037155</c:v>
                </c:pt>
                <c:pt idx="4">
                  <c:v>102625.47837477182</c:v>
                </c:pt>
                <c:pt idx="5">
                  <c:v>111218.97058872548</c:v>
                </c:pt>
                <c:pt idx="6">
                  <c:v>118936.6894031101</c:v>
                </c:pt>
                <c:pt idx="7">
                  <c:v>125961.05705781873</c:v>
                </c:pt>
                <c:pt idx="8">
                  <c:v>132418.78447343272</c:v>
                </c:pt>
                <c:pt idx="9">
                  <c:v>138402.12909995893</c:v>
                </c:pt>
                <c:pt idx="10">
                  <c:v>143980.73786002863</c:v>
                </c:pt>
                <c:pt idx="11">
                  <c:v>149208.71948454573</c:v>
                </c:pt>
                <c:pt idx="12">
                  <c:v>154129.10380671892</c:v>
                </c:pt>
                <c:pt idx="13">
                  <c:v>158776.77924989647</c:v>
                </c:pt>
                <c:pt idx="14">
                  <c:v>163180.49887724995</c:v>
                </c:pt>
                <c:pt idx="15">
                  <c:v>167364.29240174626</c:v>
                </c:pt>
                <c:pt idx="16">
                  <c:v>171348.48597758418</c:v>
                </c:pt>
                <c:pt idx="17">
                  <c:v>175150.45524248207</c:v>
                </c:pt>
                <c:pt idx="18">
                  <c:v>178785.19223583239</c:v>
                </c:pt>
                <c:pt idx="19">
                  <c:v>182265.73950913356</c:v>
                </c:pt>
                <c:pt idx="20">
                  <c:v>185603.52758374327</c:v>
                </c:pt>
                <c:pt idx="21">
                  <c:v>188808.64082426348</c:v>
                </c:pt>
                <c:pt idx="22">
                  <c:v>191890.02945606218</c:v>
                </c:pt>
                <c:pt idx="23">
                  <c:v>194855.68048895887</c:v>
                </c:pt>
                <c:pt idx="24">
                  <c:v>197712.75688197775</c:v>
                </c:pt>
                <c:pt idx="25">
                  <c:v>200467.71187693015</c:v>
                </c:pt>
                <c:pt idx="26">
                  <c:v>203126.38371044956</c:v>
                </c:pt>
                <c:pt idx="27">
                  <c:v>205694.07466964613</c:v>
                </c:pt>
                <c:pt idx="28">
                  <c:v>208175.61754298297</c:v>
                </c:pt>
                <c:pt idx="29">
                  <c:v>210575.43183900401</c:v>
                </c:pt>
                <c:pt idx="30">
                  <c:v>212897.57163512989</c:v>
                </c:pt>
                <c:pt idx="31">
                  <c:v>215145.76653098135</c:v>
                </c:pt>
                <c:pt idx="32">
                  <c:v>217323.45688321043</c:v>
                </c:pt>
                <c:pt idx="33">
                  <c:v>219433.82426851706</c:v>
                </c:pt>
                <c:pt idx="34">
                  <c:v>221479.81794170779</c:v>
                </c:pt>
                <c:pt idx="35">
                  <c:v>223464.1779141273</c:v>
                </c:pt>
                <c:pt idx="36">
                  <c:v>225389.45516557945</c:v>
                </c:pt>
                <c:pt idx="37">
                  <c:v>227258.02941324853</c:v>
                </c:pt>
                <c:pt idx="38">
                  <c:v>229072.12478911344</c:v>
                </c:pt>
                <c:pt idx="39">
                  <c:v>230833.82371909768</c:v>
                </c:pt>
                <c:pt idx="40">
                  <c:v>232545.07924981529</c:v>
                </c:pt>
                <c:pt idx="41">
                  <c:v>234207.72603000392</c:v>
                </c:pt>
                <c:pt idx="42">
                  <c:v>235823.4901218618</c:v>
                </c:pt>
                <c:pt idx="43">
                  <c:v>237393.99779115513</c:v>
                </c:pt>
                <c:pt idx="44">
                  <c:v>238920.78340308528</c:v>
                </c:pt>
                <c:pt idx="45">
                  <c:v>240405.2965326531</c:v>
                </c:pt>
                <c:pt idx="46">
                  <c:v>241848.9083829709</c:v>
                </c:pt>
                <c:pt idx="47">
                  <c:v>243252.91759210732</c:v>
                </c:pt>
                <c:pt idx="48">
                  <c:v>244618.55549819479</c:v>
                </c:pt>
                <c:pt idx="49">
                  <c:v>245946.99092331663</c:v>
                </c:pt>
                <c:pt idx="50">
                  <c:v>247239.33452886494</c:v>
                </c:pt>
                <c:pt idx="51">
                  <c:v>248496.64278837165</c:v>
                </c:pt>
                <c:pt idx="52">
                  <c:v>249719.92161809211</c:v>
                </c:pt>
                <c:pt idx="53">
                  <c:v>250910.1297007002</c:v>
                </c:pt>
                <c:pt idx="54">
                  <c:v>252068.18153321903</c:v>
                </c:pt>
                <c:pt idx="55">
                  <c:v>253194.95022664472</c:v>
                </c:pt>
                <c:pt idx="56">
                  <c:v>254291.27008155</c:v>
                </c:pt>
                <c:pt idx="57">
                  <c:v>255357.93896119396</c:v>
                </c:pt>
                <c:pt idx="58">
                  <c:v>256395.7204812633</c:v>
                </c:pt>
                <c:pt idx="59">
                  <c:v>257405.34603326971</c:v>
                </c:pt>
                <c:pt idx="60">
                  <c:v>258387.51665679261</c:v>
                </c:pt>
                <c:pt idx="61">
                  <c:v>259342.90477414324</c:v>
                </c:pt>
                <c:pt idx="62">
                  <c:v>260272.15579960804</c:v>
                </c:pt>
                <c:pt idx="63">
                  <c:v>261175.88963418032</c:v>
                </c:pt>
                <c:pt idx="64">
                  <c:v>262054.70205558391</c:v>
                </c:pt>
                <c:pt idx="65">
                  <c:v>262909.16601241758</c:v>
                </c:pt>
                <c:pt idx="66">
                  <c:v>263739.83283038117</c:v>
                </c:pt>
                <c:pt idx="67">
                  <c:v>264547.23333777412</c:v>
                </c:pt>
                <c:pt idx="68">
                  <c:v>265331.87891677493</c:v>
                </c:pt>
                <c:pt idx="69">
                  <c:v>266094.26248639601</c:v>
                </c:pt>
                <c:pt idx="70">
                  <c:v>266834.85942246375</c:v>
                </c:pt>
                <c:pt idx="71">
                  <c:v>267554.12841948797</c:v>
                </c:pt>
                <c:pt idx="72">
                  <c:v>268252.51229884138</c:v>
                </c:pt>
                <c:pt idx="73">
                  <c:v>268930.43876728584</c:v>
                </c:pt>
                <c:pt idx="74">
                  <c:v>269588.32112951908</c:v>
                </c:pt>
                <c:pt idx="75">
                  <c:v>270226.55895810656</c:v>
                </c:pt>
                <c:pt idx="76">
                  <c:v>270845.53872387175</c:v>
                </c:pt>
                <c:pt idx="77">
                  <c:v>271445.63438955904</c:v>
                </c:pt>
                <c:pt idx="78">
                  <c:v>272027.20796935371</c:v>
                </c:pt>
                <c:pt idx="79">
                  <c:v>272590.6100566269</c:v>
                </c:pt>
                <c:pt idx="80">
                  <c:v>273136.18032208382</c:v>
                </c:pt>
                <c:pt idx="81">
                  <c:v>273664.24798431963</c:v>
                </c:pt>
                <c:pt idx="82">
                  <c:v>274175.13225462823</c:v>
                </c:pt>
                <c:pt idx="83">
                  <c:v>274669.14275776426</c:v>
                </c:pt>
                <c:pt idx="84">
                  <c:v>275146.57993022911</c:v>
                </c:pt>
                <c:pt idx="85">
                  <c:v>275607.73539753113</c:v>
                </c:pt>
                <c:pt idx="86">
                  <c:v>276052.89233176102</c:v>
                </c:pt>
                <c:pt idx="87">
                  <c:v>276482.32579072268</c:v>
                </c:pt>
                <c:pt idx="88">
                  <c:v>276896.3030397704</c:v>
                </c:pt>
                <c:pt idx="89">
                  <c:v>277295.08385741629</c:v>
                </c:pt>
                <c:pt idx="90">
                  <c:v>277678.92082570057</c:v>
                </c:pt>
                <c:pt idx="91">
                  <c:v>278048.05960623809</c:v>
                </c:pt>
                <c:pt idx="92">
                  <c:v>278402.73920280085</c:v>
                </c:pt>
                <c:pt idx="93">
                  <c:v>278743.19221122598</c:v>
                </c:pt>
                <c:pt idx="94">
                  <c:v>279069.64505739167</c:v>
                </c:pt>
                <c:pt idx="95">
                  <c:v>279382.31822394941</c:v>
                </c:pt>
                <c:pt idx="96">
                  <c:v>279681.42646645458</c:v>
                </c:pt>
                <c:pt idx="97">
                  <c:v>279967.17901949509</c:v>
                </c:pt>
                <c:pt idx="98">
                  <c:v>280239.77979337948</c:v>
                </c:pt>
                <c:pt idx="99">
                  <c:v>280499.42756190524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DF-4165-A8BD-348C7626CCC9}"/>
            </c:ext>
          </c:extLst>
        </c:ser>
        <c:ser>
          <c:idx val="2"/>
          <c:order val="2"/>
          <c:tx>
            <c:strRef>
              <c:f>'Parametric VaR'!$L$11</c:f>
              <c:strCache>
                <c:ptCount val="1"/>
                <c:pt idx="0">
                  <c:v>0.995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'Parametric VaR'!$I$12:$I$111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'Parametric VaR'!$L$12:$L$111</c:f>
              <c:numCache>
                <c:formatCode>General</c:formatCode>
                <c:ptCount val="100"/>
                <c:pt idx="0">
                  <c:v>54209.734026295046</c:v>
                </c:pt>
                <c:pt idx="1">
                  <c:v>75317.69822009065</c:v>
                </c:pt>
                <c:pt idx="2">
                  <c:v>90979.604834555183</c:v>
                </c:pt>
                <c:pt idx="3">
                  <c:v>103822.42460450808</c:v>
                </c:pt>
                <c:pt idx="4">
                  <c:v>114863.69252748974</c:v>
                </c:pt>
                <c:pt idx="5">
                  <c:v>124625.26249877065</c:v>
                </c:pt>
                <c:pt idx="6">
                  <c:v>133417.13966913774</c:v>
                </c:pt>
                <c:pt idx="7">
                  <c:v>141441.30954401728</c:v>
                </c:pt>
                <c:pt idx="8">
                  <c:v>148838.07173463909</c:v>
                </c:pt>
                <c:pt idx="9">
                  <c:v>155709.57753395895</c:v>
                </c:pt>
                <c:pt idx="10">
                  <c:v>162132.94291685653</c:v>
                </c:pt>
                <c:pt idx="11">
                  <c:v>168168.07932486432</c:v>
                </c:pt>
                <c:pt idx="12">
                  <c:v>173862.63118233634</c:v>
                </c:pt>
                <c:pt idx="13">
                  <c:v>179255.22840538181</c:v>
                </c:pt>
                <c:pt idx="14">
                  <c:v>184377.70758366591</c:v>
                </c:pt>
                <c:pt idx="15">
                  <c:v>189256.67541668811</c:v>
                </c:pt>
                <c:pt idx="16">
                  <c:v>193914.63786935495</c:v>
                </c:pt>
                <c:pt idx="17">
                  <c:v>198370.83397177994</c:v>
                </c:pt>
                <c:pt idx="18">
                  <c:v>202641.86353468683</c:v>
                </c:pt>
                <c:pt idx="19">
                  <c:v>206742.1678145694</c:v>
                </c:pt>
                <c:pt idx="20">
                  <c:v>210684.40316097738</c:v>
                </c:pt>
                <c:pt idx="21">
                  <c:v>214479.73540260695</c:v>
                </c:pt>
                <c:pt idx="22">
                  <c:v>218138.07460193569</c:v>
                </c:pt>
                <c:pt idx="23">
                  <c:v>221668.26430904923</c:v>
                </c:pt>
                <c:pt idx="24">
                  <c:v>225078.23565065506</c:v>
                </c:pt>
                <c:pt idx="25">
                  <c:v>228375.13392498903</c:v>
                </c:pt>
                <c:pt idx="26">
                  <c:v>231565.42347092743</c:v>
                </c:pt>
                <c:pt idx="27">
                  <c:v>234654.97520170137</c:v>
                </c:pt>
                <c:pt idx="28">
                  <c:v>237649.14018207646</c:v>
                </c:pt>
                <c:pt idx="29">
                  <c:v>240552.81187607051</c:v>
                </c:pt>
                <c:pt idx="30">
                  <c:v>243370.47912713446</c:v>
                </c:pt>
                <c:pt idx="31">
                  <c:v>246106.27150337849</c:v>
                </c:pt>
                <c:pt idx="32">
                  <c:v>248763.998311045</c:v>
                </c:pt>
                <c:pt idx="33">
                  <c:v>251347.18232443059</c:v>
                </c:pt>
                <c:pt idx="34">
                  <c:v>253859.08908135045</c:v>
                </c:pt>
                <c:pt idx="35">
                  <c:v>256302.75243654006</c:v>
                </c:pt>
                <c:pt idx="36">
                  <c:v>258680.99694113579</c:v>
                </c:pt>
                <c:pt idx="37">
                  <c:v>260996.45751716543</c:v>
                </c:pt>
                <c:pt idx="38">
                  <c:v>263251.59681623412</c:v>
                </c:pt>
                <c:pt idx="39">
                  <c:v>265448.72058709781</c:v>
                </c:pt>
                <c:pt idx="40">
                  <c:v>267589.99132434966</c:v>
                </c:pt>
                <c:pt idx="41">
                  <c:v>269677.44042752055</c:v>
                </c:pt>
                <c:pt idx="42">
                  <c:v>271712.97906460037</c:v>
                </c:pt>
                <c:pt idx="43">
                  <c:v>273698.40790481091</c:v>
                </c:pt>
                <c:pt idx="44">
                  <c:v>275635.42586123908</c:v>
                </c:pt>
                <c:pt idx="45">
                  <c:v>277525.63796372869</c:v>
                </c:pt>
                <c:pt idx="46">
                  <c:v>279370.56246550276</c:v>
                </c:pt>
                <c:pt idx="47">
                  <c:v>281171.63727274444</c:v>
                </c:pt>
                <c:pt idx="48">
                  <c:v>282930.22577434301</c:v>
                </c:pt>
                <c:pt idx="49">
                  <c:v>284647.62213881302</c:v>
                </c:pt>
                <c:pt idx="50">
                  <c:v>286325.05613672856</c:v>
                </c:pt>
                <c:pt idx="51">
                  <c:v>287963.69753960648</c:v>
                </c:pt>
                <c:pt idx="52">
                  <c:v>289564.66013984085</c:v>
                </c:pt>
                <c:pt idx="53">
                  <c:v>291129.00543083571</c:v>
                </c:pt>
                <c:pt idx="54">
                  <c:v>292657.74598180159</c:v>
                </c:pt>
                <c:pt idx="55">
                  <c:v>294151.84853761544</c:v>
                </c:pt>
                <c:pt idx="56">
                  <c:v>295612.23687063612</c:v>
                </c:pt>
                <c:pt idx="57">
                  <c:v>297039.79440831044</c:v>
                </c:pt>
                <c:pt idx="58">
                  <c:v>298435.3666577462</c:v>
                </c:pt>
                <c:pt idx="59">
                  <c:v>299799.76344610157</c:v>
                </c:pt>
                <c:pt idx="60">
                  <c:v>301133.76099361101</c:v>
                </c:pt>
                <c:pt idx="61">
                  <c:v>302438.10383427684</c:v>
                </c:pt>
                <c:pt idx="62">
                  <c:v>303713.50659769092</c:v>
                </c:pt>
                <c:pt idx="63">
                  <c:v>304960.65566406399</c:v>
                </c:pt>
                <c:pt idx="64">
                  <c:v>306180.21070331748</c:v>
                </c:pt>
                <c:pt idx="65">
                  <c:v>307372.80610801443</c:v>
                </c:pt>
                <c:pt idx="66">
                  <c:v>308539.05232894304</c:v>
                </c:pt>
                <c:pt idx="67">
                  <c:v>309679.53712131566</c:v>
                </c:pt>
                <c:pt idx="68">
                  <c:v>310794.82670878951</c:v>
                </c:pt>
                <c:pt idx="69">
                  <c:v>311885.46687183442</c:v>
                </c:pt>
                <c:pt idx="70">
                  <c:v>312951.98396637425</c:v>
                </c:pt>
                <c:pt idx="71">
                  <c:v>313994.88587808359</c:v>
                </c:pt>
                <c:pt idx="72">
                  <c:v>315014.6629172386</c:v>
                </c:pt>
                <c:pt idx="73">
                  <c:v>316011.78865858808</c:v>
                </c:pt>
                <c:pt idx="74">
                  <c:v>316986.72073031554</c:v>
                </c:pt>
                <c:pt idx="75">
                  <c:v>317939.90155581542</c:v>
                </c:pt>
                <c:pt idx="76">
                  <c:v>318871.75905168743</c:v>
                </c:pt>
                <c:pt idx="77">
                  <c:v>319782.70728506497</c:v>
                </c:pt>
                <c:pt idx="78">
                  <c:v>320673.14709313889</c:v>
                </c:pt>
                <c:pt idx="79">
                  <c:v>321543.46666749858</c:v>
                </c:pt>
                <c:pt idx="80">
                  <c:v>322394.04210570286</c:v>
                </c:pt>
                <c:pt idx="81">
                  <c:v>323225.23793229868</c:v>
                </c:pt>
                <c:pt idx="82">
                  <c:v>324037.40759133181</c:v>
                </c:pt>
                <c:pt idx="83">
                  <c:v>324830.89391223248</c:v>
                </c:pt>
                <c:pt idx="84">
                  <c:v>325606.02955081407</c:v>
                </c:pt>
                <c:pt idx="85">
                  <c:v>326363.13740699127</c:v>
                </c:pt>
                <c:pt idx="86">
                  <c:v>327102.53102070239</c:v>
                </c:pt>
                <c:pt idx="87">
                  <c:v>327824.51494740968</c:v>
                </c:pt>
                <c:pt idx="88">
                  <c:v>328529.38511444977</c:v>
                </c:pt>
                <c:pt idx="89">
                  <c:v>329217.42915941641</c:v>
                </c:pt>
                <c:pt idx="90">
                  <c:v>329888.92675166932</c:v>
                </c:pt>
                <c:pt idx="91">
                  <c:v>330544.14989798504</c:v>
                </c:pt>
                <c:pt idx="92">
                  <c:v>331183.36323329911</c:v>
                </c:pt>
                <c:pt idx="93">
                  <c:v>331806.82429741439</c:v>
                </c:pt>
                <c:pt idx="94">
                  <c:v>332414.78379849839</c:v>
                </c:pt>
                <c:pt idx="95">
                  <c:v>333007.48586413014</c:v>
                </c:pt>
                <c:pt idx="96">
                  <c:v>333585.16828060913</c:v>
                </c:pt>
                <c:pt idx="97">
                  <c:v>334148.06272119004</c:v>
                </c:pt>
                <c:pt idx="98">
                  <c:v>334696.39496386319</c:v>
                </c:pt>
                <c:pt idx="99">
                  <c:v>335230.38509925973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DF-4165-A8BD-348C7626C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308175"/>
        <c:axId val="763379680"/>
      </c:lineChart>
      <c:catAx>
        <c:axId val="630308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horizon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79680"/>
        <c:crosses val="autoZero"/>
        <c:auto val="1"/>
        <c:lblAlgn val="ctr"/>
        <c:lblOffset val="100"/>
        <c:noMultiLvlLbl val="0"/>
      </c:catAx>
      <c:valAx>
        <c:axId val="76337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VaR</a:t>
                </a:r>
                <a:r>
                  <a:rPr lang="en-US" baseline="0"/>
                  <a:t> ($)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308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different</a:t>
            </a:r>
            <a:r>
              <a:rPr lang="en-US" baseline="0"/>
              <a:t> portfolios VaR (95% confidence)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Equibalanced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'Parametric VaR'!$U$12:$U$111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'Parametric VaR'!$V$12:$V$111</c:f>
              <c:numCache>
                <c:formatCode>General</c:formatCode>
                <c:ptCount val="100"/>
                <c:pt idx="0">
                  <c:v>19011.628414528772</c:v>
                </c:pt>
                <c:pt idx="1">
                  <c:v>25540.059894090256</c:v>
                </c:pt>
                <c:pt idx="2">
                  <c:v>30014.697584800782</c:v>
                </c:pt>
                <c:pt idx="3">
                  <c:v>33426.213380975532</c:v>
                </c:pt>
                <c:pt idx="4">
                  <c:v>36158.335700363546</c:v>
                </c:pt>
                <c:pt idx="5">
                  <c:v>38407.863837350145</c:v>
                </c:pt>
                <c:pt idx="6">
                  <c:v>40291.705599817207</c:v>
                </c:pt>
                <c:pt idx="7">
                  <c:v>41886.032892016483</c:v>
                </c:pt>
                <c:pt idx="8">
                  <c:v>43243.754899340274</c:v>
                </c:pt>
                <c:pt idx="9">
                  <c:v>44403.394477623231</c:v>
                </c:pt>
                <c:pt idx="10">
                  <c:v>45394.033271325003</c:v>
                </c:pt>
                <c:pt idx="11">
                  <c:v>46238.264825355523</c:v>
                </c:pt>
                <c:pt idx="12">
                  <c:v>46954.056599916286</c:v>
                </c:pt>
                <c:pt idx="13">
                  <c:v>47555.976542667238</c:v>
                </c:pt>
                <c:pt idx="14">
                  <c:v>48056.03073124533</c:v>
                </c:pt>
                <c:pt idx="15">
                  <c:v>48464.252969623005</c:v>
                </c:pt>
                <c:pt idx="16">
                  <c:v>48789.130610396896</c:v>
                </c:pt>
                <c:pt idx="17">
                  <c:v>49037.918993778694</c:v>
                </c:pt>
                <c:pt idx="18">
                  <c:v>49216.87816892581</c:v>
                </c:pt>
                <c:pt idx="19">
                  <c:v>49331.454160317029</c:v>
                </c:pt>
                <c:pt idx="20">
                  <c:v>49386.419876008535</c:v>
                </c:pt>
                <c:pt idx="21">
                  <c:v>49385.986125248965</c:v>
                </c:pt>
                <c:pt idx="22">
                  <c:v>49333.890148136692</c:v>
                </c:pt>
                <c:pt idx="23">
                  <c:v>49233.466986208208</c:v>
                </c:pt>
                <c:pt idx="24">
                  <c:v>49087.707591823717</c:v>
                </c:pt>
                <c:pt idx="25">
                  <c:v>48899.306569093103</c:v>
                </c:pt>
                <c:pt idx="26">
                  <c:v>48670.701721664234</c:v>
                </c:pt>
                <c:pt idx="27">
                  <c:v>48404.107063060321</c:v>
                </c:pt>
                <c:pt idx="28">
                  <c:v>48101.540563789247</c:v>
                </c:pt>
                <c:pt idx="29">
                  <c:v>47764.84762593489</c:v>
                </c:pt>
                <c:pt idx="30">
                  <c:v>47395.721062814846</c:v>
                </c:pt>
                <c:pt idx="31">
                  <c:v>46995.718199376861</c:v>
                </c:pt>
                <c:pt idx="32">
                  <c:v>46566.275584791911</c:v>
                </c:pt>
                <c:pt idx="33">
                  <c:v>46108.721712537037</c:v>
                </c:pt>
                <c:pt idx="34">
                  <c:v>45624.288068174887</c:v>
                </c:pt>
                <c:pt idx="35">
                  <c:v>45114.118765942418</c:v>
                </c:pt>
                <c:pt idx="36">
                  <c:v>44579.27898840441</c:v>
                </c:pt>
                <c:pt idx="37">
                  <c:v>44020.762406012545</c:v>
                </c:pt>
                <c:pt idx="38">
                  <c:v>43439.49772333834</c:v>
                </c:pt>
                <c:pt idx="39">
                  <c:v>42836.354474426334</c:v>
                </c:pt>
                <c:pt idx="40">
                  <c:v>42212.148169927845</c:v>
                </c:pt>
                <c:pt idx="41">
                  <c:v>41567.644882488763</c:v>
                </c:pt>
                <c:pt idx="42">
                  <c:v>40903.565343553782</c:v>
                </c:pt>
                <c:pt idx="43">
                  <c:v>40220.588613747866</c:v>
                </c:pt>
                <c:pt idx="44">
                  <c:v>39519.355379860433</c:v>
                </c:pt>
                <c:pt idx="45">
                  <c:v>38800.470923836569</c:v>
                </c:pt>
                <c:pt idx="46">
                  <c:v>38064.507802795531</c:v>
                </c:pt>
                <c:pt idx="47">
                  <c:v>37312.008273726889</c:v>
                </c:pt>
                <c:pt idx="48">
                  <c:v>36543.4864919791</c:v>
                </c:pt>
                <c:pt idx="49">
                  <c:v>35759.430508811005</c:v>
                </c:pt>
                <c:pt idx="50">
                  <c:v>34960.304090007208</c:v>
                </c:pt>
                <c:pt idx="51">
                  <c:v>34146.548374766389</c:v>
                </c:pt>
                <c:pt idx="52">
                  <c:v>33318.583391681081</c:v>
                </c:pt>
                <c:pt idx="53">
                  <c:v>32476.809446574203</c:v>
                </c:pt>
                <c:pt idx="54">
                  <c:v>31621.608395187246</c:v>
                </c:pt>
                <c:pt idx="55">
                  <c:v>30753.344812186293</c:v>
                </c:pt>
                <c:pt idx="56">
                  <c:v>29872.367066626452</c:v>
                </c:pt>
                <c:pt idx="57">
                  <c:v>28979.008312863352</c:v>
                </c:pt>
                <c:pt idx="58">
                  <c:v>28073.587404897469</c:v>
                </c:pt>
                <c:pt idx="59">
                  <c:v>27156.409741260464</c:v>
                </c:pt>
                <c:pt idx="60">
                  <c:v>26227.768046785332</c:v>
                </c:pt>
                <c:pt idx="61">
                  <c:v>25287.943096929903</c:v>
                </c:pt>
                <c:pt idx="62">
                  <c:v>24337.204389729337</c:v>
                </c:pt>
                <c:pt idx="63">
                  <c:v>23375.810769933792</c:v>
                </c:pt>
                <c:pt idx="64">
                  <c:v>22404.011009424183</c:v>
                </c:pt>
                <c:pt idx="65">
                  <c:v>21422.044347592746</c:v>
                </c:pt>
                <c:pt idx="66">
                  <c:v>20430.140995012756</c:v>
                </c:pt>
                <c:pt idx="67">
                  <c:v>19428.522603399568</c:v>
                </c:pt>
                <c:pt idx="68">
                  <c:v>18417.402704581185</c:v>
                </c:pt>
                <c:pt idx="69">
                  <c:v>17396.98712093876</c:v>
                </c:pt>
                <c:pt idx="70">
                  <c:v>16367.474349552404</c:v>
                </c:pt>
                <c:pt idx="71">
                  <c:v>15329.055922081136</c:v>
                </c:pt>
                <c:pt idx="72">
                  <c:v>14281.916742225601</c:v>
                </c:pt>
                <c:pt idx="73">
                  <c:v>13226.235402456228</c:v>
                </c:pt>
                <c:pt idx="74">
                  <c:v>12162.184481543505</c:v>
                </c:pt>
                <c:pt idx="75">
                  <c:v>11089.930824293366</c:v>
                </c:pt>
                <c:pt idx="76">
                  <c:v>10009.635804771586</c:v>
                </c:pt>
                <c:pt idx="77">
                  <c:v>8921.4555741929908</c:v>
                </c:pt>
                <c:pt idx="78">
                  <c:v>7825.5412945533781</c:v>
                </c:pt>
                <c:pt idx="79">
                  <c:v>6722.0393589937876</c:v>
                </c:pt>
                <c:pt idx="80">
                  <c:v>5611.0915998064402</c:v>
                </c:pt>
                <c:pt idx="81">
                  <c:v>4492.835484919221</c:v>
                </c:pt>
                <c:pt idx="82">
                  <c:v>3367.4043036290527</c:v>
                </c:pt>
                <c:pt idx="83">
                  <c:v>2234.9273422948081</c:v>
                </c:pt>
                <c:pt idx="84">
                  <c:v>1095.5300506446715</c:v>
                </c:pt>
                <c:pt idx="85">
                  <c:v>-50.665800695548199</c:v>
                </c:pt>
                <c:pt idx="86">
                  <c:v>-1203.5419708941565</c:v>
                </c:pt>
                <c:pt idx="87">
                  <c:v>-2362.983607306358</c:v>
                </c:pt>
                <c:pt idx="88">
                  <c:v>-3528.8791110888947</c:v>
                </c:pt>
                <c:pt idx="89">
                  <c:v>-4701.1200095907207</c:v>
                </c:pt>
                <c:pt idx="90">
                  <c:v>-5879.6008351069358</c:v>
                </c:pt>
                <c:pt idx="91">
                  <c:v>-7064.219009612937</c:v>
                </c:pt>
                <c:pt idx="92">
                  <c:v>-8254.874735121075</c:v>
                </c:pt>
                <c:pt idx="93">
                  <c:v>-9451.4708893296483</c:v>
                </c:pt>
                <c:pt idx="94">
                  <c:v>-10653.912926253755</c:v>
                </c:pt>
                <c:pt idx="95">
                  <c:v>-11862.108781551897</c:v>
                </c:pt>
                <c:pt idx="96">
                  <c:v>-13075.968782278374</c:v>
                </c:pt>
                <c:pt idx="97">
                  <c:v>-14295.405560812778</c:v>
                </c:pt>
                <c:pt idx="98">
                  <c:v>-15520.333972731394</c:v>
                </c:pt>
                <c:pt idx="99">
                  <c:v>-16750.671018402903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92-4D5B-9663-8F89AA28DC15}"/>
            </c:ext>
          </c:extLst>
        </c:ser>
        <c:ser>
          <c:idx val="1"/>
          <c:order val="1"/>
          <c:tx>
            <c:v>100% CVX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'Parametric VaR'!$AB$12:$AB$111</c:f>
              <c:numCache>
                <c:formatCode>General</c:formatCode>
                <c:ptCount val="100"/>
                <c:pt idx="0">
                  <c:v>20853.857167988841</c:v>
                </c:pt>
                <c:pt idx="1">
                  <c:v>29308.344277462267</c:v>
                </c:pt>
                <c:pt idx="2">
                  <c:v>35722.829186817369</c:v>
                </c:pt>
                <c:pt idx="3">
                  <c:v>41081.331253289158</c:v>
                </c:pt>
                <c:pt idx="4">
                  <c:v>45765.002090396694</c:v>
                </c:pt>
                <c:pt idx="5">
                  <c:v>49969.319450437768</c:v>
                </c:pt>
                <c:pt idx="6">
                  <c:v>53810.406084676273</c:v>
                </c:pt>
                <c:pt idx="7">
                  <c:v>57363.922389547486</c:v>
                </c:pt>
                <c:pt idx="8">
                  <c:v>60682.42225590095</c:v>
                </c:pt>
                <c:pt idx="9">
                  <c:v>63804.169851777377</c:v>
                </c:pt>
                <c:pt idx="10">
                  <c:v>66758.051533247562</c:v>
                </c:pt>
                <c:pt idx="11">
                  <c:v>69566.50912556918</c:v>
                </c:pt>
                <c:pt idx="12">
                  <c:v>72247.38943426896</c:v>
                </c:pt>
                <c:pt idx="13">
                  <c:v>74815.16258066037</c:v>
                </c:pt>
                <c:pt idx="14">
                  <c:v>77281.754019444386</c:v>
                </c:pt>
                <c:pt idx="15">
                  <c:v>79657.130175824233</c:v>
                </c:pt>
                <c:pt idx="16">
                  <c:v>81949.721408321915</c:v>
                </c:pt>
                <c:pt idx="17">
                  <c:v>84166.734336255671</c:v>
                </c:pt>
                <c:pt idx="18">
                  <c:v>86314.38697144507</c:v>
                </c:pt>
                <c:pt idx="19">
                  <c:v>88398.088767350782</c:v>
                </c:pt>
                <c:pt idx="20">
                  <c:v>90422.580581106769</c:v>
                </c:pt>
                <c:pt idx="21">
                  <c:v>92392.044945632399</c:v>
                </c:pt>
                <c:pt idx="22">
                  <c:v>94310.194004797493</c:v>
                </c:pt>
                <c:pt idx="23">
                  <c:v>96180.340404744406</c:v>
                </c:pt>
                <c:pt idx="24">
                  <c:v>98005.455013058963</c:v>
                </c:pt>
                <c:pt idx="25">
                  <c:v>99788.214339107653</c:v>
                </c:pt>
                <c:pt idx="26">
                  <c:v>101531.03981625543</c:v>
                </c:pt>
                <c:pt idx="27">
                  <c:v>103236.13059053288</c:v>
                </c:pt>
                <c:pt idx="28">
                  <c:v>104905.49108141888</c:v>
                </c:pt>
                <c:pt idx="29">
                  <c:v>106540.9542987957</c:v>
                </c:pt>
                <c:pt idx="30">
                  <c:v>108144.20168843993</c:v>
                </c:pt>
                <c:pt idx="31">
                  <c:v>109716.78011758681</c:v>
                </c:pt>
                <c:pt idx="32">
                  <c:v>111260.1164887253</c:v>
                </c:pt>
                <c:pt idx="33">
                  <c:v>112775.53037426373</c:v>
                </c:pt>
                <c:pt idx="34">
                  <c:v>114264.24499012125</c:v>
                </c:pt>
                <c:pt idx="35">
                  <c:v>115727.3967676052</c:v>
                </c:pt>
                <c:pt idx="36">
                  <c:v>117166.04373639102</c:v>
                </c:pt>
                <c:pt idx="37">
                  <c:v>118581.17289425741</c:v>
                </c:pt>
                <c:pt idx="38">
                  <c:v>119973.70670936044</c:v>
                </c:pt>
                <c:pt idx="39">
                  <c:v>121344.50887666953</c:v>
                </c:pt>
                <c:pt idx="40">
                  <c:v>122694.38943053778</c:v>
                </c:pt>
                <c:pt idx="41">
                  <c:v>124024.10929929762</c:v>
                </c:pt>
                <c:pt idx="42">
                  <c:v>125334.3843745546</c:v>
                </c:pt>
                <c:pt idx="43">
                  <c:v>126625.88915692136</c:v>
                </c:pt>
                <c:pt idx="44">
                  <c:v>127899.26003086225</c:v>
                </c:pt>
                <c:pt idx="45">
                  <c:v>129155.09821374688</c:v>
                </c:pt>
                <c:pt idx="46">
                  <c:v>130393.97241787221</c:v>
                </c:pt>
                <c:pt idx="47">
                  <c:v>131616.4212588761</c:v>
                </c:pt>
                <c:pt idx="48">
                  <c:v>132822.95543946294</c:v>
                </c:pt>
                <c:pt idx="49">
                  <c:v>134014.0597335409</c:v>
                </c:pt>
                <c:pt idx="50">
                  <c:v>135190.19479262535</c:v>
                </c:pt>
                <c:pt idx="51">
                  <c:v>136351.79879358714</c:v>
                </c:pt>
                <c:pt idx="52">
                  <c:v>137499.28894445248</c:v>
                </c:pt>
                <c:pt idx="53">
                  <c:v>138633.06286291991</c:v>
                </c:pt>
                <c:pt idx="54">
                  <c:v>139753.49984050199</c:v>
                </c:pt>
                <c:pt idx="55">
                  <c:v>140860.96200368143</c:v>
                </c:pt>
                <c:pt idx="56">
                  <c:v>141955.79538215345</c:v>
                </c:pt>
                <c:pt idx="57">
                  <c:v>143038.33089308324</c:v>
                </c:pt>
                <c:pt idx="58">
                  <c:v>144108.88524931026</c:v>
                </c:pt>
                <c:pt idx="59">
                  <c:v>145167.76179856091</c:v>
                </c:pt>
                <c:pt idx="60">
                  <c:v>146215.25129996933</c:v>
                </c:pt>
                <c:pt idx="61">
                  <c:v>147251.6326435362</c:v>
                </c:pt>
                <c:pt idx="62">
                  <c:v>148277.17351756987</c:v>
                </c:pt>
                <c:pt idx="63">
                  <c:v>149292.13102863211</c:v>
                </c:pt>
                <c:pt idx="64">
                  <c:v>150296.75227805664</c:v>
                </c:pt>
                <c:pt idx="65">
                  <c:v>151291.27489870091</c:v>
                </c:pt>
                <c:pt idx="66">
                  <c:v>152275.92755523339</c:v>
                </c:pt>
                <c:pt idx="67">
                  <c:v>153250.93041093895</c:v>
                </c:pt>
                <c:pt idx="68">
                  <c:v>154216.49556374157</c:v>
                </c:pt>
                <c:pt idx="69">
                  <c:v>155172.82745388875</c:v>
                </c:pt>
                <c:pt idx="70">
                  <c:v>156120.12324551749</c:v>
                </c:pt>
                <c:pt idx="71">
                  <c:v>157058.57318411794</c:v>
                </c:pt>
                <c:pt idx="72">
                  <c:v>157988.36093172955</c:v>
                </c:pt>
                <c:pt idx="73">
                  <c:v>158909.66388154283</c:v>
                </c:pt>
                <c:pt idx="74">
                  <c:v>159822.65345343118</c:v>
                </c:pt>
                <c:pt idx="75">
                  <c:v>160727.49537180818</c:v>
                </c:pt>
                <c:pt idx="76">
                  <c:v>161624.34992708423</c:v>
                </c:pt>
                <c:pt idx="77">
                  <c:v>162513.3722218911</c:v>
                </c:pt>
                <c:pt idx="78">
                  <c:v>163394.71240314498</c:v>
                </c:pt>
                <c:pt idx="79">
                  <c:v>164268.51588093111</c:v>
                </c:pt>
                <c:pt idx="80">
                  <c:v>165134.92353511279</c:v>
                </c:pt>
                <c:pt idx="81">
                  <c:v>165994.07191049631</c:v>
                </c:pt>
                <c:pt idx="82">
                  <c:v>166846.0934013176</c:v>
                </c:pt>
                <c:pt idx="83">
                  <c:v>167691.11642575456</c:v>
                </c:pt>
                <c:pt idx="84">
                  <c:v>168529.26559111837</c:v>
                </c:pt>
                <c:pt idx="85">
                  <c:v>169360.66185032343</c:v>
                </c:pt>
                <c:pt idx="86">
                  <c:v>170185.42265019345</c:v>
                </c:pt>
                <c:pt idx="87">
                  <c:v>171003.66207211732</c:v>
                </c:pt>
                <c:pt idx="88">
                  <c:v>171815.49096553234</c:v>
                </c:pt>
                <c:pt idx="89">
                  <c:v>172621.01707467643</c:v>
                </c:pt>
                <c:pt idx="90">
                  <c:v>173420.34515902033</c:v>
                </c:pt>
                <c:pt idx="91">
                  <c:v>174213.57710775899</c:v>
                </c:pt>
                <c:pt idx="92">
                  <c:v>175000.8120487188</c:v>
                </c:pt>
                <c:pt idx="93">
                  <c:v>175782.14645200822</c:v>
                </c:pt>
                <c:pt idx="94">
                  <c:v>176557.67422871894</c:v>
                </c:pt>
                <c:pt idx="95">
                  <c:v>177327.48682496426</c:v>
                </c:pt>
                <c:pt idx="96">
                  <c:v>178091.67331152014</c:v>
                </c:pt>
                <c:pt idx="97">
                  <c:v>178850.3204693179</c:v>
                </c:pt>
                <c:pt idx="98">
                  <c:v>179603.5128710214</c:v>
                </c:pt>
                <c:pt idx="99">
                  <c:v>180351.33295890488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92-4D5B-9663-8F89AA28DC15}"/>
            </c:ext>
          </c:extLst>
        </c:ser>
        <c:ser>
          <c:idx val="2"/>
          <c:order val="2"/>
          <c:tx>
            <c:v>100% 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'Parametric VaR'!$AG$12:$AG$111</c:f>
              <c:numCache>
                <c:formatCode>General</c:formatCode>
                <c:ptCount val="100"/>
                <c:pt idx="0">
                  <c:v>34304.036154077672</c:v>
                </c:pt>
                <c:pt idx="1">
                  <c:v>46742.412173016804</c:v>
                </c:pt>
                <c:pt idx="2">
                  <c:v>55583.347791982676</c:v>
                </c:pt>
                <c:pt idx="3">
                  <c:v>62562.111232679963</c:v>
                </c:pt>
                <c:pt idx="4">
                  <c:v>68350.84403148001</c:v>
                </c:pt>
                <c:pt idx="5">
                  <c:v>73294.261288872047</c:v>
                </c:pt>
                <c:pt idx="6">
                  <c:v>77597.139586336503</c:v>
                </c:pt>
                <c:pt idx="7">
                  <c:v>81392.902195082846</c:v>
                </c:pt>
                <c:pt idx="8">
                  <c:v>84774.225235806865</c:v>
                </c:pt>
                <c:pt idx="9">
                  <c:v>87808.585627883003</c:v>
                </c:pt>
                <c:pt idx="10">
                  <c:v>90546.922994970024</c:v>
                </c:pt>
                <c:pt idx="11">
                  <c:v>93028.812357539209</c:v>
                </c:pt>
                <c:pt idx="12">
                  <c:v>95285.725651850502</c:v>
                </c:pt>
                <c:pt idx="13">
                  <c:v>97343.18020283748</c:v>
                </c:pt>
                <c:pt idx="14">
                  <c:v>99222.205944941787</c:v>
                </c:pt>
                <c:pt idx="15">
                  <c:v>100940.3781634584</c:v>
                </c:pt>
                <c:pt idx="16">
                  <c:v>102512.56336800748</c:v>
                </c:pt>
                <c:pt idx="17">
                  <c:v>103951.47006619813</c:v>
                </c:pt>
                <c:pt idx="18">
                  <c:v>105268.06340646293</c:v>
                </c:pt>
                <c:pt idx="19">
                  <c:v>106471.8826855831</c:v>
                </c:pt>
                <c:pt idx="20">
                  <c:v>107571.2881646325</c:v>
                </c:pt>
                <c:pt idx="21">
                  <c:v>108573.65552825376</c:v>
                </c:pt>
                <c:pt idx="22">
                  <c:v>109485.53095386128</c:v>
                </c:pt>
                <c:pt idx="23">
                  <c:v>110312.75612489182</c:v>
                </c:pt>
                <c:pt idx="24">
                  <c:v>111060.57001563453</c:v>
                </c:pt>
                <c:pt idx="25">
                  <c:v>111733.69251459015</c:v>
                </c:pt>
                <c:pt idx="26">
                  <c:v>112336.39369666961</c:v>
                </c:pt>
                <c:pt idx="27">
                  <c:v>112872.55164434534</c:v>
                </c:pt>
                <c:pt idx="28">
                  <c:v>113345.70104969325</c:v>
                </c:pt>
                <c:pt idx="29">
                  <c:v>113759.0743326606</c:v>
                </c:pt>
                <c:pt idx="30">
                  <c:v>114115.63663758255</c:v>
                </c:pt>
                <c:pt idx="31">
                  <c:v>114418.11578636263</c:v>
                </c:pt>
                <c:pt idx="32">
                  <c:v>114669.02804916022</c:v>
                </c:pt>
                <c:pt idx="33">
                  <c:v>114870.70042498145</c:v>
                </c:pt>
                <c:pt idx="34">
                  <c:v>115025.2899930516</c:v>
                </c:pt>
                <c:pt idx="35">
                  <c:v>115134.8007923353</c:v>
                </c:pt>
                <c:pt idx="36">
                  <c:v>115201.09860449615</c:v>
                </c:pt>
                <c:pt idx="37">
                  <c:v>115225.92395005106</c:v>
                </c:pt>
                <c:pt idx="38">
                  <c:v>115210.90355480058</c:v>
                </c:pt>
                <c:pt idx="39">
                  <c:v>115157.56050101219</c:v>
                </c:pt>
                <c:pt idx="40">
                  <c:v>115067.32324317814</c:v>
                </c:pt>
                <c:pt idx="41">
                  <c:v>114941.53363981431</c:v>
                </c:pt>
                <c:pt idx="42">
                  <c:v>114781.45412945317</c:v>
                </c:pt>
                <c:pt idx="43">
                  <c:v>114588.27415971084</c:v>
                </c:pt>
                <c:pt idx="44">
                  <c:v>114363.11596230933</c:v>
                </c:pt>
                <c:pt idx="45">
                  <c:v>114107.03975358293</c:v>
                </c:pt>
                <c:pt idx="46">
                  <c:v>113821.04842881908</c:v>
                </c:pt>
                <c:pt idx="47">
                  <c:v>113506.09180937383</c:v>
                </c:pt>
                <c:pt idx="48">
                  <c:v>113163.07049356068</c:v>
                </c:pt>
                <c:pt idx="49">
                  <c:v>112792.83935557636</c:v>
                </c:pt>
                <c:pt idx="50">
                  <c:v>112396.2107310015</c:v>
                </c:pt>
                <c:pt idx="51">
                  <c:v>111973.95732252105</c:v>
                </c:pt>
                <c:pt idx="52">
                  <c:v>111526.81485532635</c:v>
                </c:pt>
                <c:pt idx="53">
                  <c:v>111055.48450805928</c:v>
                </c:pt>
                <c:pt idx="54">
                  <c:v>110560.63514206265</c:v>
                </c:pt>
                <c:pt idx="55">
                  <c:v>110042.90534901961</c:v>
                </c:pt>
                <c:pt idx="56">
                  <c:v>109502.90533474529</c:v>
                </c:pt>
                <c:pt idx="57">
                  <c:v>108941.21865487455</c:v>
                </c:pt>
                <c:pt idx="58">
                  <c:v>108358.40381643437</c:v>
                </c:pt>
                <c:pt idx="59">
                  <c:v>107754.99575775285</c:v>
                </c:pt>
                <c:pt idx="60">
                  <c:v>107131.50721781408</c:v>
                </c:pt>
                <c:pt idx="61">
                  <c:v>106488.43000498763</c:v>
                </c:pt>
                <c:pt idx="62">
                  <c:v>105826.23617402652</c:v>
                </c:pt>
                <c:pt idx="63">
                  <c:v>105145.37911931069</c:v>
                </c:pt>
                <c:pt idx="64">
                  <c:v>104446.29459150783</c:v>
                </c:pt>
                <c:pt idx="65">
                  <c:v>103729.40164410794</c:v>
                </c:pt>
                <c:pt idx="66">
                  <c:v>102995.10351565479</c:v>
                </c:pt>
                <c:pt idx="67">
                  <c:v>102243.78845293347</c:v>
                </c:pt>
                <c:pt idx="68">
                  <c:v>101475.83047987412</c:v>
                </c:pt>
                <c:pt idx="69">
                  <c:v>100691.59011648287</c:v>
                </c:pt>
                <c:pt idx="70">
                  <c:v>99891.41505171411</c:v>
                </c:pt>
                <c:pt idx="71">
                  <c:v>99075.640773839405</c:v>
                </c:pt>
                <c:pt idx="72">
                  <c:v>98244.591161548989</c:v>
                </c:pt>
                <c:pt idx="73">
                  <c:v>97398.579038736061</c:v>
                </c:pt>
                <c:pt idx="74">
                  <c:v>96537.906695651953</c:v>
                </c:pt>
                <c:pt idx="75">
                  <c:v>95662.866378893581</c:v>
                </c:pt>
                <c:pt idx="76">
                  <c:v>94773.740752468977</c:v>
                </c:pt>
                <c:pt idx="77">
                  <c:v>93870.803332001393</c:v>
                </c:pt>
                <c:pt idx="78">
                  <c:v>92954.318893961536</c:v>
                </c:pt>
                <c:pt idx="79">
                  <c:v>92024.54386165856</c:v>
                </c:pt>
                <c:pt idx="80">
                  <c:v>91081.726669585303</c:v>
                </c:pt>
                <c:pt idx="81">
                  <c:v>90126.108107581458</c:v>
                </c:pt>
                <c:pt idx="82">
                  <c:v>89157.921646166054</c:v>
                </c:pt>
                <c:pt idx="83">
                  <c:v>88177.393744281988</c:v>
                </c:pt>
                <c:pt idx="84">
                  <c:v>87184.744140601644</c:v>
                </c:pt>
                <c:pt idx="85">
                  <c:v>86180.186129454363</c:v>
                </c:pt>
                <c:pt idx="86">
                  <c:v>85163.926822356007</c:v>
                </c:pt>
                <c:pt idx="87">
                  <c:v>84136.167396049117</c:v>
                </c:pt>
                <c:pt idx="88">
                  <c:v>83097.103327893521</c:v>
                </c:pt>
                <c:pt idx="89">
                  <c:v>82046.924619387602</c:v>
                </c:pt>
                <c:pt idx="90">
                  <c:v>80985.816008543639</c:v>
                </c:pt>
                <c:pt idx="91">
                  <c:v>79913.957171788774</c:v>
                </c:pt>
                <c:pt idx="92">
                  <c:v>78831.522916016678</c:v>
                </c:pt>
                <c:pt idx="93">
                  <c:v>77738.683361369913</c:v>
                </c:pt>
                <c:pt idx="94">
                  <c:v>76635.604115295107</c:v>
                </c:pt>
                <c:pt idx="95">
                  <c:v>75522.446438374478</c:v>
                </c:pt>
                <c:pt idx="96">
                  <c:v>74399.367402403106</c:v>
                </c:pt>
                <c:pt idx="97">
                  <c:v>73266.520041151511</c:v>
                </c:pt>
                <c:pt idx="98">
                  <c:v>72124.053494222477</c:v>
                </c:pt>
                <c:pt idx="99">
                  <c:v>70972.113144384537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92-4D5B-9663-8F89AA28D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308175"/>
        <c:axId val="763379680"/>
      </c:lineChart>
      <c:catAx>
        <c:axId val="630308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horizon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79680"/>
        <c:crosses val="autoZero"/>
        <c:auto val="1"/>
        <c:lblAlgn val="ctr"/>
        <c:lblOffset val="100"/>
        <c:noMultiLvlLbl val="0"/>
      </c:catAx>
      <c:valAx>
        <c:axId val="76337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VaR</a:t>
                </a:r>
                <a:r>
                  <a:rPr lang="en-US" baseline="0"/>
                  <a:t> ($)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308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different</a:t>
            </a:r>
            <a:r>
              <a:rPr lang="en-US" baseline="0"/>
              <a:t> portfolios VaR (99% confidence)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Equibalanced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'Parametric VaR'!$U$12:$U$111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'Parametric VaR'!$W$12:$W$111</c:f>
              <c:numCache>
                <c:formatCode>General</c:formatCode>
                <c:ptCount val="100"/>
                <c:pt idx="0">
                  <c:v>27840.830287623157</c:v>
                </c:pt>
                <c:pt idx="1">
                  <c:v>38026.436927950272</c:v>
                </c:pt>
                <c:pt idx="2">
                  <c:v>45307.323819282552</c:v>
                </c:pt>
                <c:pt idx="3">
                  <c:v>51084.617127164303</c:v>
                </c:pt>
                <c:pt idx="4">
                  <c:v>55901.031275671063</c:v>
                </c:pt>
                <c:pt idx="5">
                  <c:v>60034.903262456872</c:v>
                </c:pt>
                <c:pt idx="6">
                  <c:v>63651.578031210614</c:v>
                </c:pt>
                <c:pt idx="7">
                  <c:v>66858.786959736521</c:v>
                </c:pt>
                <c:pt idx="8">
                  <c:v>69731.360518623434</c:v>
                </c:pt>
                <c:pt idx="9">
                  <c:v>72323.782318026409</c:v>
                </c:pt>
                <c:pt idx="10">
                  <c:v>74677.183082682168</c:v>
                </c:pt>
                <c:pt idx="11">
                  <c:v>76823.51729431907</c:v>
                </c:pt>
                <c:pt idx="12">
                  <c:v>78788.196674780789</c:v>
                </c:pt>
                <c:pt idx="13">
                  <c:v>80591.824950449169</c:v>
                </c:pt>
                <c:pt idx="14">
                  <c:v>82251.382546043227</c:v>
                </c:pt>
                <c:pt idx="15">
                  <c:v>83781.060462000547</c:v>
                </c:pt>
                <c:pt idx="16">
                  <c:v>85192.862523066346</c:v>
                </c:pt>
                <c:pt idx="17">
                  <c:v>86497.050095358747</c:v>
                </c:pt>
                <c:pt idx="18">
                  <c:v>87702.476885864264</c:v>
                </c:pt>
                <c:pt idx="19">
                  <c:v>88816.845310932069</c:v>
                </c:pt>
                <c:pt idx="20">
                  <c:v>89846.905785509458</c:v>
                </c:pt>
                <c:pt idx="21">
                  <c:v>90798.61373747341</c:v>
                </c:pt>
                <c:pt idx="22">
                  <c:v>91677.254816814442</c:v>
                </c:pt>
                <c:pt idx="23">
                  <c:v>92487.545836421661</c:v>
                </c:pt>
                <c:pt idx="24">
                  <c:v>93233.716957295634</c:v>
                </c:pt>
                <c:pt idx="25">
                  <c:v>93919.579209451345</c:v>
                </c:pt>
                <c:pt idx="26">
                  <c:v>94548.580425109554</c:v>
                </c:pt>
                <c:pt idx="27">
                  <c:v>95123.85192584715</c:v>
                </c:pt>
                <c:pt idx="28">
                  <c:v>95648.247765863183</c:v>
                </c:pt>
                <c:pt idx="29">
                  <c:v>96124.37793254148</c:v>
                </c:pt>
                <c:pt idx="30">
                  <c:v>96554.636604061845</c:v>
                </c:pt>
                <c:pt idx="31">
                  <c:v>96941.226334816922</c:v>
                </c:pt>
                <c:pt idx="32">
                  <c:v>97286.178863713518</c:v>
                </c:pt>
                <c:pt idx="33">
                  <c:v>97591.373104428421</c:v>
                </c:pt>
                <c:pt idx="34">
                  <c:v>97858.550770493835</c:v>
                </c:pt>
                <c:pt idx="35">
                  <c:v>98089.330004508724</c:v>
                </c:pt>
                <c:pt idx="36">
                  <c:v>98285.217314501802</c:v>
                </c:pt>
                <c:pt idx="37">
                  <c:v>98447.618067555508</c:v>
                </c:pt>
                <c:pt idx="38">
                  <c:v>98577.84574826817</c:v>
                </c:pt>
                <c:pt idx="39">
                  <c:v>98677.130155232706</c:v>
                </c:pt>
                <c:pt idx="40">
                  <c:v>98746.624680726003</c:v>
                </c:pt>
                <c:pt idx="41">
                  <c:v>98787.412795910466</c:v>
                </c:pt>
                <c:pt idx="42">
                  <c:v>98800.513845022288</c:v>
                </c:pt>
                <c:pt idx="43">
                  <c:v>98786.888236462211</c:v>
                </c:pt>
                <c:pt idx="44">
                  <c:v>98747.44210578299</c:v>
                </c:pt>
                <c:pt idx="45">
                  <c:v>98683.031514790389</c:v>
                </c:pt>
                <c:pt idx="46">
                  <c:v>98594.466241944567</c:v>
                </c:pt>
                <c:pt idx="47">
                  <c:v>98482.51321165399</c:v>
                </c:pt>
                <c:pt idx="48">
                  <c:v>98347.899603639802</c:v>
                </c:pt>
                <c:pt idx="49">
                  <c:v>98191.315678111088</c:v>
                </c:pt>
                <c:pt idx="50">
                  <c:v>98013.417347867246</c:v>
                </c:pt>
                <c:pt idx="51">
                  <c:v>97814.828524495417</c:v>
                </c:pt>
                <c:pt idx="52">
                  <c:v>97596.143262449594</c:v>
                </c:pt>
                <c:pt idx="53">
                  <c:v>97357.927721894375</c:v>
                </c:pt>
                <c:pt idx="54">
                  <c:v>97100.721968692029</c:v>
                </c:pt>
                <c:pt idx="55">
                  <c:v>96825.04162775015</c:v>
                </c:pt>
                <c:pt idx="56">
                  <c:v>96531.379404071457</c:v>
                </c:pt>
                <c:pt idx="57">
                  <c:v>96220.206484218827</c:v>
                </c:pt>
                <c:pt idx="58">
                  <c:v>95891.973829489973</c:v>
                </c:pt>
                <c:pt idx="59">
                  <c:v>95547.113370856256</c:v>
                </c:pt>
                <c:pt idx="60">
                  <c:v>95186.03911463519</c:v>
                </c:pt>
                <c:pt idx="61">
                  <c:v>94809.148166914922</c:v>
                </c:pt>
                <c:pt idx="62">
                  <c:v>94416.821683909569</c:v>
                </c:pt>
                <c:pt idx="63">
                  <c:v>94009.425754688884</c:v>
                </c:pt>
                <c:pt idx="64">
                  <c:v>93587.312222071472</c:v>
                </c:pt>
                <c:pt idx="65">
                  <c:v>93150.819446895301</c:v>
                </c:pt>
                <c:pt idx="66">
                  <c:v>92700.273020367313</c:v>
                </c:pt>
                <c:pt idx="67">
                  <c:v>92235.98642873847</c:v>
                </c:pt>
                <c:pt idx="68">
                  <c:v>91758.261674147987</c:v>
                </c:pt>
                <c:pt idx="69">
                  <c:v>91267.389855117348</c:v>
                </c:pt>
                <c:pt idx="70">
                  <c:v>90763.651709854938</c:v>
                </c:pt>
                <c:pt idx="71">
                  <c:v>90247.318125241232</c:v>
                </c:pt>
                <c:pt idx="72">
                  <c:v>89718.650614108599</c:v>
                </c:pt>
                <c:pt idx="73">
                  <c:v>89177.901763196147</c:v>
                </c:pt>
                <c:pt idx="74">
                  <c:v>88625.315653952377</c:v>
                </c:pt>
                <c:pt idx="75">
                  <c:v>88061.128258170284</c:v>
                </c:pt>
                <c:pt idx="76">
                  <c:v>87485.567810270659</c:v>
                </c:pt>
                <c:pt idx="77">
                  <c:v>86898.855157896513</c:v>
                </c:pt>
                <c:pt idx="78">
                  <c:v>86301.204092343236</c:v>
                </c:pt>
                <c:pt idx="79">
                  <c:v>85692.821660223854</c:v>
                </c:pt>
                <c:pt idx="80">
                  <c:v>85073.908457655911</c:v>
                </c:pt>
                <c:pt idx="81">
                  <c:v>84444.658908153171</c:v>
                </c:pt>
                <c:pt idx="82">
                  <c:v>83805.261525311886</c:v>
                </c:pt>
                <c:pt idx="83">
                  <c:v>83155.89916129662</c:v>
                </c:pt>
                <c:pt idx="84">
                  <c:v>82496.749242051999</c:v>
                </c:pt>
                <c:pt idx="85">
                  <c:v>81827.983990097855</c:v>
                </c:pt>
                <c:pt idx="86">
                  <c:v>81149.770635698951</c:v>
                </c:pt>
                <c:pt idx="87">
                  <c:v>80462.271617142527</c:v>
                </c:pt>
                <c:pt idx="88">
                  <c:v>79765.644770802377</c:v>
                </c:pt>
                <c:pt idx="89">
                  <c:v>79060.043511618846</c:v>
                </c:pt>
                <c:pt idx="90">
                  <c:v>78345.617004579661</c:v>
                </c:pt>
                <c:pt idx="91">
                  <c:v>77622.510327742595</c:v>
                </c:pt>
                <c:pt idx="92">
                  <c:v>76890.864627306015</c:v>
                </c:pt>
                <c:pt idx="93">
                  <c:v>76150.81726519471</c:v>
                </c:pt>
                <c:pt idx="94">
                  <c:v>75402.501959599322</c:v>
                </c:pt>
                <c:pt idx="95">
                  <c:v>74646.048918874978</c:v>
                </c:pt>
                <c:pt idx="96">
                  <c:v>73881.584969180039</c:v>
                </c:pt>
                <c:pt idx="97">
                  <c:v>73109.233676207325</c:v>
                </c:pt>
                <c:pt idx="98">
                  <c:v>72329.11546134013</c:v>
                </c:pt>
                <c:pt idx="99">
                  <c:v>71541.347712540955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82-47F1-81E1-93875DE0EDA5}"/>
            </c:ext>
          </c:extLst>
        </c:ser>
        <c:ser>
          <c:idx val="1"/>
          <c:order val="1"/>
          <c:tx>
            <c:v>100% CVX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'Parametric VaR'!$AC$12:$AC$111</c:f>
              <c:numCache>
                <c:formatCode>General</c:formatCode>
                <c:ptCount val="100"/>
                <c:pt idx="0">
                  <c:v>29623.76938808486</c:v>
                </c:pt>
                <c:pt idx="1">
                  <c:v>41710.873079943594</c:v>
                </c:pt>
                <c:pt idx="2">
                  <c:v>50912.762729942842</c:v>
                </c:pt>
                <c:pt idx="3">
                  <c:v>58621.155693481196</c:v>
                </c:pt>
                <c:pt idx="4">
                  <c:v>65375.121971237488</c:v>
                </c:pt>
                <c:pt idx="5">
                  <c:v>71451.129478671806</c:v>
                </c:pt>
                <c:pt idx="6">
                  <c:v>77013.412838916673</c:v>
                </c:pt>
                <c:pt idx="7">
                  <c:v>82168.97999451014</c:v>
                </c:pt>
                <c:pt idx="8">
                  <c:v>86992.158916189001</c:v>
                </c:pt>
                <c:pt idx="9">
                  <c:v>91537.067347024684</c:v>
                </c:pt>
                <c:pt idx="10">
                  <c:v>95844.559811658764</c:v>
                </c:pt>
                <c:pt idx="11">
                  <c:v>99946.376211820127</c:v>
                </c:pt>
                <c:pt idx="12">
                  <c:v>103867.75762514339</c:v>
                </c:pt>
                <c:pt idx="13">
                  <c:v>107629.16942034168</c:v>
                </c:pt>
                <c:pt idx="14">
                  <c:v>111247.47799557717</c:v>
                </c:pt>
                <c:pt idx="15">
                  <c:v>114736.77905620831</c:v>
                </c:pt>
                <c:pt idx="16">
                  <c:v>118108.99581917288</c:v>
                </c:pt>
                <c:pt idx="17">
                  <c:v>121374.32074369965</c:v>
                </c:pt>
                <c:pt idx="18">
                  <c:v>124541.54808256603</c:v>
                </c:pt>
                <c:pt idx="19">
                  <c:v>127618.32852903235</c:v>
                </c:pt>
                <c:pt idx="20">
                  <c:v>130611.36716781498</c:v>
                </c:pt>
                <c:pt idx="21">
                  <c:v>133526.57943503885</c:v>
                </c:pt>
                <c:pt idx="22">
                  <c:v>136369.21548661939</c:v>
                </c:pt>
                <c:pt idx="23">
                  <c:v>139143.9604612125</c:v>
                </c:pt>
                <c:pt idx="24">
                  <c:v>141855.01611353905</c:v>
                </c:pt>
                <c:pt idx="25">
                  <c:v>144506.16788187306</c:v>
                </c:pt>
                <c:pt idx="26">
                  <c:v>147100.84044563185</c:v>
                </c:pt>
                <c:pt idx="27">
                  <c:v>149642.14409901371</c:v>
                </c:pt>
                <c:pt idx="28">
                  <c:v>152132.91373073877</c:v>
                </c:pt>
                <c:pt idx="29">
                  <c:v>154575.74180166371</c:v>
                </c:pt>
                <c:pt idx="30">
                  <c:v>156973.00641263806</c:v>
                </c:pt>
                <c:pt idx="31">
                  <c:v>159326.89532751212</c:v>
                </c:pt>
                <c:pt idx="32">
                  <c:v>161639.42664170626</c:v>
                </c:pt>
                <c:pt idx="33">
                  <c:v>163912.46665165958</c:v>
                </c:pt>
                <c:pt idx="34">
                  <c:v>166147.74537498955</c:v>
                </c:pt>
                <c:pt idx="35">
                  <c:v>168346.87008818131</c:v>
                </c:pt>
                <c:pt idx="36">
                  <c:v>170511.33718279554</c:v>
                </c:pt>
                <c:pt idx="37">
                  <c:v>172642.54258862603</c:v>
                </c:pt>
                <c:pt idx="38">
                  <c:v>174741.79096998973</c:v>
                </c:pt>
                <c:pt idx="39">
                  <c:v>176810.30386716416</c:v>
                </c:pt>
                <c:pt idx="40">
                  <c:v>178849.22692719311</c:v>
                </c:pt>
                <c:pt idx="41">
                  <c:v>180859.63634553831</c:v>
                </c:pt>
                <c:pt idx="42">
                  <c:v>182842.54462135912</c:v>
                </c:pt>
                <c:pt idx="43">
                  <c:v>184798.90571374376</c:v>
                </c:pt>
                <c:pt idx="44">
                  <c:v>186729.61967338462</c:v>
                </c:pt>
                <c:pt idx="45">
                  <c:v>188635.53681348081</c:v>
                </c:pt>
                <c:pt idx="46">
                  <c:v>190517.4614746868</c:v>
                </c:pt>
                <c:pt idx="47">
                  <c:v>192376.15543137799</c:v>
                </c:pt>
                <c:pt idx="48">
                  <c:v>194212.34098013505</c:v>
                </c:pt>
                <c:pt idx="49">
                  <c:v>196026.70374594751</c:v>
                </c:pt>
                <c:pt idx="50">
                  <c:v>197819.89523704437</c:v>
                </c:pt>
                <c:pt idx="51">
                  <c:v>199592.53517533597</c:v>
                </c:pt>
                <c:pt idx="52">
                  <c:v>201345.21362609556</c:v>
                </c:pt>
                <c:pt idx="53">
                  <c:v>203078.49294762203</c:v>
                </c:pt>
                <c:pt idx="54">
                  <c:v>204792.90957913984</c:v>
                </c:pt>
                <c:pt idx="55">
                  <c:v>206488.97568304406</c:v>
                </c:pt>
                <c:pt idx="56">
                  <c:v>208167.1806557361</c:v>
                </c:pt>
                <c:pt idx="57">
                  <c:v>209827.9925196777</c:v>
                </c:pt>
                <c:pt idx="58">
                  <c:v>211471.85920788173</c:v>
                </c:pt>
                <c:pt idx="59">
                  <c:v>213099.2097508265</c:v>
                </c:pt>
                <c:pt idx="60">
                  <c:v>214710.45537470403</c:v>
                </c:pt>
                <c:pt idx="61">
                  <c:v>216305.99051896462</c:v>
                </c:pt>
                <c:pt idx="62">
                  <c:v>217886.1937802911</c:v>
                </c:pt>
                <c:pt idx="63">
                  <c:v>219451.42878940026</c:v>
                </c:pt>
                <c:pt idx="64">
                  <c:v>221002.0450264239</c:v>
                </c:pt>
                <c:pt idx="65">
                  <c:v>222538.37858004717</c:v>
                </c:pt>
                <c:pt idx="66">
                  <c:v>224060.75285507439</c:v>
                </c:pt>
                <c:pt idx="67">
                  <c:v>225569.47923264088</c:v>
                </c:pt>
                <c:pt idx="68">
                  <c:v>227064.85768688796</c:v>
                </c:pt>
                <c:pt idx="69">
                  <c:v>228547.17736155924</c:v>
                </c:pt>
                <c:pt idx="70">
                  <c:v>230016.71710965617</c:v>
                </c:pt>
                <c:pt idx="71">
                  <c:v>231473.74599900589</c:v>
                </c:pt>
                <c:pt idx="72">
                  <c:v>232918.52378633592</c:v>
                </c:pt>
                <c:pt idx="73">
                  <c:v>234351.30136222072</c:v>
                </c:pt>
                <c:pt idx="74">
                  <c:v>235772.32116905856</c:v>
                </c:pt>
                <c:pt idx="75">
                  <c:v>237181.81759405017</c:v>
                </c:pt>
                <c:pt idx="76">
                  <c:v>238580.01733898179</c:v>
                </c:pt>
                <c:pt idx="77">
                  <c:v>239967.13976846548</c:v>
                </c:pt>
                <c:pt idx="78">
                  <c:v>241343.39723815015</c:v>
                </c:pt>
                <c:pt idx="79">
                  <c:v>242708.99540429428</c:v>
                </c:pt>
                <c:pt idx="80">
                  <c:v>244064.13351597692</c:v>
                </c:pt>
                <c:pt idx="81">
                  <c:v>245409.0046911235</c:v>
                </c:pt>
                <c:pt idx="82">
                  <c:v>246743.79617742827</c:v>
                </c:pt>
                <c:pt idx="83">
                  <c:v>248068.68959917099</c:v>
                </c:pt>
                <c:pt idx="84">
                  <c:v>249383.86119084977</c:v>
                </c:pt>
                <c:pt idx="85">
                  <c:v>250689.48201847967</c:v>
                </c:pt>
                <c:pt idx="86">
                  <c:v>251985.71818934468</c:v>
                </c:pt>
                <c:pt idx="87">
                  <c:v>253272.73105093019</c:v>
                </c:pt>
                <c:pt idx="88">
                  <c:v>254550.67737971083</c:v>
                </c:pt>
                <c:pt idx="89">
                  <c:v>255819.70956041839</c:v>
                </c:pt>
                <c:pt idx="90">
                  <c:v>257079.97575637142</c:v>
                </c:pt>
                <c:pt idx="91">
                  <c:v>258331.62007140281</c:v>
                </c:pt>
                <c:pt idx="92">
                  <c:v>259574.78270388918</c:v>
                </c:pt>
                <c:pt idx="93">
                  <c:v>260809.60009334574</c:v>
                </c:pt>
                <c:pt idx="94">
                  <c:v>262036.20506002178</c:v>
                </c:pt>
                <c:pt idx="95">
                  <c:v>263254.72693790041</c:v>
                </c:pt>
                <c:pt idx="96">
                  <c:v>264465.29170147981</c:v>
                </c:pt>
                <c:pt idx="97">
                  <c:v>265668.02208668721</c:v>
                </c:pt>
                <c:pt idx="98">
                  <c:v>266863.03770625504</c:v>
                </c:pt>
                <c:pt idx="99">
                  <c:v>268050.45515986503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82-47F1-81E1-93875DE0EDA5}"/>
            </c:ext>
          </c:extLst>
        </c:ser>
        <c:ser>
          <c:idx val="2"/>
          <c:order val="2"/>
          <c:tx>
            <c:v>100% 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'Parametric VaR'!$AH$12:$AH$111</c:f>
              <c:numCache>
                <c:formatCode>General</c:formatCode>
                <c:ptCount val="100"/>
                <c:pt idx="0">
                  <c:v>49769.331496878127</c:v>
                </c:pt>
                <c:pt idx="1">
                  <c:v>68613.642592910663</c:v>
                </c:pt>
                <c:pt idx="2">
                  <c:v>82370.025079771396</c:v>
                </c:pt>
                <c:pt idx="3">
                  <c:v>93492.701918280873</c:v>
                </c:pt>
                <c:pt idx="4">
                  <c:v>102932.29571009273</c:v>
                </c:pt>
                <c:pt idx="5">
                  <c:v>111176.34360017422</c:v>
                </c:pt>
                <c:pt idx="6">
                  <c:v>118514.4650155519</c:v>
                </c:pt>
                <c:pt idx="7">
                  <c:v>125135.36303487058</c:v>
                </c:pt>
                <c:pt idx="8">
                  <c:v>131170.11126420822</c:v>
                </c:pt>
                <c:pt idx="9">
                  <c:v>136714.14359832695</c:v>
                </c:pt>
                <c:pt idx="10">
                  <c:v>141839.50491906991</c:v>
                </c:pt>
                <c:pt idx="11">
                  <c:v>146602.16693311665</c:v>
                </c:pt>
                <c:pt idx="12">
                  <c:v>151046.64100051197</c:v>
                </c:pt>
                <c:pt idx="13">
                  <c:v>155209.01676086744</c:v>
                </c:pt>
                <c:pt idx="14">
                  <c:v>159119.03725178709</c:v>
                </c:pt>
                <c:pt idx="15">
                  <c:v>162801.55953466022</c:v>
                </c:pt>
                <c:pt idx="16">
                  <c:v>166277.60959774663</c:v>
                </c:pt>
                <c:pt idx="17">
                  <c:v>169565.16132587974</c:v>
                </c:pt>
                <c:pt idx="18">
                  <c:v>172679.7229377403</c:v>
                </c:pt>
                <c:pt idx="19">
                  <c:v>175634.78604280856</c:v>
                </c:pt>
                <c:pt idx="20">
                  <c:v>178442.17471786361</c:v>
                </c:pt>
                <c:pt idx="21">
                  <c:v>181112.3205344489</c:v>
                </c:pt>
                <c:pt idx="22">
                  <c:v>183654.4818762051</c:v>
                </c:pt>
                <c:pt idx="23">
                  <c:v>186076.92074749616</c:v>
                </c:pt>
                <c:pt idx="24">
                  <c:v>188387.04672963679</c:v>
                </c:pt>
                <c:pt idx="25">
                  <c:v>190591.53525100529</c:v>
                </c:pt>
                <c:pt idx="26">
                  <c:v>192696.42556003577</c:v>
                </c:pt>
                <c:pt idx="27">
                  <c:v>194707.20250277614</c:v>
                </c:pt>
                <c:pt idx="28">
                  <c:v>196628.86526168339</c:v>
                </c:pt>
                <c:pt idx="29">
                  <c:v>198465.98550997459</c:v>
                </c:pt>
                <c:pt idx="30">
                  <c:v>200222.75690786802</c:v>
                </c:pt>
                <c:pt idx="31">
                  <c:v>201903.03746593811</c:v>
                </c:pt>
                <c:pt idx="32">
                  <c:v>203510.3859930902</c:v>
                </c:pt>
                <c:pt idx="33">
                  <c:v>205048.09360842593</c:v>
                </c:pt>
                <c:pt idx="34">
                  <c:v>206519.21111025804</c:v>
                </c:pt>
                <c:pt idx="35">
                  <c:v>207926.572849138</c:v>
                </c:pt>
                <c:pt idx="36">
                  <c:v>209272.81763567831</c:v>
                </c:pt>
                <c:pt idx="37">
                  <c:v>210560.40712126106</c:v>
                </c:pt>
                <c:pt idx="38">
                  <c:v>211791.64201522947</c:v>
                </c:pt>
                <c:pt idx="39">
                  <c:v>212968.67644190008</c:v>
                </c:pt>
                <c:pt idx="40">
                  <c:v>214093.5306917211</c:v>
                </c:pt>
                <c:pt idx="41">
                  <c:v>215168.10258079873</c:v>
                </c:pt>
                <c:pt idx="42">
                  <c:v>216194.17760004118</c:v>
                </c:pt>
                <c:pt idx="43">
                  <c:v>217173.43800791062</c:v>
                </c:pt>
                <c:pt idx="44">
                  <c:v>218107.4709981475</c:v>
                </c:pt>
                <c:pt idx="45">
                  <c:v>218997.77605494604</c:v>
                </c:pt>
                <c:pt idx="46">
                  <c:v>219845.77159224983</c:v>
                </c:pt>
                <c:pt idx="47">
                  <c:v>220652.80096052872</c:v>
                </c:pt>
                <c:pt idx="48">
                  <c:v>221420.13789316386</c:v>
                </c:pt>
                <c:pt idx="49">
                  <c:v>222148.99145504567</c:v>
                </c:pt>
                <c:pt idx="50">
                  <c:v>222840.510547888</c:v>
                </c:pt>
                <c:pt idx="51">
                  <c:v>223495.78801984398</c:v>
                </c:pt>
                <c:pt idx="52">
                  <c:v>224115.86442109186</c:v>
                </c:pt>
                <c:pt idx="53">
                  <c:v>224701.73144196579</c:v>
                </c:pt>
                <c:pt idx="54">
                  <c:v>225254.33506582698</c:v>
                </c:pt>
                <c:pt idx="55">
                  <c:v>225774.57846507951</c:v>
                </c:pt>
                <c:pt idx="56">
                  <c:v>226263.32466545253</c:v>
                </c:pt>
                <c:pt idx="57">
                  <c:v>226721.3990008166</c:v>
                </c:pt>
                <c:pt idx="58">
                  <c:v>227149.59137831829</c:v>
                </c:pt>
                <c:pt idx="59">
                  <c:v>227548.65837144342</c:v>
                </c:pt>
                <c:pt idx="60">
                  <c:v>227919.32515672204</c:v>
                </c:pt>
                <c:pt idx="61">
                  <c:v>228262.28730811659</c:v>
                </c:pt>
                <c:pt idx="62">
                  <c:v>228578.21246167275</c:v>
                </c:pt>
                <c:pt idx="63">
                  <c:v>228867.74186171431</c:v>
                </c:pt>
                <c:pt idx="64">
                  <c:v>229131.49179872626</c:v>
                </c:pt>
                <c:pt idx="65">
                  <c:v>229370.05494805652</c:v>
                </c:pt>
                <c:pt idx="66">
                  <c:v>229584.00161767259</c:v>
                </c:pt>
                <c:pt idx="67">
                  <c:v>229773.88091241178</c:v>
                </c:pt>
                <c:pt idx="68">
                  <c:v>229940.22182145613</c:v>
                </c:pt>
                <c:pt idx="69">
                  <c:v>230083.5342351303</c:v>
                </c:pt>
                <c:pt idx="70">
                  <c:v>230204.30989655753</c:v>
                </c:pt>
                <c:pt idx="71">
                  <c:v>230303.0232932026</c:v>
                </c:pt>
                <c:pt idx="72">
                  <c:v>230380.13249287783</c:v>
                </c:pt>
                <c:pt idx="73">
                  <c:v>230436.07992838506</c:v>
                </c:pt>
                <c:pt idx="74">
                  <c:v>230471.29313459559</c:v>
                </c:pt>
                <c:pt idx="75">
                  <c:v>230486.18544144835</c:v>
                </c:pt>
                <c:pt idx="76">
                  <c:v>230481.15662604422</c:v>
                </c:pt>
                <c:pt idx="77">
                  <c:v>230456.59352674877</c:v>
                </c:pt>
                <c:pt idx="78">
                  <c:v>230412.87062197732</c:v>
                </c:pt>
                <c:pt idx="79">
                  <c:v>230350.35057610946</c:v>
                </c:pt>
                <c:pt idx="80">
                  <c:v>230269.38475478938</c:v>
                </c:pt>
                <c:pt idx="81">
                  <c:v>230170.31371168248</c:v>
                </c:pt>
                <c:pt idx="82">
                  <c:v>230053.46764859924</c:v>
                </c:pt>
                <c:pt idx="83">
                  <c:v>229919.16685074416</c:v>
                </c:pt>
                <c:pt idx="84">
                  <c:v>229767.72209871508</c:v>
                </c:pt>
                <c:pt idx="85">
                  <c:v>229599.43505875225</c:v>
                </c:pt>
                <c:pt idx="86">
                  <c:v>229414.59865262496</c:v>
                </c:pt>
                <c:pt idx="87">
                  <c:v>229213.49740843938</c:v>
                </c:pt>
                <c:pt idx="88">
                  <c:v>228996.40779355587</c:v>
                </c:pt>
                <c:pt idx="89">
                  <c:v>228763.59853071946</c:v>
                </c:pt>
                <c:pt idx="90">
                  <c:v>228515.33089842639</c:v>
                </c:pt>
                <c:pt idx="91">
                  <c:v>228251.85901647637</c:v>
                </c:pt>
                <c:pt idx="92">
                  <c:v>227973.43011759507</c:v>
                </c:pt>
                <c:pt idx="93">
                  <c:v>227680.28480594655</c:v>
                </c:pt>
                <c:pt idx="94">
                  <c:v>227372.65730330299</c:v>
                </c:pt>
                <c:pt idx="95">
                  <c:v>227050.77568358314</c:v>
                </c:pt>
                <c:pt idx="96">
                  <c:v>226714.8620964243</c:v>
                </c:pt>
                <c:pt idx="97">
                  <c:v>226365.13298040855</c:v>
                </c:pt>
                <c:pt idx="98">
                  <c:v>226001.79926652217</c:v>
                </c:pt>
                <c:pt idx="99">
                  <c:v>225625.06657238907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82-47F1-81E1-93875DE0E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308175"/>
        <c:axId val="763379680"/>
      </c:lineChart>
      <c:catAx>
        <c:axId val="630308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horizon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79680"/>
        <c:crosses val="autoZero"/>
        <c:auto val="1"/>
        <c:lblAlgn val="ctr"/>
        <c:lblOffset val="100"/>
        <c:noMultiLvlLbl val="0"/>
      </c:catAx>
      <c:valAx>
        <c:axId val="76337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VaR</a:t>
                </a:r>
                <a:r>
                  <a:rPr lang="en-US" baseline="0"/>
                  <a:t> ($)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308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different</a:t>
            </a:r>
            <a:r>
              <a:rPr lang="en-US" baseline="0"/>
              <a:t> portfolios VaR (99.5% confidence)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Equibalanced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'Parametric VaR'!$U$12:$U$111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'Parametric VaR'!$X$12:$X$111</c:f>
              <c:numCache>
                <c:formatCode>General</c:formatCode>
                <c:ptCount val="100"/>
                <c:pt idx="0">
                  <c:v>31073.024710573238</c:v>
                </c:pt>
                <c:pt idx="1">
                  <c:v>42597.450117112952</c:v>
                </c:pt>
                <c:pt idx="2">
                  <c:v>50905.648779772862</c:v>
                </c:pt>
                <c:pt idx="3">
                  <c:v>57549.005973064464</c:v>
                </c:pt>
                <c:pt idx="4">
                  <c:v>63128.437721883143</c:v>
                </c:pt>
                <c:pt idx="5">
                  <c:v>67952.130348154082</c:v>
                </c:pt>
                <c:pt idx="6">
                  <c:v>72203.16066334644</c:v>
                </c:pt>
                <c:pt idx="7">
                  <c:v>76000.813338061867</c:v>
                </c:pt>
                <c:pt idx="8">
                  <c:v>79427.943787473661</c:v>
                </c:pt>
                <c:pt idx="9">
                  <c:v>82544.87853504227</c:v>
                </c:pt>
                <c:pt idx="10">
                  <c:v>85397.159233086873</c:v>
                </c:pt>
                <c:pt idx="11">
                  <c:v>88020.167215299676</c:v>
                </c:pt>
                <c:pt idx="12">
                  <c:v>90442.039398996028</c:v>
                </c:pt>
                <c:pt idx="13">
                  <c:v>92685.589088569861</c:v>
                </c:pt>
                <c:pt idx="14">
                  <c:v>94769.61771783336</c:v>
                </c:pt>
                <c:pt idx="15">
                  <c:v>96709.838153800869</c:v>
                </c:pt>
                <c:pt idx="16">
                  <c:v>98519.541531421841</c:v>
                </c:pt>
                <c:pt idx="17">
                  <c:v>100210.08966284677</c:v>
                </c:pt>
                <c:pt idx="18">
                  <c:v>101791.28574137941</c:v>
                </c:pt>
                <c:pt idx="19">
                  <c:v>103271.65820335622</c:v>
                </c:pt>
                <c:pt idx="20">
                  <c:v>104658.6813894923</c:v>
                </c:pt>
                <c:pt idx="21">
                  <c:v>105958.94939769185</c:v>
                </c:pt>
                <c:pt idx="22">
                  <c:v>107178.31471987399</c:v>
                </c:pt>
                <c:pt idx="23">
                  <c:v>108322.00000781607</c:v>
                </c:pt>
                <c:pt idx="24">
                  <c:v>109394.68907204602</c:v>
                </c:pt>
                <c:pt idx="25">
                  <c:v>110400.60164379956</c:v>
                </c:pt>
                <c:pt idx="26">
                  <c:v>111343.55530658047</c:v>
                </c:pt>
                <c:pt idx="27">
                  <c:v>112227.0171901188</c:v>
                </c:pt>
                <c:pt idx="28">
                  <c:v>113054.14742215034</c:v>
                </c:pt>
                <c:pt idx="29">
                  <c:v>113827.83588946301</c:v>
                </c:pt>
                <c:pt idx="30">
                  <c:v>114550.73352590123</c:v>
                </c:pt>
                <c:pt idx="31">
                  <c:v>115225.27909146764</c:v>
                </c:pt>
                <c:pt idx="32">
                  <c:v>115853.72221214107</c:v>
                </c:pt>
                <c:pt idx="33">
                  <c:v>116438.14329943758</c:v>
                </c:pt>
                <c:pt idx="34">
                  <c:v>116980.47085115612</c:v>
                </c:pt>
                <c:pt idx="35">
                  <c:v>117482.49654220921</c:v>
                </c:pt>
                <c:pt idx="36">
                  <c:v>117945.88844106141</c:v>
                </c:pt>
                <c:pt idx="37">
                  <c:v>118372.20262870718</c:v>
                </c:pt>
                <c:pt idx="38">
                  <c:v>118762.89345002588</c:v>
                </c:pt>
                <c:pt idx="39">
                  <c:v>119119.32258926441</c:v>
                </c:pt>
                <c:pt idx="40">
                  <c:v>119442.76713041293</c:v>
                </c:pt>
                <c:pt idx="41">
                  <c:v>119734.42673788994</c:v>
                </c:pt>
                <c:pt idx="42">
                  <c:v>119995.4300721092</c:v>
                </c:pt>
                <c:pt idx="43">
                  <c:v>120226.84053727159</c:v>
                </c:pt>
                <c:pt idx="44">
                  <c:v>120429.66144441922</c:v>
                </c:pt>
                <c:pt idx="45">
                  <c:v>120604.84066085498</c:v>
                </c:pt>
                <c:pt idx="46">
                  <c:v>120753.27480703287</c:v>
                </c:pt>
                <c:pt idx="47">
                  <c:v>120875.81305361519</c:v>
                </c:pt>
                <c:pt idx="48">
                  <c:v>120973.26056429035</c:v>
                </c:pt>
                <c:pt idx="49">
                  <c:v>121046.38162392448</c:v>
                </c:pt>
                <c:pt idx="50">
                  <c:v>121095.90248650056</c:v>
                </c:pt>
                <c:pt idx="51">
                  <c:v>121122.5139729259</c:v>
                </c:pt>
                <c:pt idx="52">
                  <c:v>121126.87384504579</c:v>
                </c:pt>
                <c:pt idx="53">
                  <c:v>121109.60897898598</c:v>
                </c:pt>
                <c:pt idx="54">
                  <c:v>121071.31735817343</c:v>
                </c:pt>
                <c:pt idx="55">
                  <c:v>121012.56990399153</c:v>
                </c:pt>
                <c:pt idx="56">
                  <c:v>120933.91215995002</c:v>
                </c:pt>
                <c:pt idx="57">
                  <c:v>120835.86584344532</c:v>
                </c:pt>
                <c:pt idx="58">
                  <c:v>120718.93027761759</c:v>
                </c:pt>
                <c:pt idx="59">
                  <c:v>120583.58371443654</c:v>
                </c:pt>
                <c:pt idx="60">
                  <c:v>120430.28455894832</c:v>
                </c:pt>
                <c:pt idx="61">
                  <c:v>120259.4725035609</c:v>
                </c:pt>
                <c:pt idx="62">
                  <c:v>120071.56958031705</c:v>
                </c:pt>
                <c:pt idx="63">
                  <c:v>119866.98113828951</c:v>
                </c:pt>
                <c:pt idx="64">
                  <c:v>119646.09675250809</c:v>
                </c:pt>
                <c:pt idx="65">
                  <c:v>119409.29107019189</c:v>
                </c:pt>
                <c:pt idx="66">
                  <c:v>119156.92459949241</c:v>
                </c:pt>
                <c:pt idx="67">
                  <c:v>118889.34444544945</c:v>
                </c:pt>
                <c:pt idx="68">
                  <c:v>118606.88499741581</c:v>
                </c:pt>
                <c:pt idx="69">
                  <c:v>118309.86857180439</c:v>
                </c:pt>
                <c:pt idx="70">
                  <c:v>117998.60601365764</c:v>
                </c:pt>
                <c:pt idx="71">
                  <c:v>117673.3972602173</c:v>
                </c:pt>
                <c:pt idx="72">
                  <c:v>117334.53186938849</c:v>
                </c:pt>
                <c:pt idx="73">
                  <c:v>116982.28951573386</c:v>
                </c:pt>
                <c:pt idx="74">
                  <c:v>116616.94045640387</c:v>
                </c:pt>
                <c:pt idx="75">
                  <c:v>116238.74596920057</c:v>
                </c:pt>
                <c:pt idx="76">
                  <c:v>115847.95876478501</c:v>
                </c:pt>
                <c:pt idx="77">
                  <c:v>115444.82337487012</c:v>
                </c:pt>
                <c:pt idx="78">
                  <c:v>115029.5765180867</c:v>
                </c:pt>
                <c:pt idx="79">
                  <c:v>114602.44744507218</c:v>
                </c:pt>
                <c:pt idx="80">
                  <c:v>114163.65826420662</c:v>
                </c:pt>
                <c:pt idx="81">
                  <c:v>113713.42424930594</c:v>
                </c:pt>
                <c:pt idx="82">
                  <c:v>113251.95413047919</c:v>
                </c:pt>
                <c:pt idx="83">
                  <c:v>112779.45036926231</c:v>
                </c:pt>
                <c:pt idx="84">
                  <c:v>112296.10941905437</c:v>
                </c:pt>
                <c:pt idx="85">
                  <c:v>111802.12197180577</c:v>
                </c:pt>
                <c:pt idx="86">
                  <c:v>111297.67319183398</c:v>
                </c:pt>
                <c:pt idx="87">
                  <c:v>110782.94293757941</c:v>
                </c:pt>
                <c:pt idx="88">
                  <c:v>110258.10597205198</c:v>
                </c:pt>
                <c:pt idx="89">
                  <c:v>109723.3321626664</c:v>
                </c:pt>
                <c:pt idx="90">
                  <c:v>109178.78667111268</c:v>
                </c:pt>
                <c:pt idx="91">
                  <c:v>108624.63013386168</c:v>
                </c:pt>
                <c:pt idx="92">
                  <c:v>108061.01883386572</c:v>
                </c:pt>
                <c:pt idx="93">
                  <c:v>107488.10486397168</c:v>
                </c:pt>
                <c:pt idx="94">
                  <c:v>106906.03628253222</c:v>
                </c:pt>
                <c:pt idx="95">
                  <c:v>106314.95726166382</c:v>
                </c:pt>
                <c:pt idx="96">
                  <c:v>105715.00822857377</c:v>
                </c:pt>
                <c:pt idx="97">
                  <c:v>105106.32600034609</c:v>
                </c:pt>
                <c:pt idx="98">
                  <c:v>104489.0439125542</c:v>
                </c:pt>
                <c:pt idx="99">
                  <c:v>103863.29194204173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39-43BD-93BF-2C0AD89D7741}"/>
            </c:ext>
          </c:extLst>
        </c:ser>
        <c:ser>
          <c:idx val="1"/>
          <c:order val="1"/>
          <c:tx>
            <c:v>100% CVX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'Parametric VaR'!$AD$12:$AD$111</c:f>
              <c:numCache>
                <c:formatCode>General</c:formatCode>
                <c:ptCount val="100"/>
                <c:pt idx="0">
                  <c:v>32834.259053513888</c:v>
                </c:pt>
                <c:pt idx="1">
                  <c:v>46251.191106651975</c:v>
                </c:pt>
                <c:pt idx="2">
                  <c:v>56473.493947640709</c:v>
                </c:pt>
                <c:pt idx="3">
                  <c:v>65042.135024339237</c:v>
                </c:pt>
                <c:pt idx="4">
                  <c:v>72553.995104197325</c:v>
                </c:pt>
                <c:pt idx="5">
                  <c:v>79315.190983451597</c:v>
                </c:pt>
                <c:pt idx="6">
                  <c:v>85507.57008038483</c:v>
                </c:pt>
                <c:pt idx="7">
                  <c:v>91249.616047926902</c:v>
                </c:pt>
                <c:pt idx="8">
                  <c:v>96623.627912476077</c:v>
                </c:pt>
                <c:pt idx="9">
                  <c:v>101689.52709421233</c:v>
                </c:pt>
                <c:pt idx="10">
                  <c:v>106492.54942520046</c:v>
                </c:pt>
                <c:pt idx="11">
                  <c:v>111067.83864721585</c:v>
                </c:pt>
                <c:pt idx="12">
                  <c:v>115443.34273319494</c:v>
                </c:pt>
                <c:pt idx="13">
                  <c:v>119641.72179215559</c:v>
                </c:pt>
                <c:pt idx="14">
                  <c:v>123681.65100295479</c:v>
                </c:pt>
                <c:pt idx="15">
                  <c:v>127578.73771792438</c:v>
                </c:pt>
                <c:pt idx="16">
                  <c:v>131346.18381969063</c:v>
                </c:pt>
                <c:pt idx="17">
                  <c:v>134995.27482382479</c:v>
                </c:pt>
                <c:pt idx="18">
                  <c:v>138535.74809345283</c:v>
                </c:pt>
                <c:pt idx="19">
                  <c:v>141976.07479495206</c:v>
                </c:pt>
                <c:pt idx="20">
                  <c:v>145323.67907751692</c:v>
                </c:pt>
                <c:pt idx="21">
                  <c:v>148585.11075851737</c:v>
                </c:pt>
                <c:pt idx="22">
                  <c:v>151766.18302935359</c:v>
                </c:pt>
                <c:pt idx="23">
                  <c:v>154872.08347077205</c:v>
                </c:pt>
                <c:pt idx="24">
                  <c:v>157907.46444068415</c:v>
                </c:pt>
                <c:pt idx="25">
                  <c:v>160876.51733408362</c:v>
                </c:pt>
                <c:pt idx="26">
                  <c:v>163783.03409872547</c:v>
                </c:pt>
                <c:pt idx="27">
                  <c:v>166630.45858194999</c:v>
                </c:pt>
                <c:pt idx="28">
                  <c:v>169421.92969067616</c:v>
                </c:pt>
                <c:pt idx="29">
                  <c:v>172160.31790559058</c:v>
                </c:pt>
                <c:pt idx="30">
                  <c:v>174848.25635904787</c:v>
                </c:pt>
                <c:pt idx="31">
                  <c:v>177488.16743434564</c:v>
                </c:pt>
                <c:pt idx="32">
                  <c:v>180082.2856508262</c:v>
                </c:pt>
                <c:pt idx="33">
                  <c:v>182632.67744967414</c:v>
                </c:pt>
                <c:pt idx="34">
                  <c:v>185141.25837848443</c:v>
                </c:pt>
                <c:pt idx="35">
                  <c:v>187609.80808075541</c:v>
                </c:pt>
                <c:pt idx="36">
                  <c:v>190039.98342357686</c:v>
                </c:pt>
                <c:pt idx="37">
                  <c:v>192433.33003858387</c:v>
                </c:pt>
                <c:pt idx="38">
                  <c:v>194791.29250447272</c:v>
                </c:pt>
                <c:pt idx="39">
                  <c:v>197115.22336153945</c:v>
                </c:pt>
                <c:pt idx="40">
                  <c:v>199406.39111792934</c:v>
                </c:pt>
                <c:pt idx="41">
                  <c:v>201665.98738210197</c:v>
                </c:pt>
                <c:pt idx="42">
                  <c:v>203895.13323531684</c:v>
                </c:pt>
                <c:pt idx="43">
                  <c:v>206094.88494082718</c:v>
                </c:pt>
                <c:pt idx="44">
                  <c:v>208266.23907226417</c:v>
                </c:pt>
                <c:pt idx="45">
                  <c:v>210410.13713183385</c:v>
                </c:pt>
                <c:pt idx="46">
                  <c:v>212527.46971902528</c:v>
                </c:pt>
                <c:pt idx="47">
                  <c:v>214619.08030216946</c:v>
                </c:pt>
                <c:pt idx="48">
                  <c:v>216685.76863813819</c:v>
                </c:pt>
                <c:pt idx="49">
                  <c:v>218728.29387948941</c:v>
                </c:pt>
                <c:pt idx="50">
                  <c:v>220747.37740328221</c:v>
                </c:pt>
                <c:pt idx="51">
                  <c:v>222743.70539143909</c:v>
                </c:pt>
                <c:pt idx="52">
                  <c:v>224717.93118881827</c:v>
                </c:pt>
                <c:pt idx="53">
                  <c:v>226670.6774619614</c:v>
                </c:pt>
                <c:pt idx="54">
                  <c:v>228602.53817873081</c:v>
                </c:pt>
                <c:pt idx="55">
                  <c:v>230514.08042667183</c:v>
                </c:pt>
                <c:pt idx="56">
                  <c:v>232405.846085873</c:v>
                </c:pt>
                <c:pt idx="57">
                  <c:v>234278.35337030605</c:v>
                </c:pt>
                <c:pt idx="58">
                  <c:v>236132.09825006794</c:v>
                </c:pt>
                <c:pt idx="59">
                  <c:v>237967.55576558172</c:v>
                </c:pt>
                <c:pt idx="60">
                  <c:v>239785.18124362273</c:v>
                </c:pt>
                <c:pt idx="61">
                  <c:v>241585.41142398628</c:v>
                </c:pt>
                <c:pt idx="62">
                  <c:v>243368.66550469556</c:v>
                </c:pt>
                <c:pt idx="63">
                  <c:v>245135.34611283246</c:v>
                </c:pt>
                <c:pt idx="64">
                  <c:v>246885.84020736147</c:v>
                </c:pt>
                <c:pt idx="65">
                  <c:v>248620.51991967941</c:v>
                </c:pt>
                <c:pt idx="66">
                  <c:v>250339.74333706166</c:v>
                </c:pt>
                <c:pt idx="67">
                  <c:v>252043.85523367638</c:v>
                </c:pt>
                <c:pt idx="68">
                  <c:v>253733.18775339253</c:v>
                </c:pt>
                <c:pt idx="69">
                  <c:v>255408.06104821144</c:v>
                </c:pt>
                <c:pt idx="70">
                  <c:v>257068.78387579595</c:v>
                </c:pt>
                <c:pt idx="71">
                  <c:v>258715.65415925617</c:v>
                </c:pt>
                <c:pt idx="72">
                  <c:v>260348.95951206473</c:v>
                </c:pt>
                <c:pt idx="73">
                  <c:v>261968.97773071998</c:v>
                </c:pt>
                <c:pt idx="74">
                  <c:v>263575.9772575479</c:v>
                </c:pt>
                <c:pt idx="75">
                  <c:v>265170.21761582379</c:v>
                </c:pt>
                <c:pt idx="76">
                  <c:v>266751.94981921191</c:v>
                </c:pt>
                <c:pt idx="77">
                  <c:v>268321.41675735149</c:v>
                </c:pt>
                <c:pt idx="78">
                  <c:v>269878.85355926579</c:v>
                </c:pt>
                <c:pt idx="79">
                  <c:v>271424.48793613364</c:v>
                </c:pt>
                <c:pt idx="80">
                  <c:v>272958.54050483811</c:v>
                </c:pt>
                <c:pt idx="81">
                  <c:v>274481.22509359318</c:v>
                </c:pt>
                <c:pt idx="82">
                  <c:v>275992.74903084856</c:v>
                </c:pt>
                <c:pt idx="83">
                  <c:v>277493.31341857486</c:v>
                </c:pt>
                <c:pt idx="84">
                  <c:v>278983.113390952</c:v>
                </c:pt>
                <c:pt idx="85">
                  <c:v>280462.33835940005</c:v>
                </c:pt>
                <c:pt idx="86">
                  <c:v>281931.17224482546</c:v>
                </c:pt>
                <c:pt idx="87">
                  <c:v>283389.79369788727</c:v>
                </c:pt>
                <c:pt idx="88">
                  <c:v>284838.37630803091</c:v>
                </c:pt>
                <c:pt idx="89">
                  <c:v>286277.0888019813</c:v>
                </c:pt>
                <c:pt idx="90">
                  <c:v>287706.09523233859</c:v>
                </c:pt>
                <c:pt idx="91">
                  <c:v>289125.55515687121</c:v>
                </c:pt>
                <c:pt idx="92">
                  <c:v>290535.62380906381</c:v>
                </c:pt>
                <c:pt idx="93">
                  <c:v>291936.45226043288</c:v>
                </c:pt>
                <c:pt idx="94">
                  <c:v>293328.187575093</c:v>
                </c:pt>
                <c:pt idx="95">
                  <c:v>294710.97295701958</c:v>
                </c:pt>
                <c:pt idx="96">
                  <c:v>296084.94789042615</c:v>
                </c:pt>
                <c:pt idx="97">
                  <c:v>297450.24827364588</c:v>
                </c:pt>
                <c:pt idx="98">
                  <c:v>298807.00654688012</c:v>
                </c:pt>
                <c:pt idx="99">
                  <c:v>300155.35181415523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39-43BD-93BF-2C0AD89D7741}"/>
            </c:ext>
          </c:extLst>
        </c:ser>
        <c:ser>
          <c:idx val="2"/>
          <c:order val="2"/>
          <c:tx>
            <c:v>100% 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'Parametric VaR'!$AI$12:$AI$111</c:f>
              <c:numCache>
                <c:formatCode>General</c:formatCode>
                <c:ptCount val="100"/>
                <c:pt idx="0">
                  <c:v>55430.867168477445</c:v>
                </c:pt>
                <c:pt idx="1">
                  <c:v>76620.263123545505</c:v>
                </c:pt>
                <c:pt idx="2">
                  <c:v>92176.09251184501</c:v>
                </c:pt>
                <c:pt idx="3">
                  <c:v>104815.77326147952</c:v>
                </c:pt>
                <c:pt idx="4">
                  <c:v>115591.87432882874</c:v>
                </c:pt>
                <c:pt idx="5">
                  <c:v>125044.21715615783</c:v>
                </c:pt>
                <c:pt idx="6">
                  <c:v>133493.48044132479</c:v>
                </c:pt>
                <c:pt idx="7">
                  <c:v>141148.60409614025</c:v>
                </c:pt>
                <c:pt idx="8">
                  <c:v>148154.71827900619</c:v>
                </c:pt>
                <c:pt idx="9">
                  <c:v>154617.49137487187</c:v>
                </c:pt>
                <c:pt idx="10">
                  <c:v>160616.69447897765</c:v>
                </c:pt>
                <c:pt idx="11">
                  <c:v>166214.30179726388</c:v>
                </c:pt>
                <c:pt idx="12">
                  <c:v>171459.59816233176</c:v>
                </c:pt>
                <c:pt idx="13">
                  <c:v>176392.54352699121</c:v>
                </c:pt>
                <c:pt idx="14">
                  <c:v>181046.07062185046</c:v>
                </c:pt>
                <c:pt idx="15">
                  <c:v>185447.70222105752</c:v>
                </c:pt>
                <c:pt idx="16">
                  <c:v>189620.71917495286</c:v>
                </c:pt>
                <c:pt idx="17">
                  <c:v>193585.02291778423</c:v>
                </c:pt>
                <c:pt idx="18">
                  <c:v>197357.78479549242</c:v>
                </c:pt>
                <c:pt idx="19">
                  <c:v>200953.94328028057</c:v>
                </c:pt>
                <c:pt idx="20">
                  <c:v>204386.59048266013</c:v>
                </c:pt>
                <c:pt idx="21">
                  <c:v>207667.27667332088</c:v>
                </c:pt>
                <c:pt idx="22">
                  <c:v>210806.25312042056</c:v>
                </c:pt>
                <c:pt idx="23">
                  <c:v>213812.66785946337</c:v>
                </c:pt>
                <c:pt idx="24">
                  <c:v>216694.72508763341</c:v>
                </c:pt>
                <c:pt idx="25">
                  <c:v>219459.81611739183</c:v>
                </c:pt>
                <c:pt idx="26">
                  <c:v>222114.62785625661</c:v>
                </c:pt>
                <c:pt idx="27">
                  <c:v>224665.23335432186</c:v>
                </c:pt>
                <c:pt idx="28">
                  <c:v>227117.16791471667</c:v>
                </c:pt>
                <c:pt idx="29">
                  <c:v>229475.49348452571</c:v>
                </c:pt>
                <c:pt idx="30">
                  <c:v>231744.85345908967</c:v>
                </c:pt>
                <c:pt idx="31">
                  <c:v>233929.51958847744</c:v>
                </c:pt>
                <c:pt idx="32">
                  <c:v>236033.43233420228</c:v>
                </c:pt>
                <c:pt idx="33">
                  <c:v>238060.23576047228</c:v>
                </c:pt>
                <c:pt idx="34">
                  <c:v>240013.30783830411</c:v>
                </c:pt>
                <c:pt idx="35">
                  <c:v>241895.78687873398</c:v>
                </c:pt>
                <c:pt idx="36">
                  <c:v>243710.59468282945</c:v>
                </c:pt>
                <c:pt idx="37">
                  <c:v>245460.45689357631</c:v>
                </c:pt>
                <c:pt idx="38">
                  <c:v>247147.92095222839</c:v>
                </c:pt>
                <c:pt idx="39">
                  <c:v>248775.37199498995</c:v>
                </c:pt>
                <c:pt idx="40">
                  <c:v>250345.0469716294</c:v>
                </c:pt>
                <c:pt idx="41">
                  <c:v>251859.04722322038</c:v>
                </c:pt>
                <c:pt idx="42">
                  <c:v>253319.34971969662</c:v>
                </c:pt>
                <c:pt idx="43">
                  <c:v>254727.81712772607</c:v>
                </c:pt>
                <c:pt idx="44">
                  <c:v>256086.20685435558</c:v>
                </c:pt>
                <c:pt idx="45">
                  <c:v>257396.17919096735</c:v>
                </c:pt>
                <c:pt idx="46">
                  <c:v>258659.30466458437</c:v>
                </c:pt>
                <c:pt idx="47">
                  <c:v>259877.07068882315</c:v>
                </c:pt>
                <c:pt idx="48">
                  <c:v>261050.88759435914</c:v>
                </c:pt>
                <c:pt idx="49">
                  <c:v>262182.09410821984</c:v>
                </c:pt>
                <c:pt idx="50">
                  <c:v>263271.96234225685</c:v>
                </c:pt>
                <c:pt idx="51">
                  <c:v>264321.70234348363</c:v>
                </c:pt>
                <c:pt idx="52">
                  <c:v>265332.46625241655</c:v>
                </c:pt>
                <c:pt idx="53">
                  <c:v>266305.35210991662</c:v>
                </c:pt>
                <c:pt idx="54">
                  <c:v>267241.40734818002</c:v>
                </c:pt>
                <c:pt idx="55">
                  <c:v>268141.63199732703</c:v>
                </c:pt>
                <c:pt idx="56">
                  <c:v>269006.98163540679</c:v>
                </c:pt>
                <c:pt idx="57">
                  <c:v>269838.37010647188</c:v>
                </c:pt>
                <c:pt idx="58">
                  <c:v>270636.67202862987</c:v>
                </c:pt>
                <c:pt idx="59">
                  <c:v>271402.72511157021</c:v>
                </c:pt>
                <c:pt idx="60">
                  <c:v>272137.33230096457</c:v>
                </c:pt>
                <c:pt idx="61">
                  <c:v>272841.2637652884</c:v>
                </c:pt>
                <c:pt idx="62">
                  <c:v>273515.25873899128</c:v>
                </c:pt>
                <c:pt idx="63">
                  <c:v>274160.02723450895</c:v>
                </c:pt>
                <c:pt idx="64">
                  <c:v>274776.25163434655</c:v>
                </c:pt>
                <c:pt idx="65">
                  <c:v>275364.58817334584</c:v>
                </c:pt>
                <c:pt idx="66">
                  <c:v>275925.66832025285</c:v>
                </c:pt>
                <c:pt idx="67">
                  <c:v>276460.10006682423</c:v>
                </c:pt>
                <c:pt idx="68">
                  <c:v>276968.46913192497</c:v>
                </c:pt>
                <c:pt idx="69">
                  <c:v>277451.34008736938</c:v>
                </c:pt>
                <c:pt idx="70">
                  <c:v>277909.25741163408</c:v>
                </c:pt>
                <c:pt idx="71">
                  <c:v>278342.74647701165</c:v>
                </c:pt>
                <c:pt idx="72">
                  <c:v>278752.31447527127</c:v>
                </c:pt>
                <c:pt idx="73">
                  <c:v>279138.45128644712</c:v>
                </c:pt>
                <c:pt idx="74">
                  <c:v>279501.63029496366</c:v>
                </c:pt>
                <c:pt idx="75">
                  <c:v>279842.3091569526</c:v>
                </c:pt>
                <c:pt idx="76">
                  <c:v>280160.93052227842</c:v>
                </c:pt>
                <c:pt idx="77">
                  <c:v>280457.92271449883</c:v>
                </c:pt>
                <c:pt idx="78">
                  <c:v>280733.70037171955</c:v>
                </c:pt>
                <c:pt idx="79">
                  <c:v>280988.66505105351</c:v>
                </c:pt>
                <c:pt idx="80">
                  <c:v>281223.20579918328</c:v>
                </c:pt>
                <c:pt idx="81">
                  <c:v>281437.6996913178</c:v>
                </c:pt>
                <c:pt idx="82">
                  <c:v>281632.51234066102</c:v>
                </c:pt>
                <c:pt idx="83">
                  <c:v>281807.99838033726</c:v>
                </c:pt>
                <c:pt idx="84">
                  <c:v>281964.50191957457</c:v>
                </c:pt>
                <c:pt idx="85">
                  <c:v>282102.35697580443</c:v>
                </c:pt>
                <c:pt idx="86">
                  <c:v>282221.88788421557</c:v>
                </c:pt>
                <c:pt idx="87">
                  <c:v>282323.40968618338</c:v>
                </c:pt>
                <c:pt idx="88">
                  <c:v>282407.2284978893</c:v>
                </c:pt>
                <c:pt idx="89">
                  <c:v>282473.64186035423</c:v>
                </c:pt>
                <c:pt idx="90">
                  <c:v>282522.93907201645</c:v>
                </c:pt>
                <c:pt idx="91">
                  <c:v>282555.40150490735</c:v>
                </c:pt>
                <c:pt idx="92">
                  <c:v>282571.30290540267</c:v>
                </c:pt>
                <c:pt idx="93">
                  <c:v>282570.90968045866</c:v>
                </c:pt>
                <c:pt idx="94">
                  <c:v>282554.48117018148</c:v>
                </c:pt>
                <c:pt idx="95">
                  <c:v>282522.26990751759</c:v>
                </c:pt>
                <c:pt idx="96">
                  <c:v>282474.52186580223</c:v>
                </c:pt>
                <c:pt idx="97">
                  <c:v>282411.4766948524</c:v>
                </c:pt>
                <c:pt idx="98">
                  <c:v>282333.36794624536</c:v>
                </c:pt>
                <c:pt idx="99">
                  <c:v>282240.4232883823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39-43BD-93BF-2C0AD89D7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308175"/>
        <c:axId val="763379680"/>
      </c:lineChart>
      <c:catAx>
        <c:axId val="630308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horizon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79680"/>
        <c:crosses val="autoZero"/>
        <c:auto val="1"/>
        <c:lblAlgn val="ctr"/>
        <c:lblOffset val="100"/>
        <c:noMultiLvlLbl val="0"/>
      </c:catAx>
      <c:valAx>
        <c:axId val="76337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VaR</a:t>
                </a:r>
                <a:r>
                  <a:rPr lang="en-US" baseline="0"/>
                  <a:t> ($)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308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137160</xdr:colOff>
      <xdr:row>9</xdr:row>
      <xdr:rowOff>41910</xdr:rowOff>
    </xdr:from>
    <xdr:to>
      <xdr:col>19</xdr:col>
      <xdr:colOff>464820</xdr:colOff>
      <xdr:row>26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B09C10-FF9B-6AFA-3113-D810281326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144780</xdr:colOff>
      <xdr:row>26</xdr:row>
      <xdr:rowOff>121920</xdr:rowOff>
    </xdr:from>
    <xdr:to>
      <xdr:col>19</xdr:col>
      <xdr:colOff>472440</xdr:colOff>
      <xdr:row>42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214FF34-E3EF-4B5E-8791-F2923E83FB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137160</xdr:colOff>
      <xdr:row>43</xdr:row>
      <xdr:rowOff>30480</xdr:rowOff>
    </xdr:from>
    <xdr:to>
      <xdr:col>19</xdr:col>
      <xdr:colOff>480060</xdr:colOff>
      <xdr:row>60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98920BD-D591-44AE-830F-C21404FE8B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137160</xdr:colOff>
      <xdr:row>61</xdr:row>
      <xdr:rowOff>7620</xdr:rowOff>
    </xdr:from>
    <xdr:to>
      <xdr:col>19</xdr:col>
      <xdr:colOff>480060</xdr:colOff>
      <xdr:row>78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969DF1-A0F5-4608-B9CC-7CBD41C74C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129540</xdr:colOff>
      <xdr:row>78</xdr:row>
      <xdr:rowOff>152400</xdr:rowOff>
    </xdr:from>
    <xdr:to>
      <xdr:col>19</xdr:col>
      <xdr:colOff>472440</xdr:colOff>
      <xdr:row>95</xdr:row>
      <xdr:rowOff>175260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BC91E9F-E2B7-417E-AA29-C29706A23E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10</xdr:row>
          <xdr:rowOff>99060</xdr:rowOff>
        </xdr:from>
        <xdr:to>
          <xdr:col>3</xdr:col>
          <xdr:colOff>556260</xdr:colOff>
          <xdr:row>14</xdr:row>
          <xdr:rowOff>83820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CC27-1DA3-44DC-B966-36B2DAFED348}">
  <sheetPr codeName="Sheet10"/>
  <dimension ref="A2:M254"/>
  <sheetViews>
    <sheetView tabSelected="1" workbookViewId="0">
      <selection activeCell="M14" sqref="M14"/>
    </sheetView>
  </sheetViews>
  <sheetFormatPr defaultRowHeight="14.4" x14ac:dyDescent="0.3"/>
  <cols>
    <col min="1" max="1" width="11" bestFit="1" customWidth="1"/>
    <col min="2" max="2" width="11.5546875" style="1" customWidth="1"/>
    <col min="3" max="3" width="9.109375"/>
    <col min="4" max="4" width="8.5546875" customWidth="1"/>
    <col min="5" max="5" width="9.5546875" style="1" customWidth="1"/>
    <col min="6" max="6" width="11.6640625" style="1" customWidth="1"/>
    <col min="7" max="7" width="13.88671875" style="1" customWidth="1"/>
    <col min="8" max="8" width="16.33203125" style="1" customWidth="1"/>
    <col min="9" max="9" width="10.88671875" customWidth="1"/>
    <col min="10" max="10" width="13.5546875" customWidth="1"/>
    <col min="13" max="13" width="13.44140625" customWidth="1"/>
  </cols>
  <sheetData>
    <row r="2" spans="1:13" x14ac:dyDescent="0.3">
      <c r="A2" t="s">
        <v>5</v>
      </c>
      <c r="D2" t="s">
        <v>4</v>
      </c>
      <c r="G2" s="1" t="s">
        <v>17</v>
      </c>
      <c r="J2" s="1" t="s">
        <v>29</v>
      </c>
    </row>
    <row r="3" spans="1:13" x14ac:dyDescent="0.3">
      <c r="A3" s="5" t="s">
        <v>3</v>
      </c>
      <c r="B3" s="5" t="s">
        <v>0</v>
      </c>
      <c r="D3" s="4" t="s">
        <v>10</v>
      </c>
      <c r="E3" s="5" t="s">
        <v>0</v>
      </c>
      <c r="G3" s="5" t="s">
        <v>0</v>
      </c>
      <c r="I3" s="3"/>
      <c r="J3" s="5" t="s">
        <v>33</v>
      </c>
      <c r="K3" s="5" t="s">
        <v>5</v>
      </c>
      <c r="L3" s="5" t="s">
        <v>4</v>
      </c>
      <c r="M3" s="5" t="s">
        <v>34</v>
      </c>
    </row>
    <row r="4" spans="1:13" x14ac:dyDescent="0.3">
      <c r="A4" s="2">
        <v>153.232361</v>
      </c>
      <c r="B4" s="3"/>
      <c r="D4" s="2">
        <v>233.02276599999999</v>
      </c>
      <c r="E4" s="3"/>
      <c r="G4" s="3">
        <f>(B4+E4)/2</f>
        <v>0</v>
      </c>
      <c r="I4" s="5" t="s">
        <v>30</v>
      </c>
      <c r="J4" s="3" cm="1">
        <f t="array" ref="J4">-CalculateHistoricalVaR(G5:G254,0.95)</f>
        <v>1.6950250074710814E-2</v>
      </c>
      <c r="K4" s="2" cm="1">
        <f t="array" ref="K4">-CalculateHistoricalVaR(B5:B254,0.95)</f>
        <v>2.2764795605174831E-2</v>
      </c>
      <c r="L4" s="2" cm="1">
        <f t="array" ref="L4">-CalculateHistoricalVaR(E5:E254,0.95)</f>
        <v>2.7303901367541322E-2</v>
      </c>
      <c r="M4" s="2" t="str" cm="1">
        <f t="array" ref="M4">CheckVaRAdditivity(L4,K4,J4)</f>
        <v>Subadditive</v>
      </c>
    </row>
    <row r="5" spans="1:13" x14ac:dyDescent="0.3">
      <c r="A5" s="2">
        <v>152.79063400000001</v>
      </c>
      <c r="B5" s="3">
        <f>(A5-A4)/A4</f>
        <v>-2.8827265801901073E-3</v>
      </c>
      <c r="D5" s="2">
        <v>233.12264999999999</v>
      </c>
      <c r="E5" s="3">
        <f>(D5-D4)/D4</f>
        <v>4.2864481318534762E-4</v>
      </c>
      <c r="G5" s="3">
        <f>(B5+E5)/2</f>
        <v>-1.2270408835023798E-3</v>
      </c>
      <c r="I5" s="5" t="s">
        <v>31</v>
      </c>
      <c r="J5" s="3" cm="1">
        <f t="array" ref="J5">-CalculateHistoricalVaR(G6:G255,0.99)</f>
        <v>2.2255220278027024E-2</v>
      </c>
      <c r="K5" s="2" cm="1">
        <f t="array" ref="K5">-CalculateHistoricalVaR(B6:B255,0.99)</f>
        <v>3.2664806458721329E-2</v>
      </c>
      <c r="L5" s="2" cm="1">
        <f t="array" ref="L5">-CalculateHistoricalVaR(E6:E255,0.99)</f>
        <v>4.2688634283987871E-2</v>
      </c>
      <c r="M5" s="2" t="str" cm="1">
        <f t="array" ref="M5">CheckVaRAdditivity(L5,K5,J5)</f>
        <v>Subadditive</v>
      </c>
    </row>
    <row r="6" spans="1:13" x14ac:dyDescent="0.3">
      <c r="A6" s="2">
        <v>150.84137000000001</v>
      </c>
      <c r="B6" s="3">
        <f t="shared" ref="B6:B69" si="0">(A6-A5)/A5</f>
        <v>-1.2757745347139533E-2</v>
      </c>
      <c r="D6" s="2">
        <v>232.83296200000001</v>
      </c>
      <c r="E6" s="3">
        <f t="shared" ref="E6:E69" si="1">(D6-D5)/D5</f>
        <v>-1.2426420169811211E-3</v>
      </c>
      <c r="G6" s="3">
        <f t="shared" ref="G6:G69" si="2">(B6+E6)/2</f>
        <v>-7.0001936820603275E-3</v>
      </c>
      <c r="I6" s="5" t="s">
        <v>32</v>
      </c>
      <c r="J6" s="3" cm="1">
        <f t="array" ref="J6">-CalculateHistoricalVaR(G7:G256,0.995)</f>
        <v>2.3318349829059788E-2</v>
      </c>
      <c r="K6" s="2" cm="1">
        <f t="array" ref="K6">-CalculateHistoricalVaR(B7:B256,0.995)</f>
        <v>3.686387715651103E-2</v>
      </c>
      <c r="L6" s="2" cm="1">
        <f t="array" ref="L6">-CalculateHistoricalVaR(E7:E256,0.995)</f>
        <v>4.4194120900623732E-2</v>
      </c>
      <c r="M6" s="2" t="str" cm="1">
        <f t="array" ref="M6">CheckVaRAdditivity(L6,K6,J6)</f>
        <v>Subadditive</v>
      </c>
    </row>
    <row r="7" spans="1:13" x14ac:dyDescent="0.3">
      <c r="A7" s="2">
        <v>150.00599700000001</v>
      </c>
      <c r="B7" s="3">
        <f t="shared" si="0"/>
        <v>-5.538089451189711E-3</v>
      </c>
      <c r="D7" s="2">
        <v>235.540085</v>
      </c>
      <c r="E7" s="3">
        <f t="shared" si="1"/>
        <v>1.1626888979748475E-2</v>
      </c>
      <c r="G7" s="3">
        <f t="shared" si="2"/>
        <v>3.0443997642793821E-3</v>
      </c>
    </row>
    <row r="8" spans="1:13" x14ac:dyDescent="0.3">
      <c r="A8" s="2">
        <v>150.39009100000001</v>
      </c>
      <c r="B8" s="3">
        <f t="shared" si="0"/>
        <v>2.560524296905307E-3</v>
      </c>
      <c r="D8" s="2">
        <v>233.56218000000001</v>
      </c>
      <c r="E8" s="3">
        <f t="shared" si="1"/>
        <v>-8.3973180191388337E-3</v>
      </c>
      <c r="G8" s="3">
        <f t="shared" si="2"/>
        <v>-2.9183968611167631E-3</v>
      </c>
      <c r="I8" s="3"/>
      <c r="J8" s="5" t="s">
        <v>33</v>
      </c>
      <c r="K8" s="5" t="s">
        <v>5</v>
      </c>
      <c r="L8" s="5" t="s">
        <v>4</v>
      </c>
    </row>
    <row r="9" spans="1:13" x14ac:dyDescent="0.3">
      <c r="A9" s="2">
        <v>150.94702100000001</v>
      </c>
      <c r="B9" s="3">
        <f t="shared" si="0"/>
        <v>3.7032360064200914E-3</v>
      </c>
      <c r="D9" s="2">
        <v>238.606842</v>
      </c>
      <c r="E9" s="3">
        <f t="shared" si="1"/>
        <v>2.1598796517484073E-2</v>
      </c>
      <c r="G9" s="3">
        <f t="shared" si="2"/>
        <v>1.2651016261952083E-2</v>
      </c>
      <c r="I9" s="5" t="s">
        <v>30</v>
      </c>
      <c r="J9" s="3">
        <f t="shared" ref="J9:L9" si="3">J4*1000000</f>
        <v>16950.250074710813</v>
      </c>
      <c r="K9" s="3">
        <f t="shared" si="3"/>
        <v>22764.79560517483</v>
      </c>
      <c r="L9" s="3">
        <f t="shared" si="3"/>
        <v>27303.901367541323</v>
      </c>
    </row>
    <row r="10" spans="1:13" x14ac:dyDescent="0.3">
      <c r="A10" s="2">
        <v>147.40379300000001</v>
      </c>
      <c r="B10" s="3">
        <f t="shared" si="0"/>
        <v>-2.3473321808715912E-2</v>
      </c>
      <c r="D10" s="2">
        <v>238.566879</v>
      </c>
      <c r="E10" s="3">
        <f t="shared" si="1"/>
        <v>-1.6748471948679574E-4</v>
      </c>
      <c r="G10" s="3">
        <f t="shared" si="2"/>
        <v>-1.1820403264101354E-2</v>
      </c>
      <c r="I10" s="5" t="s">
        <v>31</v>
      </c>
      <c r="J10" s="3">
        <f t="shared" ref="J10:L10" si="4">J5*1000000</f>
        <v>22255.220278027024</v>
      </c>
      <c r="K10" s="3">
        <f t="shared" si="4"/>
        <v>32664.80645872133</v>
      </c>
      <c r="L10" s="3">
        <f>L5*1000000</f>
        <v>42688.634283987871</v>
      </c>
    </row>
    <row r="11" spans="1:13" x14ac:dyDescent="0.3">
      <c r="A11" s="2">
        <v>149.516312</v>
      </c>
      <c r="B11" s="3">
        <f t="shared" si="0"/>
        <v>1.433151045170182E-2</v>
      </c>
      <c r="D11" s="2">
        <v>242.23298600000001</v>
      </c>
      <c r="E11" s="3">
        <f t="shared" si="1"/>
        <v>1.5367208622450943E-2</v>
      </c>
      <c r="G11" s="3">
        <f t="shared" si="2"/>
        <v>1.4849359537076383E-2</v>
      </c>
      <c r="I11" s="5" t="s">
        <v>32</v>
      </c>
      <c r="J11" s="3">
        <f t="shared" ref="J11:L11" si="5">J6*1000000</f>
        <v>23318.349829059789</v>
      </c>
      <c r="K11" s="3">
        <f t="shared" si="5"/>
        <v>36863.877156511029</v>
      </c>
      <c r="L11" s="3">
        <f t="shared" si="5"/>
        <v>44194.120900623733</v>
      </c>
    </row>
    <row r="12" spans="1:13" x14ac:dyDescent="0.3">
      <c r="A12" s="2">
        <v>149.33204699999999</v>
      </c>
      <c r="B12" s="3">
        <f t="shared" si="0"/>
        <v>-1.2324073376021377E-3</v>
      </c>
      <c r="D12" s="2">
        <v>246.588379</v>
      </c>
      <c r="E12" s="3">
        <f t="shared" si="1"/>
        <v>1.79801812788618E-2</v>
      </c>
      <c r="G12" s="3">
        <f t="shared" si="2"/>
        <v>8.3738869706298305E-3</v>
      </c>
    </row>
    <row r="13" spans="1:13" x14ac:dyDescent="0.3">
      <c r="A13" s="2">
        <v>150.51499899999999</v>
      </c>
      <c r="B13" s="3">
        <f t="shared" si="0"/>
        <v>7.9216218070057021E-3</v>
      </c>
      <c r="D13" s="2">
        <v>245.37965399999999</v>
      </c>
      <c r="E13" s="3">
        <f t="shared" si="1"/>
        <v>-4.9017922292275392E-3</v>
      </c>
      <c r="G13" s="3">
        <f t="shared" si="2"/>
        <v>1.5099147888890815E-3</v>
      </c>
    </row>
    <row r="14" spans="1:13" x14ac:dyDescent="0.3">
      <c r="A14" s="2">
        <v>147.809753</v>
      </c>
      <c r="B14" s="3">
        <f t="shared" si="0"/>
        <v>-1.7973265242489146E-2</v>
      </c>
      <c r="D14" s="2">
        <v>248.05680799999999</v>
      </c>
      <c r="E14" s="3">
        <f t="shared" si="1"/>
        <v>1.0910252567232007E-2</v>
      </c>
      <c r="G14" s="3">
        <f t="shared" si="2"/>
        <v>-3.5315063376285694E-3</v>
      </c>
      <c r="J14" s="8" t="s">
        <v>42</v>
      </c>
      <c r="K14" s="8"/>
      <c r="L14" s="8"/>
    </row>
    <row r="15" spans="1:13" x14ac:dyDescent="0.3">
      <c r="A15" s="2">
        <v>152.08580000000001</v>
      </c>
      <c r="B15" s="3">
        <f t="shared" si="0"/>
        <v>2.8929396830803211E-2</v>
      </c>
      <c r="D15" s="2">
        <v>246.47848500000001</v>
      </c>
      <c r="E15" s="3">
        <f t="shared" si="1"/>
        <v>-6.3627481653314808E-3</v>
      </c>
      <c r="G15" s="3">
        <f t="shared" si="2"/>
        <v>1.1283324332735864E-2</v>
      </c>
      <c r="I15" s="2"/>
      <c r="J15" s="5" t="s">
        <v>33</v>
      </c>
      <c r="K15" s="5" t="s">
        <v>5</v>
      </c>
      <c r="L15" s="5" t="s">
        <v>4</v>
      </c>
      <c r="M15" s="5" t="s">
        <v>34</v>
      </c>
    </row>
    <row r="16" spans="1:13" x14ac:dyDescent="0.3">
      <c r="A16" s="2">
        <v>152.493042</v>
      </c>
      <c r="B16" s="3">
        <f t="shared" si="0"/>
        <v>2.6777121861475332E-3</v>
      </c>
      <c r="D16" s="2">
        <v>248.945877</v>
      </c>
      <c r="E16" s="3">
        <f t="shared" si="1"/>
        <v>1.0010577596661184E-2</v>
      </c>
      <c r="G16" s="3">
        <f t="shared" si="2"/>
        <v>6.3441448914043587E-3</v>
      </c>
      <c r="I16" s="5" t="s">
        <v>30</v>
      </c>
      <c r="J16" s="2" cm="1">
        <f t="array" ref="J16">-histSim($G$5:$G$254,125,1000,0.95)*1000000</f>
        <v>17067.142938803037</v>
      </c>
      <c r="K16" s="2" cm="1">
        <f t="array" ref="K16">-histSim($B$5:$B$254,125,1000,0.95)*1000000</f>
        <v>21217.600013346295</v>
      </c>
      <c r="L16" s="2" cm="1">
        <f t="array" ref="L16">-histSim($E$5:$E$254,125,1000,0.95)*1000000</f>
        <v>27572.922879164289</v>
      </c>
      <c r="M16" s="2" t="str" cm="1">
        <f t="array" ref="M16">CheckVaRAdditivity(K16,L16,J16)</f>
        <v>Subadditive</v>
      </c>
    </row>
    <row r="17" spans="1:13" x14ac:dyDescent="0.3">
      <c r="A17" s="2">
        <v>149.86535599999999</v>
      </c>
      <c r="B17" s="3">
        <f t="shared" si="0"/>
        <v>-1.7231514077868625E-2</v>
      </c>
      <c r="D17" s="2">
        <v>252.42218</v>
      </c>
      <c r="E17" s="3">
        <f t="shared" si="1"/>
        <v>1.3964091480012748E-2</v>
      </c>
      <c r="G17" s="3">
        <f t="shared" si="2"/>
        <v>-1.6337112989279383E-3</v>
      </c>
      <c r="I17" s="5" t="s">
        <v>31</v>
      </c>
      <c r="J17" s="2" cm="1">
        <f t="array" ref="J17">-histSim($G$5:$G$254,125,1000,0.99)*1000000</f>
        <v>23902.148912697281</v>
      </c>
      <c r="K17" s="2" cm="1">
        <f t="array" ref="K17">-histSim($B$5:$B$254,125,1000,0.99)*1000000</f>
        <v>33140.520058372233</v>
      </c>
      <c r="L17" s="2" cm="1">
        <f t="array" ref="L17">-histSim($E$5:$E$254,125,1000,0.99)*1000000</f>
        <v>46329.743951729361</v>
      </c>
      <c r="M17" s="2" t="str" cm="1">
        <f t="array" ref="M17">CheckVaRAdditivity(K17,L17,J17)</f>
        <v>Subadditive</v>
      </c>
    </row>
    <row r="18" spans="1:13" x14ac:dyDescent="0.3">
      <c r="A18" s="2">
        <v>149.39994799999999</v>
      </c>
      <c r="B18" s="3">
        <f t="shared" si="0"/>
        <v>-3.1055075864230858E-3</v>
      </c>
      <c r="D18" s="2">
        <v>261.76226800000001</v>
      </c>
      <c r="E18" s="3">
        <f t="shared" si="1"/>
        <v>3.7001851422089803E-2</v>
      </c>
      <c r="G18" s="3">
        <f t="shared" si="2"/>
        <v>1.6948171917833359E-2</v>
      </c>
      <c r="I18" s="5" t="s">
        <v>32</v>
      </c>
      <c r="J18" s="2" cm="1">
        <f t="array" ref="J18">-histSim($G$5:$G$254,125,1000,0.995)*1000000</f>
        <v>31998.238716092546</v>
      </c>
      <c r="K18" s="2" cm="1">
        <f t="array" ref="K18">-histSim($B$5:$B$254,125,1000,0.995)*1000000</f>
        <v>45947.749749443581</v>
      </c>
      <c r="L18" s="2" cm="1">
        <f t="array" ref="L18">-histSim($E$5:$E$254,125,1000,0.995)*1000000</f>
        <v>68406.031644524192</v>
      </c>
      <c r="M18" s="2" t="str" cm="1">
        <f t="array" ref="M18">CheckVaRAdditivity(K18,L18,J18)</f>
        <v>Subadditive</v>
      </c>
    </row>
    <row r="19" spans="1:13" x14ac:dyDescent="0.3">
      <c r="A19" s="2">
        <v>148.469086</v>
      </c>
      <c r="B19" s="3">
        <f t="shared" si="0"/>
        <v>-6.2306715126834618E-3</v>
      </c>
      <c r="D19" s="2">
        <v>262.24176</v>
      </c>
      <c r="E19" s="3">
        <f t="shared" si="1"/>
        <v>1.8317842508913215E-3</v>
      </c>
      <c r="G19" s="3">
        <f t="shared" si="2"/>
        <v>-2.1994436308960703E-3</v>
      </c>
    </row>
    <row r="20" spans="1:13" x14ac:dyDescent="0.3">
      <c r="A20" s="2">
        <v>146.04501300000001</v>
      </c>
      <c r="B20" s="3">
        <f t="shared" si="0"/>
        <v>-1.632712280588831E-2</v>
      </c>
      <c r="D20" s="2">
        <v>264.43942299999998</v>
      </c>
      <c r="E20" s="3">
        <f t="shared" si="1"/>
        <v>8.3802938174300581E-3</v>
      </c>
      <c r="G20" s="3">
        <f t="shared" si="2"/>
        <v>-3.9734144942291261E-3</v>
      </c>
    </row>
    <row r="21" spans="1:13" x14ac:dyDescent="0.3">
      <c r="A21" s="2">
        <v>147.53825399999999</v>
      </c>
      <c r="B21" s="3">
        <f t="shared" si="0"/>
        <v>1.0224525776857464E-2</v>
      </c>
      <c r="D21" s="2">
        <v>272.32104500000003</v>
      </c>
      <c r="E21" s="3">
        <f t="shared" si="1"/>
        <v>2.9805018898411566E-2</v>
      </c>
      <c r="G21" s="3">
        <f t="shared" si="2"/>
        <v>2.0014772337634514E-2</v>
      </c>
    </row>
    <row r="22" spans="1:13" x14ac:dyDescent="0.3">
      <c r="A22" s="2">
        <v>151.51371800000001</v>
      </c>
      <c r="B22" s="3">
        <f t="shared" si="0"/>
        <v>2.6945310061755351E-2</v>
      </c>
      <c r="D22" s="2">
        <v>272.32104500000003</v>
      </c>
      <c r="E22" s="3">
        <f t="shared" si="1"/>
        <v>0</v>
      </c>
      <c r="G22" s="3">
        <f t="shared" si="2"/>
        <v>1.3472655030877675E-2</v>
      </c>
    </row>
    <row r="23" spans="1:13" x14ac:dyDescent="0.3">
      <c r="A23" s="2">
        <v>150.786484</v>
      </c>
      <c r="B23" s="3">
        <f t="shared" si="0"/>
        <v>-4.7997898117714327E-3</v>
      </c>
      <c r="D23" s="2">
        <v>271.10235599999999</v>
      </c>
      <c r="E23" s="3">
        <f t="shared" si="1"/>
        <v>-4.4751921394838952E-3</v>
      </c>
      <c r="G23" s="3">
        <f t="shared" si="2"/>
        <v>-4.6374909756276639E-3</v>
      </c>
    </row>
    <row r="24" spans="1:13" x14ac:dyDescent="0.3">
      <c r="A24" s="2">
        <v>151.05798300000001</v>
      </c>
      <c r="B24" s="3">
        <f t="shared" si="0"/>
        <v>1.8005526277806551E-3</v>
      </c>
      <c r="D24" s="2">
        <v>270.83264200000002</v>
      </c>
      <c r="E24" s="3">
        <f t="shared" si="1"/>
        <v>-9.948788493743851E-4</v>
      </c>
      <c r="G24" s="3">
        <f t="shared" si="2"/>
        <v>4.0283688920313501E-4</v>
      </c>
    </row>
    <row r="25" spans="1:13" x14ac:dyDescent="0.3">
      <c r="A25" s="2">
        <v>154.975281</v>
      </c>
      <c r="B25" s="3">
        <f t="shared" si="0"/>
        <v>2.5932412986078252E-2</v>
      </c>
      <c r="D25" s="2">
        <v>263.32061800000002</v>
      </c>
      <c r="E25" s="3">
        <f t="shared" si="1"/>
        <v>-2.7736774801318063E-2</v>
      </c>
      <c r="G25" s="3">
        <f t="shared" si="2"/>
        <v>-9.0218090761990527E-4</v>
      </c>
    </row>
    <row r="26" spans="1:13" x14ac:dyDescent="0.3">
      <c r="A26" s="2">
        <v>154.403198</v>
      </c>
      <c r="B26" s="3">
        <f t="shared" si="0"/>
        <v>-3.6914467669201525E-3</v>
      </c>
      <c r="D26" s="2">
        <v>264.29956099999998</v>
      </c>
      <c r="E26" s="3">
        <f t="shared" si="1"/>
        <v>3.7176845756907583E-3</v>
      </c>
      <c r="G26" s="3">
        <f t="shared" si="2"/>
        <v>1.3118904385302872E-5</v>
      </c>
    </row>
    <row r="27" spans="1:13" x14ac:dyDescent="0.3">
      <c r="A27" s="2">
        <v>154.03474399999999</v>
      </c>
      <c r="B27" s="3">
        <f t="shared" si="0"/>
        <v>-2.3863106773216835E-3</v>
      </c>
      <c r="D27" s="2">
        <v>264.66918900000002</v>
      </c>
      <c r="E27" s="3">
        <f t="shared" si="1"/>
        <v>1.3985191598560177E-3</v>
      </c>
      <c r="G27" s="3">
        <f t="shared" si="2"/>
        <v>-4.9389575873283291E-4</v>
      </c>
    </row>
    <row r="28" spans="1:13" x14ac:dyDescent="0.3">
      <c r="A28" s="2">
        <v>152.55122399999999</v>
      </c>
      <c r="B28" s="3">
        <f t="shared" si="0"/>
        <v>-9.6310738829156542E-3</v>
      </c>
      <c r="D28" s="2">
        <v>270.76269500000001</v>
      </c>
      <c r="E28" s="3">
        <f t="shared" si="1"/>
        <v>2.3023103002745026E-2</v>
      </c>
      <c r="G28" s="3">
        <f t="shared" si="2"/>
        <v>6.6960145599146859E-3</v>
      </c>
    </row>
    <row r="29" spans="1:13" x14ac:dyDescent="0.3">
      <c r="A29" s="2">
        <v>153.69537399999999</v>
      </c>
      <c r="B29" s="3">
        <f t="shared" si="0"/>
        <v>7.5001037028716092E-3</v>
      </c>
      <c r="D29" s="2">
        <v>271.03244000000001</v>
      </c>
      <c r="E29" s="3">
        <f t="shared" si="1"/>
        <v>9.9624137660470676E-4</v>
      </c>
      <c r="G29" s="3">
        <f t="shared" si="2"/>
        <v>4.2481725397381584E-3</v>
      </c>
    </row>
    <row r="30" spans="1:13" x14ac:dyDescent="0.3">
      <c r="A30" s="2">
        <v>152.31849700000001</v>
      </c>
      <c r="B30" s="3">
        <f t="shared" si="0"/>
        <v>-8.9584804289553899E-3</v>
      </c>
      <c r="D30" s="2">
        <v>273.060272</v>
      </c>
      <c r="E30" s="3">
        <f t="shared" si="1"/>
        <v>7.4818792909069828E-3</v>
      </c>
      <c r="G30" s="3">
        <f t="shared" si="2"/>
        <v>-7.3830056902420352E-4</v>
      </c>
    </row>
    <row r="31" spans="1:13" x14ac:dyDescent="0.3">
      <c r="A31" s="2">
        <v>153.47236599999999</v>
      </c>
      <c r="B31" s="3">
        <f t="shared" si="0"/>
        <v>7.5753701797621207E-3</v>
      </c>
      <c r="D31" s="2">
        <v>281.53128099999998</v>
      </c>
      <c r="E31" s="3">
        <f t="shared" si="1"/>
        <v>3.1022487958262859E-2</v>
      </c>
      <c r="G31" s="3">
        <f t="shared" si="2"/>
        <v>1.929892906901249E-2</v>
      </c>
    </row>
    <row r="32" spans="1:13" x14ac:dyDescent="0.3">
      <c r="A32" s="2">
        <v>152.48333700000001</v>
      </c>
      <c r="B32" s="3">
        <f t="shared" si="0"/>
        <v>-6.444345817930428E-3</v>
      </c>
      <c r="D32" s="2">
        <v>280.702179</v>
      </c>
      <c r="E32" s="3">
        <f t="shared" si="1"/>
        <v>-2.9449729246959866E-3</v>
      </c>
      <c r="G32" s="3">
        <f t="shared" si="2"/>
        <v>-4.6946593713132071E-3</v>
      </c>
    </row>
    <row r="33" spans="1:7" x14ac:dyDescent="0.3">
      <c r="A33" s="2">
        <v>149.01208500000001</v>
      </c>
      <c r="B33" s="3">
        <f t="shared" si="0"/>
        <v>-2.2764795605174831E-2</v>
      </c>
      <c r="D33" s="2">
        <v>284.02862499999998</v>
      </c>
      <c r="E33" s="3">
        <f t="shared" si="1"/>
        <v>1.1850445948978458E-2</v>
      </c>
      <c r="G33" s="3">
        <f t="shared" si="2"/>
        <v>-5.4571748280981868E-3</v>
      </c>
    </row>
    <row r="34" spans="1:7" x14ac:dyDescent="0.3">
      <c r="A34" s="2">
        <v>150.17564400000001</v>
      </c>
      <c r="B34" s="3">
        <f t="shared" si="0"/>
        <v>7.8084874793879445E-3</v>
      </c>
      <c r="D34" s="2">
        <v>281.341522</v>
      </c>
      <c r="E34" s="3">
        <f t="shared" si="1"/>
        <v>-9.4606767187637494E-3</v>
      </c>
      <c r="G34" s="3">
        <f t="shared" si="2"/>
        <v>-8.2609461968790243E-4</v>
      </c>
    </row>
    <row r="35" spans="1:7" x14ac:dyDescent="0.3">
      <c r="A35" s="2">
        <v>148.00367700000001</v>
      </c>
      <c r="B35" s="3">
        <f t="shared" si="0"/>
        <v>-1.4462844587501786E-2</v>
      </c>
      <c r="D35" s="2">
        <v>284.57806399999998</v>
      </c>
      <c r="E35" s="3">
        <f t="shared" si="1"/>
        <v>1.1503961366925376E-2</v>
      </c>
      <c r="G35" s="3">
        <f t="shared" si="2"/>
        <v>-1.4794416102882051E-3</v>
      </c>
    </row>
    <row r="36" spans="1:7" x14ac:dyDescent="0.3">
      <c r="A36" s="2">
        <v>146.752869</v>
      </c>
      <c r="B36" s="3">
        <f t="shared" si="0"/>
        <v>-8.4511954388809298E-3</v>
      </c>
      <c r="D36" s="2">
        <v>288.42398100000003</v>
      </c>
      <c r="E36" s="3">
        <f t="shared" si="1"/>
        <v>1.3514453454149729E-2</v>
      </c>
      <c r="G36" s="3">
        <f t="shared" si="2"/>
        <v>2.5316290076343997E-3</v>
      </c>
    </row>
    <row r="37" spans="1:7" x14ac:dyDescent="0.3">
      <c r="A37" s="2">
        <v>149.33204699999999</v>
      </c>
      <c r="B37" s="3">
        <f t="shared" si="0"/>
        <v>1.7574974973742996E-2</v>
      </c>
      <c r="D37" s="2">
        <v>278.17486600000001</v>
      </c>
      <c r="E37" s="3">
        <f t="shared" si="1"/>
        <v>-3.5534891947837086E-2</v>
      </c>
      <c r="G37" s="3">
        <f t="shared" si="2"/>
        <v>-8.9799584870470447E-3</v>
      </c>
    </row>
    <row r="38" spans="1:7" x14ac:dyDescent="0.3">
      <c r="A38" s="2">
        <v>148.86663799999999</v>
      </c>
      <c r="B38" s="3">
        <f t="shared" si="0"/>
        <v>-3.1166049709342963E-3</v>
      </c>
      <c r="D38" s="2">
        <v>286.74575800000002</v>
      </c>
      <c r="E38" s="3">
        <f t="shared" si="1"/>
        <v>3.0811166095789599E-2</v>
      </c>
      <c r="G38" s="3">
        <f t="shared" si="2"/>
        <v>1.3847280562427651E-2</v>
      </c>
    </row>
    <row r="39" spans="1:7" x14ac:dyDescent="0.3">
      <c r="A39" s="2">
        <v>150.214417</v>
      </c>
      <c r="B39" s="3">
        <f t="shared" si="0"/>
        <v>9.0536000416695291E-3</v>
      </c>
      <c r="D39" s="2">
        <v>284.98764</v>
      </c>
      <c r="E39" s="3">
        <f t="shared" si="1"/>
        <v>-6.1312781478009672E-3</v>
      </c>
      <c r="G39" s="3">
        <f t="shared" si="2"/>
        <v>1.461160946934281E-3</v>
      </c>
    </row>
    <row r="40" spans="1:7" x14ac:dyDescent="0.3">
      <c r="A40" s="2">
        <v>151.494339</v>
      </c>
      <c r="B40" s="3">
        <f t="shared" si="0"/>
        <v>8.5206335421186587E-3</v>
      </c>
      <c r="D40" s="2">
        <v>281.23159800000002</v>
      </c>
      <c r="E40" s="3">
        <f t="shared" si="1"/>
        <v>-1.3179666318160253E-2</v>
      </c>
      <c r="G40" s="3">
        <f t="shared" si="2"/>
        <v>-2.3295163880207971E-3</v>
      </c>
    </row>
    <row r="41" spans="1:7" x14ac:dyDescent="0.3">
      <c r="A41" s="2">
        <v>152.57060200000001</v>
      </c>
      <c r="B41" s="3">
        <f t="shared" si="0"/>
        <v>7.1043116667218274E-3</v>
      </c>
      <c r="D41" s="2">
        <v>286.67584199999999</v>
      </c>
      <c r="E41" s="3">
        <f t="shared" si="1"/>
        <v>1.9358578618893205E-2</v>
      </c>
      <c r="G41" s="3">
        <f t="shared" si="2"/>
        <v>1.3231445142807517E-2</v>
      </c>
    </row>
    <row r="42" spans="1:7" x14ac:dyDescent="0.3">
      <c r="A42" s="2">
        <v>152.43487500000001</v>
      </c>
      <c r="B42" s="3">
        <f t="shared" si="0"/>
        <v>-8.8960126145404348E-4</v>
      </c>
      <c r="D42" s="2">
        <v>285.71682700000002</v>
      </c>
      <c r="E42" s="3">
        <f t="shared" si="1"/>
        <v>-3.3452940900404343E-3</v>
      </c>
      <c r="G42" s="3">
        <f t="shared" si="2"/>
        <v>-2.1174476757472387E-3</v>
      </c>
    </row>
    <row r="43" spans="1:7" x14ac:dyDescent="0.3">
      <c r="A43" s="2">
        <v>151.562195</v>
      </c>
      <c r="B43" s="3">
        <f t="shared" si="0"/>
        <v>-5.7249366327751612E-3</v>
      </c>
      <c r="D43" s="2">
        <v>294.05798299999998</v>
      </c>
      <c r="E43" s="3">
        <f t="shared" si="1"/>
        <v>2.9193786335867278E-2</v>
      </c>
      <c r="G43" s="3">
        <f t="shared" si="2"/>
        <v>1.1734424851546058E-2</v>
      </c>
    </row>
    <row r="44" spans="1:7" x14ac:dyDescent="0.3">
      <c r="A44" s="2">
        <v>148.236389</v>
      </c>
      <c r="B44" s="3">
        <f t="shared" si="0"/>
        <v>-2.1943506426520151E-2</v>
      </c>
      <c r="D44" s="2">
        <v>291.68051100000002</v>
      </c>
      <c r="E44" s="3">
        <f t="shared" si="1"/>
        <v>-8.0850449144240881E-3</v>
      </c>
      <c r="G44" s="3">
        <f t="shared" si="2"/>
        <v>-1.5014275670472119E-2</v>
      </c>
    </row>
    <row r="45" spans="1:7" x14ac:dyDescent="0.3">
      <c r="A45" s="2">
        <v>149.535675</v>
      </c>
      <c r="B45" s="3">
        <f t="shared" si="0"/>
        <v>8.7649598642071287E-3</v>
      </c>
      <c r="D45" s="2">
        <v>290.22207600000002</v>
      </c>
      <c r="E45" s="3">
        <f t="shared" si="1"/>
        <v>-5.0001112347201303E-3</v>
      </c>
      <c r="G45" s="3">
        <f t="shared" si="2"/>
        <v>1.8824243147434992E-3</v>
      </c>
    </row>
    <row r="46" spans="1:7" x14ac:dyDescent="0.3">
      <c r="A46" s="2">
        <v>150.53439299999999</v>
      </c>
      <c r="B46" s="3">
        <f t="shared" si="0"/>
        <v>6.678794207469199E-3</v>
      </c>
      <c r="D46" s="2">
        <v>293.78829999999999</v>
      </c>
      <c r="E46" s="3">
        <f t="shared" si="1"/>
        <v>1.2287914307387068E-2</v>
      </c>
      <c r="G46" s="3">
        <f t="shared" si="2"/>
        <v>9.4833542574281338E-3</v>
      </c>
    </row>
    <row r="47" spans="1:7" x14ac:dyDescent="0.3">
      <c r="A47" s="2">
        <v>153.317215</v>
      </c>
      <c r="B47" s="3">
        <f t="shared" si="0"/>
        <v>1.8486287050694189E-2</v>
      </c>
      <c r="D47" s="2">
        <v>297.97384599999998</v>
      </c>
      <c r="E47" s="3">
        <f t="shared" si="1"/>
        <v>1.4246809692557491E-2</v>
      </c>
      <c r="G47" s="3">
        <f t="shared" si="2"/>
        <v>1.6366548371625839E-2</v>
      </c>
    </row>
    <row r="48" spans="1:7" x14ac:dyDescent="0.3">
      <c r="A48" s="2">
        <v>154.79106100000001</v>
      </c>
      <c r="B48" s="3">
        <f t="shared" si="0"/>
        <v>9.6130496500344657E-3</v>
      </c>
      <c r="D48" s="2">
        <v>309.01211499999999</v>
      </c>
      <c r="E48" s="3">
        <f t="shared" si="1"/>
        <v>3.7044422348396361E-2</v>
      </c>
      <c r="G48" s="3">
        <f t="shared" si="2"/>
        <v>2.3328735999215415E-2</v>
      </c>
    </row>
    <row r="49" spans="1:7" x14ac:dyDescent="0.3">
      <c r="A49" s="2">
        <v>152.725739</v>
      </c>
      <c r="B49" s="3">
        <f t="shared" si="0"/>
        <v>-1.3342643862361074E-2</v>
      </c>
      <c r="D49" s="2">
        <v>313.07781999999997</v>
      </c>
      <c r="E49" s="3">
        <f t="shared" si="1"/>
        <v>1.3157105507012176E-2</v>
      </c>
      <c r="G49" s="3">
        <f t="shared" si="2"/>
        <v>-9.2769177674449296E-5</v>
      </c>
    </row>
    <row r="50" spans="1:7" x14ac:dyDescent="0.3">
      <c r="A50" s="2">
        <v>148.91511499999999</v>
      </c>
      <c r="B50" s="3">
        <f t="shared" si="0"/>
        <v>-2.495076484782973E-2</v>
      </c>
      <c r="D50" s="2">
        <v>308.54263300000002</v>
      </c>
      <c r="E50" s="3">
        <f t="shared" si="1"/>
        <v>-1.4485813782656181E-2</v>
      </c>
      <c r="G50" s="3">
        <f t="shared" si="2"/>
        <v>-1.9718289315242957E-2</v>
      </c>
    </row>
    <row r="51" spans="1:7" x14ac:dyDescent="0.3">
      <c r="A51" s="2">
        <v>148.77937299999999</v>
      </c>
      <c r="B51" s="3">
        <f t="shared" si="0"/>
        <v>-9.1153943640975182E-4</v>
      </c>
      <c r="D51" s="2">
        <v>310.29077100000001</v>
      </c>
      <c r="E51" s="3">
        <f t="shared" si="1"/>
        <v>5.6657907628602589E-3</v>
      </c>
      <c r="G51" s="3">
        <f t="shared" si="2"/>
        <v>2.3771256632252537E-3</v>
      </c>
    </row>
    <row r="52" spans="1:7" x14ac:dyDescent="0.3">
      <c r="A52" s="2">
        <v>149.07995600000001</v>
      </c>
      <c r="B52" s="3">
        <f t="shared" si="0"/>
        <v>2.0203271054248721E-3</v>
      </c>
      <c r="D52" s="2">
        <v>311.71923800000002</v>
      </c>
      <c r="E52" s="3">
        <f t="shared" si="1"/>
        <v>4.6036399838653656E-3</v>
      </c>
      <c r="G52" s="3">
        <f t="shared" si="2"/>
        <v>3.311983544645119E-3</v>
      </c>
    </row>
    <row r="53" spans="1:7" x14ac:dyDescent="0.3">
      <c r="A53" s="2">
        <v>149.99139400000001</v>
      </c>
      <c r="B53" s="3">
        <f t="shared" si="0"/>
        <v>6.1137528106059002E-3</v>
      </c>
      <c r="D53" s="2">
        <v>315.67507899999998</v>
      </c>
      <c r="E53" s="3">
        <f t="shared" si="1"/>
        <v>1.2690397376115631E-2</v>
      </c>
      <c r="G53" s="3">
        <f t="shared" si="2"/>
        <v>9.4020750933607664E-3</v>
      </c>
    </row>
    <row r="54" spans="1:7" x14ac:dyDescent="0.3">
      <c r="A54" s="2">
        <v>151.64944499999999</v>
      </c>
      <c r="B54" s="3">
        <f t="shared" si="0"/>
        <v>1.1054307555805314E-2</v>
      </c>
      <c r="D54" s="2">
        <v>302.199341</v>
      </c>
      <c r="E54" s="3">
        <f t="shared" si="1"/>
        <v>-4.2688634283987871E-2</v>
      </c>
      <c r="G54" s="3">
        <f t="shared" si="2"/>
        <v>-1.581716336409128E-2</v>
      </c>
    </row>
    <row r="55" spans="1:7" x14ac:dyDescent="0.3">
      <c r="A55" s="2">
        <v>153.86991900000001</v>
      </c>
      <c r="B55" s="3">
        <f t="shared" si="0"/>
        <v>1.4642150520234508E-2</v>
      </c>
      <c r="D55" s="2">
        <v>293.94812000000002</v>
      </c>
      <c r="E55" s="3">
        <f t="shared" si="1"/>
        <v>-2.7303901367541322E-2</v>
      </c>
      <c r="G55" s="3">
        <f t="shared" si="2"/>
        <v>-6.3308754236534072E-3</v>
      </c>
    </row>
    <row r="56" spans="1:7" x14ac:dyDescent="0.3">
      <c r="A56" s="2">
        <v>156.90484599999999</v>
      </c>
      <c r="B56" s="3">
        <f t="shared" si="0"/>
        <v>1.9723978667981115E-2</v>
      </c>
      <c r="D56" s="2">
        <v>291.30090300000001</v>
      </c>
      <c r="E56" s="3">
        <f t="shared" si="1"/>
        <v>-9.0057286299365068E-3</v>
      </c>
      <c r="G56" s="3">
        <f t="shared" si="2"/>
        <v>5.3591250190223039E-3</v>
      </c>
    </row>
    <row r="57" spans="1:7" x14ac:dyDescent="0.3">
      <c r="A57" s="2">
        <v>157.62235999999999</v>
      </c>
      <c r="B57" s="3">
        <f t="shared" si="0"/>
        <v>4.572924407956108E-3</v>
      </c>
      <c r="D57" s="2">
        <v>294.15789799999999</v>
      </c>
      <c r="E57" s="3">
        <f t="shared" si="1"/>
        <v>9.8077107574224831E-3</v>
      </c>
      <c r="G57" s="3">
        <f t="shared" si="2"/>
        <v>7.190317582689296E-3</v>
      </c>
    </row>
    <row r="58" spans="1:7" x14ac:dyDescent="0.3">
      <c r="A58" s="2">
        <v>156.43942300000001</v>
      </c>
      <c r="B58" s="3">
        <f t="shared" si="0"/>
        <v>-7.5048806527194577E-3</v>
      </c>
      <c r="D58" s="2">
        <v>298.25357100000002</v>
      </c>
      <c r="E58" s="3">
        <f t="shared" si="1"/>
        <v>1.392338274051725E-2</v>
      </c>
      <c r="G58" s="3">
        <f t="shared" si="2"/>
        <v>3.209251043898896E-3</v>
      </c>
    </row>
    <row r="59" spans="1:7" x14ac:dyDescent="0.3">
      <c r="A59" s="2">
        <v>154.81044</v>
      </c>
      <c r="B59" s="3">
        <f t="shared" si="0"/>
        <v>-1.0412867605629083E-2</v>
      </c>
      <c r="D59" s="2">
        <v>311.37960800000002</v>
      </c>
      <c r="E59" s="3">
        <f t="shared" si="1"/>
        <v>4.4009655797214227E-2</v>
      </c>
      <c r="G59" s="3">
        <f t="shared" si="2"/>
        <v>1.6798394095792573E-2</v>
      </c>
    </row>
    <row r="60" spans="1:7" x14ac:dyDescent="0.3">
      <c r="A60" s="2">
        <v>154.044434</v>
      </c>
      <c r="B60" s="3">
        <f t="shared" si="0"/>
        <v>-4.9480254690833798E-3</v>
      </c>
      <c r="D60" s="2">
        <v>325.13504</v>
      </c>
      <c r="E60" s="3">
        <f t="shared" si="1"/>
        <v>4.4175763751362881E-2</v>
      </c>
      <c r="G60" s="3">
        <f t="shared" si="2"/>
        <v>1.9613869141139752E-2</v>
      </c>
    </row>
    <row r="61" spans="1:7" x14ac:dyDescent="0.3">
      <c r="A61" s="2">
        <v>158.68895000000001</v>
      </c>
      <c r="B61" s="3">
        <f t="shared" si="0"/>
        <v>3.0150495408357372E-2</v>
      </c>
      <c r="D61" s="2">
        <v>318.26232900000002</v>
      </c>
      <c r="E61" s="3">
        <f t="shared" si="1"/>
        <v>-2.1138020066985033E-2</v>
      </c>
      <c r="G61" s="3">
        <f t="shared" si="2"/>
        <v>4.5062376706861695E-3</v>
      </c>
    </row>
    <row r="62" spans="1:7" x14ac:dyDescent="0.3">
      <c r="A62" s="2">
        <v>157.37025499999999</v>
      </c>
      <c r="B62" s="3">
        <f t="shared" si="0"/>
        <v>-8.3099358840046482E-3</v>
      </c>
      <c r="D62" s="2">
        <v>322.36795000000001</v>
      </c>
      <c r="E62" s="3">
        <f t="shared" si="1"/>
        <v>1.2900116117732504E-2</v>
      </c>
      <c r="G62" s="3">
        <f t="shared" si="2"/>
        <v>2.2950901168639279E-3</v>
      </c>
    </row>
    <row r="63" spans="1:7" x14ac:dyDescent="0.3">
      <c r="A63" s="2">
        <v>154.878311</v>
      </c>
      <c r="B63" s="3">
        <f t="shared" si="0"/>
        <v>-1.5834911114555858E-2</v>
      </c>
      <c r="D63" s="2">
        <v>313.97686800000002</v>
      </c>
      <c r="E63" s="3">
        <f t="shared" si="1"/>
        <v>-2.6029516892110343E-2</v>
      </c>
      <c r="G63" s="3">
        <f t="shared" si="2"/>
        <v>-2.0932214003333102E-2</v>
      </c>
    </row>
    <row r="64" spans="1:7" x14ac:dyDescent="0.3">
      <c r="A64" s="2">
        <v>154.82012900000001</v>
      </c>
      <c r="B64" s="3">
        <f t="shared" si="0"/>
        <v>-3.7566267106301258E-4</v>
      </c>
      <c r="D64" s="2">
        <v>312.85806300000002</v>
      </c>
      <c r="E64" s="3">
        <f t="shared" si="1"/>
        <v>-3.5633357550404281E-3</v>
      </c>
      <c r="G64" s="3">
        <f t="shared" si="2"/>
        <v>-1.9694992130517204E-3</v>
      </c>
    </row>
    <row r="65" spans="1:7" x14ac:dyDescent="0.3">
      <c r="A65" s="2">
        <v>154.471069</v>
      </c>
      <c r="B65" s="3">
        <f t="shared" si="0"/>
        <v>-2.2546163877696329E-3</v>
      </c>
      <c r="D65" s="2">
        <v>310.400665</v>
      </c>
      <c r="E65" s="3">
        <f t="shared" si="1"/>
        <v>-7.8546737023044589E-3</v>
      </c>
      <c r="G65" s="3">
        <f t="shared" si="2"/>
        <v>-5.0546450450370461E-3</v>
      </c>
    </row>
    <row r="66" spans="1:7" x14ac:dyDescent="0.3">
      <c r="A66" s="2">
        <v>155.03346300000001</v>
      </c>
      <c r="B66" s="3">
        <f t="shared" si="0"/>
        <v>3.6407723701323762E-3</v>
      </c>
      <c r="D66" s="2">
        <v>316.22448700000001</v>
      </c>
      <c r="E66" s="3">
        <f t="shared" si="1"/>
        <v>1.8762272948094384E-2</v>
      </c>
      <c r="G66" s="3">
        <f t="shared" si="2"/>
        <v>1.120152265911338E-2</v>
      </c>
    </row>
    <row r="67" spans="1:7" x14ac:dyDescent="0.3">
      <c r="A67" s="2">
        <v>154.800735</v>
      </c>
      <c r="B67" s="3">
        <f t="shared" si="0"/>
        <v>-1.5011468846568221E-3</v>
      </c>
      <c r="D67" s="2">
        <v>312.30865499999999</v>
      </c>
      <c r="E67" s="3">
        <f t="shared" si="1"/>
        <v>-1.2383076456694585E-2</v>
      </c>
      <c r="G67" s="3">
        <f t="shared" si="2"/>
        <v>-6.9421116706757033E-3</v>
      </c>
    </row>
    <row r="68" spans="1:7" x14ac:dyDescent="0.3">
      <c r="A68" s="2">
        <v>155.00436400000001</v>
      </c>
      <c r="B68" s="3">
        <f t="shared" si="0"/>
        <v>1.3154265708105746E-3</v>
      </c>
      <c r="D68" s="2">
        <v>304.886505</v>
      </c>
      <c r="E68" s="3">
        <f t="shared" si="1"/>
        <v>-2.3765431668872541E-2</v>
      </c>
      <c r="G68" s="3">
        <f t="shared" si="2"/>
        <v>-1.1225002549030983E-2</v>
      </c>
    </row>
    <row r="69" spans="1:7" x14ac:dyDescent="0.3">
      <c r="A69" s="2">
        <v>155.94490099999999</v>
      </c>
      <c r="B69" s="3">
        <f t="shared" si="0"/>
        <v>6.0678098069547109E-3</v>
      </c>
      <c r="D69" s="2">
        <v>305.415955</v>
      </c>
      <c r="E69" s="3">
        <f t="shared" si="1"/>
        <v>1.7365478344146361E-3</v>
      </c>
      <c r="G69" s="3">
        <f t="shared" si="2"/>
        <v>3.9021788206846735E-3</v>
      </c>
    </row>
    <row r="70" spans="1:7" x14ac:dyDescent="0.3">
      <c r="A70" s="2">
        <v>159.164063</v>
      </c>
      <c r="B70" s="3">
        <f t="shared" ref="B70:B133" si="6">(A70-A69)/A69</f>
        <v>2.0642944907830054E-2</v>
      </c>
      <c r="D70" s="2">
        <v>301.320313</v>
      </c>
      <c r="E70" s="3">
        <f t="shared" ref="E70:E133" si="7">(D70-D69)/D69</f>
        <v>-1.3410045981389538E-2</v>
      </c>
      <c r="G70" s="3">
        <f t="shared" ref="G70:G133" si="8">(B70+E70)/2</f>
        <v>3.616449463220258E-3</v>
      </c>
    </row>
    <row r="71" spans="1:7" x14ac:dyDescent="0.3">
      <c r="A71" s="2">
        <v>159.04771400000001</v>
      </c>
      <c r="B71" s="3">
        <f t="shared" si="6"/>
        <v>-7.3100043946468859E-4</v>
      </c>
      <c r="D71" s="2">
        <v>305.86547899999999</v>
      </c>
      <c r="E71" s="3">
        <f t="shared" si="7"/>
        <v>1.5084167259576672E-2</v>
      </c>
      <c r="G71" s="3">
        <f t="shared" si="8"/>
        <v>7.1765834100559912E-3</v>
      </c>
    </row>
    <row r="72" spans="1:7" x14ac:dyDescent="0.3">
      <c r="A72" s="2">
        <v>154.403198</v>
      </c>
      <c r="B72" s="3">
        <f t="shared" si="6"/>
        <v>-2.920202927280055E-2</v>
      </c>
      <c r="D72" s="2">
        <v>301.629974</v>
      </c>
      <c r="E72" s="3">
        <f t="shared" si="7"/>
        <v>-1.3847607169817255E-2</v>
      </c>
      <c r="G72" s="3">
        <f t="shared" si="8"/>
        <v>-2.1524818221308903E-2</v>
      </c>
    </row>
    <row r="73" spans="1:7" x14ac:dyDescent="0.3">
      <c r="A73" s="2">
        <v>153.81173699999999</v>
      </c>
      <c r="B73" s="3">
        <f t="shared" si="6"/>
        <v>-3.8306266169435789E-3</v>
      </c>
      <c r="D73" s="2">
        <v>293.97808800000001</v>
      </c>
      <c r="E73" s="3">
        <f t="shared" si="7"/>
        <v>-2.5368453600702133E-2</v>
      </c>
      <c r="G73" s="3">
        <f t="shared" si="8"/>
        <v>-1.4599540108822856E-2</v>
      </c>
    </row>
    <row r="74" spans="1:7" x14ac:dyDescent="0.3">
      <c r="A74" s="2">
        <v>156.38635300000001</v>
      </c>
      <c r="B74" s="3">
        <f t="shared" si="6"/>
        <v>1.6738748617083885E-2</v>
      </c>
      <c r="D74" s="2">
        <v>284.78784200000001</v>
      </c>
      <c r="E74" s="3">
        <f t="shared" si="7"/>
        <v>-3.1261670087465845E-2</v>
      </c>
      <c r="G74" s="3">
        <f t="shared" si="8"/>
        <v>-7.2614607351909801E-3</v>
      </c>
    </row>
    <row r="75" spans="1:7" x14ac:dyDescent="0.3">
      <c r="A75" s="2">
        <v>157.51213100000001</v>
      </c>
      <c r="B75" s="3">
        <f t="shared" si="6"/>
        <v>7.1986971906685283E-3</v>
      </c>
      <c r="D75" s="2">
        <v>282.94979899999998</v>
      </c>
      <c r="E75" s="3">
        <f t="shared" si="7"/>
        <v>-6.454078190599258E-3</v>
      </c>
      <c r="G75" s="3">
        <f t="shared" si="8"/>
        <v>3.7230950003463515E-4</v>
      </c>
    </row>
    <row r="76" spans="1:7" x14ac:dyDescent="0.3">
      <c r="A76" s="2">
        <v>156.98350500000001</v>
      </c>
      <c r="B76" s="3">
        <f t="shared" si="6"/>
        <v>-3.3560970615019023E-3</v>
      </c>
      <c r="D76" s="2">
        <v>289.59274299999998</v>
      </c>
      <c r="E76" s="3">
        <f t="shared" si="7"/>
        <v>2.347746499017658E-2</v>
      </c>
      <c r="G76" s="3">
        <f t="shared" si="8"/>
        <v>1.0060683964337338E-2</v>
      </c>
    </row>
    <row r="77" spans="1:7" x14ac:dyDescent="0.3">
      <c r="A77" s="2">
        <v>155.691284</v>
      </c>
      <c r="B77" s="3">
        <f t="shared" si="6"/>
        <v>-8.2315718457172428E-3</v>
      </c>
      <c r="D77" s="2">
        <v>287.29519699999997</v>
      </c>
      <c r="E77" s="3">
        <f t="shared" si="7"/>
        <v>-7.9337140019424147E-3</v>
      </c>
      <c r="G77" s="3">
        <f t="shared" si="8"/>
        <v>-8.0826429238298296E-3</v>
      </c>
    </row>
    <row r="78" spans="1:7" x14ac:dyDescent="0.3">
      <c r="A78" s="2">
        <v>155.89686599999999</v>
      </c>
      <c r="B78" s="3">
        <f t="shared" si="6"/>
        <v>1.3204464291012759E-3</v>
      </c>
      <c r="D78" s="2">
        <v>293.92813100000001</v>
      </c>
      <c r="E78" s="3">
        <f t="shared" si="7"/>
        <v>2.3087521369179156E-2</v>
      </c>
      <c r="G78" s="3">
        <f t="shared" si="8"/>
        <v>1.2203983899140215E-2</v>
      </c>
    </row>
    <row r="79" spans="1:7" x14ac:dyDescent="0.3">
      <c r="A79" s="2">
        <v>154.61445599999999</v>
      </c>
      <c r="B79" s="3">
        <f t="shared" si="6"/>
        <v>-8.2260152683248863E-3</v>
      </c>
      <c r="D79" s="2">
        <v>286.44607500000001</v>
      </c>
      <c r="E79" s="3">
        <f t="shared" si="7"/>
        <v>-2.5455392699380651E-2</v>
      </c>
      <c r="G79" s="3">
        <f t="shared" si="8"/>
        <v>-1.6840703983852769E-2</v>
      </c>
    </row>
    <row r="80" spans="1:7" x14ac:dyDescent="0.3">
      <c r="A80" s="2">
        <v>155.76960800000001</v>
      </c>
      <c r="B80" s="3">
        <f t="shared" si="6"/>
        <v>7.4711772099758603E-3</v>
      </c>
      <c r="D80" s="2">
        <v>285.19738799999999</v>
      </c>
      <c r="E80" s="3">
        <f t="shared" si="7"/>
        <v>-4.3592393437404163E-3</v>
      </c>
      <c r="G80" s="3">
        <f t="shared" si="8"/>
        <v>1.555968933117722E-3</v>
      </c>
    </row>
    <row r="81" spans="1:7" x14ac:dyDescent="0.3">
      <c r="A81" s="2">
        <v>156.83667</v>
      </c>
      <c r="B81" s="3">
        <f t="shared" si="6"/>
        <v>6.8502579784369289E-3</v>
      </c>
      <c r="D81" s="2">
        <v>289.95236199999999</v>
      </c>
      <c r="E81" s="3">
        <f t="shared" si="7"/>
        <v>1.6672572050344319E-2</v>
      </c>
      <c r="G81" s="3">
        <f t="shared" si="8"/>
        <v>1.1761415014390625E-2</v>
      </c>
    </row>
    <row r="82" spans="1:7" x14ac:dyDescent="0.3">
      <c r="A82" s="2">
        <v>156.59193400000001</v>
      </c>
      <c r="B82" s="3">
        <f t="shared" si="6"/>
        <v>-1.5604513918842384E-3</v>
      </c>
      <c r="D82" s="2">
        <v>297.67416400000002</v>
      </c>
      <c r="E82" s="3">
        <f t="shared" si="7"/>
        <v>2.663127814078654E-2</v>
      </c>
      <c r="G82" s="3">
        <f t="shared" si="8"/>
        <v>1.2535413374451151E-2</v>
      </c>
    </row>
    <row r="83" spans="1:7" x14ac:dyDescent="0.3">
      <c r="A83" s="2">
        <v>156.80729700000001</v>
      </c>
      <c r="B83" s="3">
        <f t="shared" si="6"/>
        <v>1.3753134947550774E-3</v>
      </c>
      <c r="D83" s="2">
        <v>294.78723100000002</v>
      </c>
      <c r="E83" s="3">
        <f t="shared" si="7"/>
        <v>-9.698298841951225E-3</v>
      </c>
      <c r="G83" s="3">
        <f t="shared" si="8"/>
        <v>-4.1614926735980742E-3</v>
      </c>
    </row>
    <row r="84" spans="1:7" x14ac:dyDescent="0.3">
      <c r="A84" s="2">
        <v>157.707932</v>
      </c>
      <c r="B84" s="3">
        <f t="shared" si="6"/>
        <v>5.743578374417066E-3</v>
      </c>
      <c r="D84" s="2">
        <v>295.57641599999999</v>
      </c>
      <c r="E84" s="3">
        <f t="shared" si="7"/>
        <v>2.6771342751951656E-3</v>
      </c>
      <c r="G84" s="3">
        <f t="shared" si="8"/>
        <v>4.2103563248061162E-3</v>
      </c>
    </row>
    <row r="85" spans="1:7" x14ac:dyDescent="0.3">
      <c r="A85" s="2">
        <v>160.84054599999999</v>
      </c>
      <c r="B85" s="3">
        <f t="shared" si="6"/>
        <v>1.9863388989210699E-2</v>
      </c>
      <c r="D85" s="2">
        <v>296.06588699999998</v>
      </c>
      <c r="E85" s="3">
        <f t="shared" si="7"/>
        <v>1.6559880068373941E-3</v>
      </c>
      <c r="G85" s="3">
        <f t="shared" si="8"/>
        <v>1.0759688498024046E-2</v>
      </c>
    </row>
    <row r="86" spans="1:7" x14ac:dyDescent="0.3">
      <c r="A86" s="2">
        <v>162.955063</v>
      </c>
      <c r="B86" s="3">
        <f t="shared" si="6"/>
        <v>1.3146666388461566E-2</v>
      </c>
      <c r="D86" s="2">
        <v>299.83187900000001</v>
      </c>
      <c r="E86" s="3">
        <f t="shared" si="7"/>
        <v>1.2720114560175723E-2</v>
      </c>
      <c r="G86" s="3">
        <f t="shared" si="8"/>
        <v>1.2933390474318645E-2</v>
      </c>
    </row>
    <row r="87" spans="1:7" x14ac:dyDescent="0.3">
      <c r="A87" s="2">
        <v>163.12148999999999</v>
      </c>
      <c r="B87" s="3">
        <f t="shared" si="6"/>
        <v>1.0213061008113554E-3</v>
      </c>
      <c r="D87" s="2">
        <v>298.852936</v>
      </c>
      <c r="E87" s="3">
        <f t="shared" si="7"/>
        <v>-3.2649730351055005E-3</v>
      </c>
      <c r="G87" s="3">
        <f t="shared" si="8"/>
        <v>-1.1218334671470726E-3</v>
      </c>
    </row>
    <row r="88" spans="1:7" x14ac:dyDescent="0.3">
      <c r="A88" s="2">
        <v>163.131271</v>
      </c>
      <c r="B88" s="3">
        <f t="shared" si="6"/>
        <v>5.9961443461580782E-5</v>
      </c>
      <c r="D88" s="2">
        <v>298.353455</v>
      </c>
      <c r="E88" s="3">
        <f t="shared" si="7"/>
        <v>-1.6713270636899581E-3</v>
      </c>
      <c r="G88" s="3">
        <f t="shared" si="8"/>
        <v>-8.0568281011418868E-4</v>
      </c>
    </row>
    <row r="89" spans="1:7" x14ac:dyDescent="0.3">
      <c r="A89" s="2">
        <v>163.68928500000001</v>
      </c>
      <c r="B89" s="3">
        <f t="shared" si="6"/>
        <v>3.4206439794122259E-3</v>
      </c>
      <c r="D89" s="2">
        <v>297.57427999999999</v>
      </c>
      <c r="E89" s="3">
        <f t="shared" si="7"/>
        <v>-2.6115836332447004E-3</v>
      </c>
      <c r="G89" s="3">
        <f t="shared" si="8"/>
        <v>4.0453017308376277E-4</v>
      </c>
    </row>
    <row r="90" spans="1:7" x14ac:dyDescent="0.3">
      <c r="A90" s="2">
        <v>160.311905</v>
      </c>
      <c r="B90" s="3">
        <f t="shared" si="6"/>
        <v>-2.0632871601827914E-2</v>
      </c>
      <c r="D90" s="2">
        <v>307.23400900000001</v>
      </c>
      <c r="E90" s="3">
        <f t="shared" si="7"/>
        <v>3.2461572283733753E-2</v>
      </c>
      <c r="G90" s="3">
        <f t="shared" si="8"/>
        <v>5.9143503409529192E-3</v>
      </c>
    </row>
    <row r="91" spans="1:7" x14ac:dyDescent="0.3">
      <c r="A91" s="2">
        <v>163.29769899999999</v>
      </c>
      <c r="B91" s="3">
        <f t="shared" si="6"/>
        <v>1.8624904993799422E-2</v>
      </c>
      <c r="D91" s="2">
        <v>301.34027099999997</v>
      </c>
      <c r="E91" s="3">
        <f t="shared" si="7"/>
        <v>-1.9183221347087397E-2</v>
      </c>
      <c r="G91" s="3">
        <f t="shared" si="8"/>
        <v>-2.7915817664398747E-4</v>
      </c>
    </row>
    <row r="92" spans="1:7" x14ac:dyDescent="0.3">
      <c r="A92" s="2">
        <v>162.70053100000001</v>
      </c>
      <c r="B92" s="3">
        <f t="shared" si="6"/>
        <v>-3.6569284420840623E-3</v>
      </c>
      <c r="D92" s="2">
        <v>304.73666400000002</v>
      </c>
      <c r="E92" s="3">
        <f t="shared" si="7"/>
        <v>1.127095621414652E-2</v>
      </c>
      <c r="G92" s="3">
        <f t="shared" si="8"/>
        <v>3.807013886031229E-3</v>
      </c>
    </row>
    <row r="93" spans="1:7" x14ac:dyDescent="0.3">
      <c r="A93" s="2">
        <v>163.70884699999999</v>
      </c>
      <c r="B93" s="3">
        <f t="shared" si="6"/>
        <v>6.1973737504272758E-3</v>
      </c>
      <c r="D93" s="2">
        <v>311.38961799999998</v>
      </c>
      <c r="E93" s="3">
        <f t="shared" si="7"/>
        <v>2.1831813450579631E-2</v>
      </c>
      <c r="G93" s="3">
        <f t="shared" si="8"/>
        <v>1.4014593600503453E-2</v>
      </c>
    </row>
    <row r="94" spans="1:7" x14ac:dyDescent="0.3">
      <c r="A94" s="2">
        <v>162.99423200000001</v>
      </c>
      <c r="B94" s="3">
        <f t="shared" si="6"/>
        <v>-4.3651581029092506E-3</v>
      </c>
      <c r="D94" s="2">
        <v>299.99169899999998</v>
      </c>
      <c r="E94" s="3">
        <f t="shared" si="7"/>
        <v>-3.6603400823723035E-2</v>
      </c>
      <c r="G94" s="3">
        <f t="shared" si="8"/>
        <v>-2.0484279463316143E-2</v>
      </c>
    </row>
    <row r="95" spans="1:7" x14ac:dyDescent="0.3">
      <c r="A95" s="2">
        <v>163.699051</v>
      </c>
      <c r="B95" s="3">
        <f t="shared" si="6"/>
        <v>4.3241959629588995E-3</v>
      </c>
      <c r="D95" s="2">
        <v>302.229309</v>
      </c>
      <c r="E95" s="3">
        <f t="shared" si="7"/>
        <v>7.4589063879398143E-3</v>
      </c>
      <c r="G95" s="3">
        <f t="shared" si="8"/>
        <v>5.8915511754493565E-3</v>
      </c>
    </row>
    <row r="96" spans="1:7" x14ac:dyDescent="0.3">
      <c r="A96" s="2">
        <v>163.67948899999999</v>
      </c>
      <c r="B96" s="3">
        <f t="shared" si="6"/>
        <v>-1.1949977645262971E-4</v>
      </c>
      <c r="D96" s="2">
        <v>304.74667399999998</v>
      </c>
      <c r="E96" s="3">
        <f t="shared" si="7"/>
        <v>8.3293212307214842E-3</v>
      </c>
      <c r="G96" s="3">
        <f t="shared" si="8"/>
        <v>4.1049107271344271E-3</v>
      </c>
    </row>
    <row r="97" spans="1:7" x14ac:dyDescent="0.3">
      <c r="A97" s="2">
        <v>163.18022199999999</v>
      </c>
      <c r="B97" s="3">
        <f t="shared" si="6"/>
        <v>-3.0502722305053337E-3</v>
      </c>
      <c r="D97" s="2">
        <v>299.35238600000002</v>
      </c>
      <c r="E97" s="3">
        <f t="shared" si="7"/>
        <v>-1.7700892118678088E-2</v>
      </c>
      <c r="G97" s="3">
        <f t="shared" si="8"/>
        <v>-1.037558217459171E-2</v>
      </c>
    </row>
    <row r="98" spans="1:7" x14ac:dyDescent="0.3">
      <c r="A98" s="2">
        <v>161.71180699999999</v>
      </c>
      <c r="B98" s="3">
        <f t="shared" si="6"/>
        <v>-8.9987314761711332E-3</v>
      </c>
      <c r="D98" s="2">
        <v>295.41656499999999</v>
      </c>
      <c r="E98" s="3">
        <f t="shared" si="7"/>
        <v>-1.3147785633484252E-2</v>
      </c>
      <c r="G98" s="3">
        <f t="shared" si="8"/>
        <v>-1.1073258554827693E-2</v>
      </c>
    </row>
    <row r="99" spans="1:7" x14ac:dyDescent="0.3">
      <c r="A99" s="2">
        <v>162.778854</v>
      </c>
      <c r="B99" s="3">
        <f t="shared" si="6"/>
        <v>6.5984483124352346E-3</v>
      </c>
      <c r="D99" s="2">
        <v>298.76299999999998</v>
      </c>
      <c r="E99" s="3">
        <f t="shared" si="7"/>
        <v>1.1327851571221084E-2</v>
      </c>
      <c r="G99" s="3">
        <f t="shared" si="8"/>
        <v>8.963149941828159E-3</v>
      </c>
    </row>
    <row r="100" spans="1:7" x14ac:dyDescent="0.3">
      <c r="A100" s="2">
        <v>165.15768399999999</v>
      </c>
      <c r="B100" s="3">
        <f t="shared" si="6"/>
        <v>1.4613876075082785E-2</v>
      </c>
      <c r="D100" s="2">
        <v>300.51113900000001</v>
      </c>
      <c r="E100" s="3">
        <f t="shared" si="7"/>
        <v>5.8512566817177413E-3</v>
      </c>
      <c r="G100" s="3">
        <f t="shared" si="8"/>
        <v>1.0232566378400263E-2</v>
      </c>
    </row>
    <row r="101" spans="1:7" x14ac:dyDescent="0.3">
      <c r="A101" s="2">
        <v>164.26684599999999</v>
      </c>
      <c r="B101" s="3">
        <f t="shared" si="6"/>
        <v>-5.3938634789768682E-3</v>
      </c>
      <c r="D101" s="2">
        <v>298.64312699999999</v>
      </c>
      <c r="E101" s="3">
        <f t="shared" si="7"/>
        <v>-6.2161156695094135E-3</v>
      </c>
      <c r="G101" s="3">
        <f t="shared" si="8"/>
        <v>-5.8049895742431409E-3</v>
      </c>
    </row>
    <row r="102" spans="1:7" x14ac:dyDescent="0.3">
      <c r="A102" s="2">
        <v>167.438614</v>
      </c>
      <c r="B102" s="3">
        <f t="shared" si="6"/>
        <v>1.9308631517768439E-2</v>
      </c>
      <c r="D102" s="2">
        <v>297.42440800000003</v>
      </c>
      <c r="E102" s="3">
        <f t="shared" si="7"/>
        <v>-4.0808540020409196E-3</v>
      </c>
      <c r="G102" s="3">
        <f t="shared" si="8"/>
        <v>7.6138887578637597E-3</v>
      </c>
    </row>
    <row r="103" spans="1:7" x14ac:dyDescent="0.3">
      <c r="A103" s="2">
        <v>166.998108</v>
      </c>
      <c r="B103" s="3">
        <f t="shared" si="6"/>
        <v>-2.6308507307639274E-3</v>
      </c>
      <c r="D103" s="2">
        <v>303.63781699999998</v>
      </c>
      <c r="E103" s="3">
        <f t="shared" si="7"/>
        <v>2.0890716541326883E-2</v>
      </c>
      <c r="G103" s="3">
        <f t="shared" si="8"/>
        <v>9.1299329052814786E-3</v>
      </c>
    </row>
    <row r="104" spans="1:7" x14ac:dyDescent="0.3">
      <c r="A104" s="2">
        <v>165.06958</v>
      </c>
      <c r="B104" s="3">
        <f t="shared" si="6"/>
        <v>-1.1548202689817301E-2</v>
      </c>
      <c r="D104" s="2">
        <v>299.89181500000001</v>
      </c>
      <c r="E104" s="3">
        <f t="shared" si="7"/>
        <v>-1.2337073283595554E-2</v>
      </c>
      <c r="G104" s="3">
        <f t="shared" si="8"/>
        <v>-1.1942637986706427E-2</v>
      </c>
    </row>
    <row r="105" spans="1:7" x14ac:dyDescent="0.3">
      <c r="A105" s="2">
        <v>163.03338600000001</v>
      </c>
      <c r="B105" s="3">
        <f t="shared" si="6"/>
        <v>-1.2335367909702046E-2</v>
      </c>
      <c r="D105" s="2">
        <v>306.49481200000002</v>
      </c>
      <c r="E105" s="3">
        <f t="shared" si="7"/>
        <v>2.2017930032535285E-2</v>
      </c>
      <c r="G105" s="3">
        <f t="shared" si="8"/>
        <v>4.8412810614166194E-3</v>
      </c>
    </row>
    <row r="106" spans="1:7" x14ac:dyDescent="0.3">
      <c r="A106" s="2">
        <v>163.41516100000001</v>
      </c>
      <c r="B106" s="3">
        <f t="shared" si="6"/>
        <v>2.3416982825836949E-3</v>
      </c>
      <c r="D106" s="2">
        <v>300.62103300000001</v>
      </c>
      <c r="E106" s="3">
        <f t="shared" si="7"/>
        <v>-1.916436680174545E-2</v>
      </c>
      <c r="G106" s="3">
        <f t="shared" si="8"/>
        <v>-8.4113342595808771E-3</v>
      </c>
    </row>
    <row r="107" spans="1:7" x14ac:dyDescent="0.3">
      <c r="A107" s="2">
        <v>159.607056</v>
      </c>
      <c r="B107" s="3">
        <f t="shared" si="6"/>
        <v>-2.3303253974091252E-2</v>
      </c>
      <c r="D107" s="2">
        <v>305.25610399999999</v>
      </c>
      <c r="E107" s="3">
        <f t="shared" si="7"/>
        <v>1.5418319050217561E-2</v>
      </c>
      <c r="G107" s="3">
        <f t="shared" si="8"/>
        <v>-3.9424674619368454E-3</v>
      </c>
    </row>
    <row r="108" spans="1:7" x14ac:dyDescent="0.3">
      <c r="A108" s="2">
        <v>160.448959</v>
      </c>
      <c r="B108" s="3">
        <f t="shared" si="6"/>
        <v>5.274848249816738E-3</v>
      </c>
      <c r="D108" s="2">
        <v>304.46697999999998</v>
      </c>
      <c r="E108" s="3">
        <f t="shared" si="7"/>
        <v>-2.5851211152194201E-3</v>
      </c>
      <c r="G108" s="3">
        <f t="shared" si="8"/>
        <v>1.344863567298659E-3</v>
      </c>
    </row>
    <row r="109" spans="1:7" x14ac:dyDescent="0.3">
      <c r="A109" s="2">
        <v>158.81411700000001</v>
      </c>
      <c r="B109" s="3">
        <f t="shared" si="6"/>
        <v>-1.0189171747758064E-2</v>
      </c>
      <c r="D109" s="2">
        <v>315.09567299999998</v>
      </c>
      <c r="E109" s="3">
        <f t="shared" si="7"/>
        <v>3.4909181284617459E-2</v>
      </c>
      <c r="G109" s="3">
        <f t="shared" si="8"/>
        <v>1.2360004768429697E-2</v>
      </c>
    </row>
    <row r="110" spans="1:7" x14ac:dyDescent="0.3">
      <c r="A110" s="2">
        <v>163.20959500000001</v>
      </c>
      <c r="B110" s="3">
        <f t="shared" si="6"/>
        <v>2.7676872075547268E-2</v>
      </c>
      <c r="D110" s="2">
        <v>318.02255200000002</v>
      </c>
      <c r="E110" s="3">
        <f t="shared" si="7"/>
        <v>9.2888581177058647E-3</v>
      </c>
      <c r="G110" s="3">
        <f t="shared" si="8"/>
        <v>1.8482865096626565E-2</v>
      </c>
    </row>
    <row r="111" spans="1:7" x14ac:dyDescent="0.3">
      <c r="A111" s="2">
        <v>163.03338600000001</v>
      </c>
      <c r="B111" s="3">
        <f t="shared" si="6"/>
        <v>-1.0796485341440867E-3</v>
      </c>
      <c r="D111" s="2">
        <v>321.49887100000001</v>
      </c>
      <c r="E111" s="3">
        <f t="shared" si="7"/>
        <v>1.0931045544216592E-2</v>
      </c>
      <c r="G111" s="3">
        <f t="shared" si="8"/>
        <v>4.9256985050362525E-3</v>
      </c>
    </row>
    <row r="112" spans="1:7" x14ac:dyDescent="0.3">
      <c r="A112" s="2">
        <v>157.707932</v>
      </c>
      <c r="B112" s="3">
        <f t="shared" si="6"/>
        <v>-3.2664806458721329E-2</v>
      </c>
      <c r="D112" s="2">
        <v>327.47256499999997</v>
      </c>
      <c r="E112" s="3">
        <f t="shared" si="7"/>
        <v>1.858076198345333E-2</v>
      </c>
      <c r="G112" s="3">
        <f t="shared" si="8"/>
        <v>-7.0420222376339995E-3</v>
      </c>
    </row>
    <row r="113" spans="1:7" x14ac:dyDescent="0.3">
      <c r="A113" s="2">
        <v>157.83519000000001</v>
      </c>
      <c r="B113" s="3">
        <f t="shared" si="6"/>
        <v>8.0692200060052696E-4</v>
      </c>
      <c r="D113" s="2">
        <v>323.81643700000001</v>
      </c>
      <c r="E113" s="3">
        <f t="shared" si="7"/>
        <v>-1.1164684895053628E-2</v>
      </c>
      <c r="G113" s="3">
        <f t="shared" si="8"/>
        <v>-5.1788814472265507E-3</v>
      </c>
    </row>
    <row r="114" spans="1:7" x14ac:dyDescent="0.3">
      <c r="A114" s="2">
        <v>160.605591</v>
      </c>
      <c r="B114" s="3">
        <f t="shared" si="6"/>
        <v>1.7552492571523449E-2</v>
      </c>
      <c r="D114" s="2">
        <v>314.35647599999999</v>
      </c>
      <c r="E114" s="3">
        <f t="shared" si="7"/>
        <v>-2.9213961735981984E-2</v>
      </c>
      <c r="G114" s="3">
        <f t="shared" si="8"/>
        <v>-5.8307345822292671E-3</v>
      </c>
    </row>
    <row r="115" spans="1:7" x14ac:dyDescent="0.3">
      <c r="A115" s="2">
        <v>161.917374</v>
      </c>
      <c r="B115" s="3">
        <f t="shared" si="6"/>
        <v>8.1677293538304722E-3</v>
      </c>
      <c r="D115" s="2">
        <v>320.80960099999999</v>
      </c>
      <c r="E115" s="3">
        <f t="shared" si="7"/>
        <v>2.0528048545753515E-2</v>
      </c>
      <c r="G115" s="3">
        <f t="shared" si="8"/>
        <v>1.4347888949791995E-2</v>
      </c>
    </row>
    <row r="116" spans="1:7" x14ac:dyDescent="0.3">
      <c r="A116" s="2">
        <v>164.06127900000001</v>
      </c>
      <c r="B116" s="3">
        <f t="shared" si="6"/>
        <v>1.3240734746599942E-2</v>
      </c>
      <c r="D116" s="2">
        <v>323.656586</v>
      </c>
      <c r="E116" s="3">
        <f t="shared" si="7"/>
        <v>8.8743759261744101E-3</v>
      </c>
      <c r="G116" s="3">
        <f t="shared" si="8"/>
        <v>1.1057555336387175E-2</v>
      </c>
    </row>
    <row r="117" spans="1:7" x14ac:dyDescent="0.3">
      <c r="A117" s="2">
        <v>165.36326600000001</v>
      </c>
      <c r="B117" s="3">
        <f t="shared" si="6"/>
        <v>7.9359798237340125E-3</v>
      </c>
      <c r="D117" s="2">
        <v>316.63403299999999</v>
      </c>
      <c r="E117" s="3">
        <f t="shared" si="7"/>
        <v>-2.1697543951724241E-2</v>
      </c>
      <c r="G117" s="3">
        <f t="shared" si="8"/>
        <v>-6.8807820639951141E-3</v>
      </c>
    </row>
    <row r="118" spans="1:7" x14ac:dyDescent="0.3">
      <c r="A118" s="2">
        <v>165.53949</v>
      </c>
      <c r="B118" s="3">
        <f t="shared" si="6"/>
        <v>1.0656780327499735E-3</v>
      </c>
      <c r="D118" s="2">
        <v>312.478455</v>
      </c>
      <c r="E118" s="3">
        <f t="shared" si="7"/>
        <v>-1.3124230395031451E-2</v>
      </c>
      <c r="G118" s="3">
        <f t="shared" si="8"/>
        <v>-6.0292761811407388E-3</v>
      </c>
    </row>
    <row r="119" spans="1:7" x14ac:dyDescent="0.3">
      <c r="A119" s="2">
        <v>163.31727599999999</v>
      </c>
      <c r="B119" s="3">
        <f t="shared" si="6"/>
        <v>-1.3424071803048374E-2</v>
      </c>
      <c r="D119" s="2">
        <v>308.32284499999997</v>
      </c>
      <c r="E119" s="3">
        <f t="shared" si="7"/>
        <v>-1.3298868877215948E-2</v>
      </c>
      <c r="G119" s="3">
        <f t="shared" si="8"/>
        <v>-1.3361470340132161E-2</v>
      </c>
    </row>
    <row r="120" spans="1:7" x14ac:dyDescent="0.3">
      <c r="A120" s="2">
        <v>157.29676799999999</v>
      </c>
      <c r="B120" s="3">
        <f t="shared" si="6"/>
        <v>-3.686387715651103E-2</v>
      </c>
      <c r="D120" s="2">
        <v>313.67718500000001</v>
      </c>
      <c r="E120" s="3">
        <f t="shared" si="7"/>
        <v>1.7366017753241855E-2</v>
      </c>
      <c r="G120" s="3">
        <f t="shared" si="8"/>
        <v>-9.7489297016345872E-3</v>
      </c>
    </row>
    <row r="121" spans="1:7" x14ac:dyDescent="0.3">
      <c r="A121" s="2">
        <v>153.35162399999999</v>
      </c>
      <c r="B121" s="3">
        <f t="shared" si="6"/>
        <v>-2.5080896767058807E-2</v>
      </c>
      <c r="D121" s="2">
        <v>312.21871900000002</v>
      </c>
      <c r="E121" s="3">
        <f t="shared" si="7"/>
        <v>-4.6495762833372381E-3</v>
      </c>
      <c r="G121" s="3">
        <f t="shared" si="8"/>
        <v>-1.4865236525198023E-2</v>
      </c>
    </row>
    <row r="122" spans="1:7" x14ac:dyDescent="0.3">
      <c r="A122" s="2">
        <v>152.58802800000001</v>
      </c>
      <c r="B122" s="3">
        <f t="shared" si="6"/>
        <v>-4.9793799379651725E-3</v>
      </c>
      <c r="D122" s="2">
        <v>299.21252399999997</v>
      </c>
      <c r="E122" s="3">
        <f t="shared" si="7"/>
        <v>-4.1657319720154407E-2</v>
      </c>
      <c r="G122" s="3">
        <f t="shared" si="8"/>
        <v>-2.3318349829059788E-2</v>
      </c>
    </row>
    <row r="123" spans="1:7" x14ac:dyDescent="0.3">
      <c r="A123" s="2">
        <v>151.49163799999999</v>
      </c>
      <c r="B123" s="3">
        <f t="shared" si="6"/>
        <v>-7.1852950350732216E-3</v>
      </c>
      <c r="D123" s="2">
        <v>288.04437300000001</v>
      </c>
      <c r="E123" s="3">
        <f t="shared" si="7"/>
        <v>-3.7325145520980825E-2</v>
      </c>
      <c r="G123" s="3">
        <f t="shared" si="8"/>
        <v>-2.2255220278027024E-2</v>
      </c>
    </row>
    <row r="124" spans="1:7" x14ac:dyDescent="0.3">
      <c r="A124" s="2">
        <v>141.31062299999999</v>
      </c>
      <c r="B124" s="3">
        <f t="shared" si="6"/>
        <v>-6.72051285101294E-2</v>
      </c>
      <c r="D124" s="2">
        <v>296.41549700000002</v>
      </c>
      <c r="E124" s="3">
        <f t="shared" si="7"/>
        <v>2.9061925122210282E-2</v>
      </c>
      <c r="G124" s="3">
        <f t="shared" si="8"/>
        <v>-1.9071601693959557E-2</v>
      </c>
    </row>
    <row r="125" spans="1:7" x14ac:dyDescent="0.3">
      <c r="A125" s="2">
        <v>143.01397700000001</v>
      </c>
      <c r="B125" s="3">
        <f t="shared" si="6"/>
        <v>1.2053969926946106E-2</v>
      </c>
      <c r="D125" s="2">
        <v>302.339203</v>
      </c>
      <c r="E125" s="3">
        <f t="shared" si="7"/>
        <v>1.9984467951080106E-2</v>
      </c>
      <c r="G125" s="3">
        <f t="shared" si="8"/>
        <v>1.6019218939013105E-2</v>
      </c>
    </row>
    <row r="126" spans="1:7" x14ac:dyDescent="0.3">
      <c r="A126" s="2">
        <v>142.66154499999999</v>
      </c>
      <c r="B126" s="3">
        <f t="shared" si="6"/>
        <v>-2.4643185749601356E-3</v>
      </c>
      <c r="D126" s="2">
        <v>300.95068400000002</v>
      </c>
      <c r="E126" s="3">
        <f t="shared" si="7"/>
        <v>-4.592586691445283E-3</v>
      </c>
      <c r="G126" s="3">
        <f t="shared" si="8"/>
        <v>-3.5284526332027095E-3</v>
      </c>
    </row>
    <row r="127" spans="1:7" x14ac:dyDescent="0.3">
      <c r="A127" s="2">
        <v>140.948395</v>
      </c>
      <c r="B127" s="3">
        <f t="shared" si="6"/>
        <v>-1.2008491846909304E-2</v>
      </c>
      <c r="D127" s="2">
        <v>311.51947000000001</v>
      </c>
      <c r="E127" s="3">
        <f t="shared" si="7"/>
        <v>3.5117999598897699E-2</v>
      </c>
      <c r="G127" s="3">
        <f t="shared" si="8"/>
        <v>1.1554753875994198E-2</v>
      </c>
    </row>
    <row r="128" spans="1:7" x14ac:dyDescent="0.3">
      <c r="A128" s="2">
        <v>145.627747</v>
      </c>
      <c r="B128" s="3">
        <f t="shared" si="6"/>
        <v>3.3199044231755841E-2</v>
      </c>
      <c r="D128" s="2">
        <v>310.54049700000002</v>
      </c>
      <c r="E128" s="3">
        <f t="shared" si="7"/>
        <v>-3.1425740420012792E-3</v>
      </c>
      <c r="G128" s="3">
        <f t="shared" si="8"/>
        <v>1.5028235094877281E-2</v>
      </c>
    </row>
    <row r="129" spans="1:7" x14ac:dyDescent="0.3">
      <c r="A129" s="2">
        <v>144.50195299999999</v>
      </c>
      <c r="B129" s="3">
        <f t="shared" si="6"/>
        <v>-7.7306284220685865E-3</v>
      </c>
      <c r="D129" s="2">
        <v>314.266571</v>
      </c>
      <c r="E129" s="3">
        <f t="shared" si="7"/>
        <v>1.1998673396854847E-2</v>
      </c>
      <c r="G129" s="3">
        <f t="shared" si="8"/>
        <v>2.1340224873931304E-3</v>
      </c>
    </row>
    <row r="130" spans="1:7" x14ac:dyDescent="0.3">
      <c r="A130" s="2">
        <v>143.90481600000001</v>
      </c>
      <c r="B130" s="3">
        <f t="shared" si="6"/>
        <v>-4.1323801346821601E-3</v>
      </c>
      <c r="D130" s="2">
        <v>315.46527099999997</v>
      </c>
      <c r="E130" s="3">
        <f t="shared" si="7"/>
        <v>3.8142777839389537E-3</v>
      </c>
      <c r="G130" s="3">
        <f t="shared" si="8"/>
        <v>-1.590511753716032E-4</v>
      </c>
    </row>
    <row r="131" spans="1:7" x14ac:dyDescent="0.3">
      <c r="A131" s="2">
        <v>141.369339</v>
      </c>
      <c r="B131" s="3">
        <f t="shared" si="6"/>
        <v>-1.7619125408561826E-2</v>
      </c>
      <c r="D131" s="2">
        <v>318.48208599999998</v>
      </c>
      <c r="E131" s="3">
        <f t="shared" si="7"/>
        <v>9.563065342935986E-3</v>
      </c>
      <c r="G131" s="3">
        <f t="shared" si="8"/>
        <v>-4.0280300328129201E-3</v>
      </c>
    </row>
    <row r="132" spans="1:7" x14ac:dyDescent="0.3">
      <c r="A132" s="2">
        <v>139.401657</v>
      </c>
      <c r="B132" s="3">
        <f t="shared" si="6"/>
        <v>-1.3918732406324659E-2</v>
      </c>
      <c r="D132" s="2">
        <v>319.44107100000002</v>
      </c>
      <c r="E132" s="3">
        <f t="shared" si="7"/>
        <v>3.0111112748741576E-3</v>
      </c>
      <c r="G132" s="3">
        <f t="shared" si="8"/>
        <v>-5.4538105657252513E-3</v>
      </c>
    </row>
    <row r="133" spans="1:7" x14ac:dyDescent="0.3">
      <c r="A133" s="2">
        <v>138.95133999999999</v>
      </c>
      <c r="B133" s="3">
        <f t="shared" si="6"/>
        <v>-3.2303561499273463E-3</v>
      </c>
      <c r="D133" s="2">
        <v>320.21023600000001</v>
      </c>
      <c r="E133" s="3">
        <f t="shared" si="7"/>
        <v>2.4078462972595867E-3</v>
      </c>
      <c r="G133" s="3">
        <f t="shared" si="8"/>
        <v>-4.1125492633387983E-4</v>
      </c>
    </row>
    <row r="134" spans="1:7" x14ac:dyDescent="0.3">
      <c r="A134" s="2">
        <v>139.940079</v>
      </c>
      <c r="B134" s="3">
        <f t="shared" ref="B134:B197" si="9">(A134-A133)/A133</f>
        <v>7.1157212301803611E-3</v>
      </c>
      <c r="D134" s="2">
        <v>328.421539</v>
      </c>
      <c r="E134" s="3">
        <f t="shared" ref="E134:E197" si="10">(D134-D133)/D133</f>
        <v>2.5643474432841012E-2</v>
      </c>
      <c r="G134" s="3">
        <f t="shared" ref="G134:G197" si="11">(B134+E134)/2</f>
        <v>1.6379597831510686E-2</v>
      </c>
    </row>
    <row r="135" spans="1:7" x14ac:dyDescent="0.3">
      <c r="A135" s="2">
        <v>140.967972</v>
      </c>
      <c r="B135" s="3">
        <f t="shared" si="9"/>
        <v>7.3452366709040231E-3</v>
      </c>
      <c r="D135" s="2">
        <v>328.841095</v>
      </c>
      <c r="E135" s="3">
        <f t="shared" si="10"/>
        <v>1.2774923388931567E-3</v>
      </c>
      <c r="G135" s="3">
        <f t="shared" si="11"/>
        <v>4.3113645048985898E-3</v>
      </c>
    </row>
    <row r="136" spans="1:7" x14ac:dyDescent="0.3">
      <c r="A136" s="2">
        <v>141.99586500000001</v>
      </c>
      <c r="B136" s="3">
        <f t="shared" si="9"/>
        <v>7.2916775733994806E-3</v>
      </c>
      <c r="D136" s="2">
        <v>335.953552</v>
      </c>
      <c r="E136" s="3">
        <f t="shared" si="10"/>
        <v>2.1628856940766501E-2</v>
      </c>
      <c r="G136" s="3">
        <f t="shared" si="11"/>
        <v>1.4460267257082991E-2</v>
      </c>
    </row>
    <row r="137" spans="1:7" x14ac:dyDescent="0.3">
      <c r="A137" s="2">
        <v>142.49513200000001</v>
      </c>
      <c r="B137" s="3">
        <f t="shared" si="9"/>
        <v>3.5160671756181293E-3</v>
      </c>
      <c r="D137" s="2">
        <v>332.35736100000003</v>
      </c>
      <c r="E137" s="3">
        <f t="shared" si="10"/>
        <v>-1.0704429164660167E-2</v>
      </c>
      <c r="G137" s="3">
        <f t="shared" si="11"/>
        <v>-3.5941809945210191E-3</v>
      </c>
    </row>
    <row r="138" spans="1:7" x14ac:dyDescent="0.3">
      <c r="A138" s="2">
        <v>140.239746</v>
      </c>
      <c r="B138" s="3">
        <f t="shared" si="9"/>
        <v>-1.5827810875672688E-2</v>
      </c>
      <c r="D138" s="2">
        <v>333.83578499999999</v>
      </c>
      <c r="E138" s="3">
        <f t="shared" si="10"/>
        <v>4.448296242188423E-3</v>
      </c>
      <c r="G138" s="3">
        <f t="shared" si="11"/>
        <v>-5.6897573167421327E-3</v>
      </c>
    </row>
    <row r="139" spans="1:7" x14ac:dyDescent="0.3">
      <c r="A139" s="2">
        <v>142.900711</v>
      </c>
      <c r="B139" s="3">
        <f t="shared" si="9"/>
        <v>1.8974399739714334E-2</v>
      </c>
      <c r="D139" s="2">
        <v>334.68490600000001</v>
      </c>
      <c r="E139" s="3">
        <f t="shared" si="10"/>
        <v>2.54352899884602E-3</v>
      </c>
      <c r="G139" s="3">
        <f t="shared" si="11"/>
        <v>1.0758964369280177E-2</v>
      </c>
    </row>
    <row r="140" spans="1:7" x14ac:dyDescent="0.3">
      <c r="A140" s="2">
        <v>142.821564</v>
      </c>
      <c r="B140" s="3">
        <f t="shared" si="9"/>
        <v>-5.5386008541277363E-4</v>
      </c>
      <c r="D140" s="2">
        <v>339.60968000000003</v>
      </c>
      <c r="E140" s="3">
        <f t="shared" si="10"/>
        <v>1.4714658210490119E-2</v>
      </c>
      <c r="G140" s="3">
        <f t="shared" si="11"/>
        <v>7.0803990625386724E-3</v>
      </c>
    </row>
    <row r="141" spans="1:7" x14ac:dyDescent="0.3">
      <c r="A141" s="2">
        <v>142.485229</v>
      </c>
      <c r="B141" s="3">
        <f t="shared" si="9"/>
        <v>-2.354931500399976E-3</v>
      </c>
      <c r="D141" s="2">
        <v>336.62286399999999</v>
      </c>
      <c r="E141" s="3">
        <f t="shared" si="10"/>
        <v>-8.794849428320279E-3</v>
      </c>
      <c r="G141" s="3">
        <f t="shared" si="11"/>
        <v>-5.5748904643601275E-3</v>
      </c>
    </row>
    <row r="142" spans="1:7" x14ac:dyDescent="0.3">
      <c r="A142" s="2">
        <v>142.77211</v>
      </c>
      <c r="B142" s="3">
        <f t="shared" si="9"/>
        <v>2.0134087021749739E-3</v>
      </c>
      <c r="D142" s="2">
        <v>341.12805200000003</v>
      </c>
      <c r="E142" s="3">
        <f t="shared" si="10"/>
        <v>1.3383487819175683E-2</v>
      </c>
      <c r="G142" s="3">
        <f t="shared" si="11"/>
        <v>7.6984482606753286E-3</v>
      </c>
    </row>
    <row r="143" spans="1:7" x14ac:dyDescent="0.3">
      <c r="A143" s="2">
        <v>143.33595299999999</v>
      </c>
      <c r="B143" s="3">
        <f t="shared" si="9"/>
        <v>3.9492517130971273E-3</v>
      </c>
      <c r="D143" s="2">
        <v>337.87152099999997</v>
      </c>
      <c r="E143" s="3">
        <f t="shared" si="10"/>
        <v>-9.5463594415860359E-3</v>
      </c>
      <c r="G143" s="3">
        <f t="shared" si="11"/>
        <v>-2.7985538642444543E-3</v>
      </c>
    </row>
    <row r="144" spans="1:7" x14ac:dyDescent="0.3">
      <c r="A144" s="2">
        <v>142.80178799999999</v>
      </c>
      <c r="B144" s="3">
        <f t="shared" si="9"/>
        <v>-3.7266644468467837E-3</v>
      </c>
      <c r="D144" s="2">
        <v>334.34527600000001</v>
      </c>
      <c r="E144" s="3">
        <f t="shared" si="10"/>
        <v>-1.0436644643985726E-2</v>
      </c>
      <c r="G144" s="3">
        <f t="shared" si="11"/>
        <v>-7.0816545454162553E-3</v>
      </c>
    </row>
    <row r="145" spans="1:7" x14ac:dyDescent="0.3">
      <c r="A145" s="2">
        <v>143.93936199999999</v>
      </c>
      <c r="B145" s="3">
        <f t="shared" si="9"/>
        <v>7.9661047381283552E-3</v>
      </c>
      <c r="D145" s="2">
        <v>338.63070699999997</v>
      </c>
      <c r="E145" s="3">
        <f t="shared" si="10"/>
        <v>1.2817381633948853E-2</v>
      </c>
      <c r="G145" s="3">
        <f t="shared" si="11"/>
        <v>1.0391743186038603E-2</v>
      </c>
    </row>
    <row r="146" spans="1:7" x14ac:dyDescent="0.3">
      <c r="A146" s="2">
        <v>142.35664399999999</v>
      </c>
      <c r="B146" s="3">
        <f t="shared" si="9"/>
        <v>-1.0995727492525637E-2</v>
      </c>
      <c r="D146" s="2">
        <v>331.84793100000002</v>
      </c>
      <c r="E146" s="3">
        <f t="shared" si="10"/>
        <v>-2.0030008678450877E-2</v>
      </c>
      <c r="G146" s="3">
        <f t="shared" si="11"/>
        <v>-1.5512868085488258E-2</v>
      </c>
    </row>
    <row r="147" spans="1:7" x14ac:dyDescent="0.3">
      <c r="A147" s="2">
        <v>142.04998800000001</v>
      </c>
      <c r="B147" s="3">
        <f t="shared" si="9"/>
        <v>-2.1541390087839907E-3</v>
      </c>
      <c r="D147" s="2">
        <v>326.80325299999998</v>
      </c>
      <c r="E147" s="3">
        <f t="shared" si="10"/>
        <v>-1.5201776261790322E-2</v>
      </c>
      <c r="G147" s="3">
        <f t="shared" si="11"/>
        <v>-8.6779576352871562E-3</v>
      </c>
    </row>
    <row r="148" spans="1:7" x14ac:dyDescent="0.3">
      <c r="A148" s="2">
        <v>143.24691799999999</v>
      </c>
      <c r="B148" s="3">
        <f t="shared" si="9"/>
        <v>8.426118276053501E-3</v>
      </c>
      <c r="D148" s="2">
        <v>324.47573899999998</v>
      </c>
      <c r="E148" s="3">
        <f t="shared" si="10"/>
        <v>-7.1220649691635966E-3</v>
      </c>
      <c r="G148" s="3">
        <f t="shared" si="11"/>
        <v>6.5202665344495222E-4</v>
      </c>
    </row>
    <row r="149" spans="1:7" x14ac:dyDescent="0.3">
      <c r="A149" s="2">
        <v>143.306274</v>
      </c>
      <c r="B149" s="3">
        <f t="shared" si="9"/>
        <v>4.1436144545886974E-4</v>
      </c>
      <c r="D149" s="2">
        <v>319.68081699999999</v>
      </c>
      <c r="E149" s="3">
        <f t="shared" si="10"/>
        <v>-1.4777443807593842E-2</v>
      </c>
      <c r="G149" s="3">
        <f t="shared" si="11"/>
        <v>-7.1815411810674861E-3</v>
      </c>
    </row>
    <row r="150" spans="1:7" x14ac:dyDescent="0.3">
      <c r="A150" s="2">
        <v>141.31797800000001</v>
      </c>
      <c r="B150" s="3">
        <f t="shared" si="9"/>
        <v>-1.3874451861053837E-2</v>
      </c>
      <c r="D150" s="2">
        <v>317.95266700000002</v>
      </c>
      <c r="E150" s="3">
        <f t="shared" si="10"/>
        <v>-5.4058608089705019E-3</v>
      </c>
      <c r="G150" s="3">
        <f t="shared" si="11"/>
        <v>-9.6401563350121695E-3</v>
      </c>
    </row>
    <row r="151" spans="1:7" x14ac:dyDescent="0.3">
      <c r="A151" s="2">
        <v>140.99153100000001</v>
      </c>
      <c r="B151" s="3">
        <f t="shared" si="9"/>
        <v>-2.3100174841165764E-3</v>
      </c>
      <c r="D151" s="2">
        <v>317.11355600000002</v>
      </c>
      <c r="E151" s="3">
        <f t="shared" si="10"/>
        <v>-2.6391066567150465E-3</v>
      </c>
      <c r="G151" s="3">
        <f t="shared" si="11"/>
        <v>-2.4745620704158117E-3</v>
      </c>
    </row>
    <row r="152" spans="1:7" x14ac:dyDescent="0.3">
      <c r="A152" s="2">
        <v>140.882721</v>
      </c>
      <c r="B152" s="3">
        <f t="shared" si="9"/>
        <v>-7.717484818290639E-4</v>
      </c>
      <c r="D152" s="2">
        <v>326.24383499999999</v>
      </c>
      <c r="E152" s="3">
        <f t="shared" si="10"/>
        <v>2.879182812355071E-2</v>
      </c>
      <c r="G152" s="3">
        <f t="shared" si="11"/>
        <v>1.4010039820860822E-2</v>
      </c>
    </row>
    <row r="153" spans="1:7" x14ac:dyDescent="0.3">
      <c r="A153" s="2">
        <v>142.752319</v>
      </c>
      <c r="B153" s="3">
        <f t="shared" si="9"/>
        <v>1.3270598315601786E-2</v>
      </c>
      <c r="D153" s="2">
        <v>332.39730800000001</v>
      </c>
      <c r="E153" s="3">
        <f t="shared" si="10"/>
        <v>1.8861576342124656E-2</v>
      </c>
      <c r="G153" s="3">
        <f t="shared" si="11"/>
        <v>1.6066087328863221E-2</v>
      </c>
    </row>
    <row r="154" spans="1:7" x14ac:dyDescent="0.3">
      <c r="A154" s="2">
        <v>142.791901</v>
      </c>
      <c r="B154" s="3">
        <f t="shared" si="9"/>
        <v>2.7727745704779608E-4</v>
      </c>
      <c r="D154" s="2">
        <v>324.93524200000002</v>
      </c>
      <c r="E154" s="3">
        <f t="shared" si="10"/>
        <v>-2.244923716409879E-2</v>
      </c>
      <c r="G154" s="3">
        <f t="shared" si="11"/>
        <v>-1.1085979853525498E-2</v>
      </c>
    </row>
    <row r="155" spans="1:7" x14ac:dyDescent="0.3">
      <c r="A155" s="2">
        <v>140.96185299999999</v>
      </c>
      <c r="B155" s="3">
        <f t="shared" si="9"/>
        <v>-1.2816189063832164E-2</v>
      </c>
      <c r="D155" s="2">
        <v>333.86575299999998</v>
      </c>
      <c r="E155" s="3">
        <f t="shared" si="10"/>
        <v>2.7483971713969907E-2</v>
      </c>
      <c r="G155" s="3">
        <f t="shared" si="11"/>
        <v>7.3338913250688715E-3</v>
      </c>
    </row>
    <row r="156" spans="1:7" x14ac:dyDescent="0.3">
      <c r="A156" s="2">
        <v>143.04908800000001</v>
      </c>
      <c r="B156" s="3">
        <f t="shared" si="9"/>
        <v>1.4807091107124004E-2</v>
      </c>
      <c r="D156" s="2">
        <v>334.38519300000002</v>
      </c>
      <c r="E156" s="3">
        <f t="shared" si="10"/>
        <v>1.5558349286577814E-3</v>
      </c>
      <c r="G156" s="3">
        <f t="shared" si="11"/>
        <v>8.1814630178908918E-3</v>
      </c>
    </row>
    <row r="157" spans="1:7" x14ac:dyDescent="0.3">
      <c r="A157" s="2">
        <v>148.311646</v>
      </c>
      <c r="B157" s="3">
        <f t="shared" si="9"/>
        <v>3.6788476414473775E-2</v>
      </c>
      <c r="D157" s="2">
        <v>332.81689499999999</v>
      </c>
      <c r="E157" s="3">
        <f t="shared" si="10"/>
        <v>-4.6900940377465426E-3</v>
      </c>
      <c r="G157" s="3">
        <f t="shared" si="11"/>
        <v>1.6049191188363617E-2</v>
      </c>
    </row>
    <row r="158" spans="1:7" x14ac:dyDescent="0.3">
      <c r="A158" s="2">
        <v>147.73793000000001</v>
      </c>
      <c r="B158" s="3">
        <f t="shared" si="9"/>
        <v>-3.8683138881756484E-3</v>
      </c>
      <c r="D158" s="2">
        <v>334.56503300000003</v>
      </c>
      <c r="E158" s="3">
        <f t="shared" si="10"/>
        <v>5.252551857381038E-3</v>
      </c>
      <c r="G158" s="3">
        <f t="shared" si="11"/>
        <v>6.9211898460269476E-4</v>
      </c>
    </row>
    <row r="159" spans="1:7" x14ac:dyDescent="0.3">
      <c r="A159" s="2">
        <v>148.064346</v>
      </c>
      <c r="B159" s="3">
        <f t="shared" si="9"/>
        <v>2.2094258393900246E-3</v>
      </c>
      <c r="D159" s="2">
        <v>344.25473</v>
      </c>
      <c r="E159" s="3">
        <f t="shared" si="10"/>
        <v>2.8962073272014551E-2</v>
      </c>
      <c r="G159" s="3">
        <f t="shared" si="11"/>
        <v>1.5585749555702287E-2</v>
      </c>
    </row>
    <row r="160" spans="1:7" x14ac:dyDescent="0.3">
      <c r="A160" s="2">
        <v>150.00320400000001</v>
      </c>
      <c r="B160" s="3">
        <f t="shared" si="9"/>
        <v>1.3094698706196362E-2</v>
      </c>
      <c r="D160" s="2">
        <v>349.98864700000001</v>
      </c>
      <c r="E160" s="3">
        <f t="shared" si="10"/>
        <v>1.6656029678953198E-2</v>
      </c>
      <c r="G160" s="3">
        <f t="shared" si="11"/>
        <v>1.4875364192574781E-2</v>
      </c>
    </row>
    <row r="161" spans="1:7" x14ac:dyDescent="0.3">
      <c r="A161" s="2">
        <v>148.62820400000001</v>
      </c>
      <c r="B161" s="3">
        <f t="shared" si="9"/>
        <v>-9.1664708708488647E-3</v>
      </c>
      <c r="D161" s="2">
        <v>348.90978999999999</v>
      </c>
      <c r="E161" s="3">
        <f t="shared" si="10"/>
        <v>-3.0825485604966713E-3</v>
      </c>
      <c r="G161" s="3">
        <f t="shared" si="11"/>
        <v>-6.1245097156727678E-3</v>
      </c>
    </row>
    <row r="162" spans="1:7" x14ac:dyDescent="0.3">
      <c r="A162" s="2">
        <v>149.08325199999999</v>
      </c>
      <c r="B162" s="3">
        <f t="shared" si="9"/>
        <v>3.0616530897458502E-3</v>
      </c>
      <c r="D162" s="2">
        <v>353.71469100000002</v>
      </c>
      <c r="E162" s="3">
        <f t="shared" si="10"/>
        <v>1.377118423647565E-2</v>
      </c>
      <c r="G162" s="3">
        <f t="shared" si="11"/>
        <v>8.4164186631107505E-3</v>
      </c>
    </row>
    <row r="163" spans="1:7" x14ac:dyDescent="0.3">
      <c r="A163" s="2">
        <v>149.41957099999999</v>
      </c>
      <c r="B163" s="3">
        <f t="shared" si="9"/>
        <v>2.2559140311750321E-3</v>
      </c>
      <c r="D163" s="2">
        <v>353.01547199999999</v>
      </c>
      <c r="E163" s="3">
        <f t="shared" si="10"/>
        <v>-1.9767881227190187E-3</v>
      </c>
      <c r="G163" s="3">
        <f t="shared" si="11"/>
        <v>1.395629542280067E-4</v>
      </c>
    </row>
    <row r="164" spans="1:7" x14ac:dyDescent="0.3">
      <c r="A164" s="2">
        <v>150.764893</v>
      </c>
      <c r="B164" s="3">
        <f t="shared" si="9"/>
        <v>9.0036532095250782E-3</v>
      </c>
      <c r="D164" s="2">
        <v>354.45391799999999</v>
      </c>
      <c r="E164" s="3">
        <f t="shared" si="10"/>
        <v>4.0747392510886863E-3</v>
      </c>
      <c r="G164" s="3">
        <f t="shared" si="11"/>
        <v>6.5391962303068818E-3</v>
      </c>
    </row>
    <row r="165" spans="1:7" x14ac:dyDescent="0.3">
      <c r="A165" s="2">
        <v>150.27029400000001</v>
      </c>
      <c r="B165" s="3">
        <f t="shared" si="9"/>
        <v>-3.2805979572445541E-3</v>
      </c>
      <c r="D165" s="2">
        <v>357.450714</v>
      </c>
      <c r="E165" s="3">
        <f t="shared" si="10"/>
        <v>8.4546843688719439E-3</v>
      </c>
      <c r="G165" s="3">
        <f t="shared" si="11"/>
        <v>2.5870432058136949E-3</v>
      </c>
    </row>
    <row r="166" spans="1:7" x14ac:dyDescent="0.3">
      <c r="A166" s="2">
        <v>148.15339700000001</v>
      </c>
      <c r="B166" s="3">
        <f t="shared" si="9"/>
        <v>-1.4087261984061829E-2</v>
      </c>
      <c r="D166" s="2">
        <v>357.94021600000002</v>
      </c>
      <c r="E166" s="3">
        <f t="shared" si="10"/>
        <v>1.3694251566105861E-3</v>
      </c>
      <c r="G166" s="3">
        <f t="shared" si="11"/>
        <v>-6.3589184137256213E-3</v>
      </c>
    </row>
    <row r="167" spans="1:7" x14ac:dyDescent="0.3">
      <c r="A167" s="2">
        <v>147.54997299999999</v>
      </c>
      <c r="B167" s="3">
        <f t="shared" si="9"/>
        <v>-4.0729676957729031E-3</v>
      </c>
      <c r="D167" s="2">
        <v>353.58483899999999</v>
      </c>
      <c r="E167" s="3">
        <f t="shared" si="10"/>
        <v>-1.2167889511470912E-2</v>
      </c>
      <c r="G167" s="3">
        <f t="shared" si="11"/>
        <v>-8.1204286036219084E-3</v>
      </c>
    </row>
    <row r="168" spans="1:7" x14ac:dyDescent="0.3">
      <c r="A168" s="2">
        <v>147.86651599999999</v>
      </c>
      <c r="B168" s="3">
        <f t="shared" si="9"/>
        <v>2.1453274003648635E-3</v>
      </c>
      <c r="D168" s="2">
        <v>345.92297400000001</v>
      </c>
      <c r="E168" s="3">
        <f t="shared" si="10"/>
        <v>-2.1669099336015303E-2</v>
      </c>
      <c r="G168" s="3">
        <f t="shared" si="11"/>
        <v>-9.7618859678252207E-3</v>
      </c>
    </row>
    <row r="169" spans="1:7" x14ac:dyDescent="0.3">
      <c r="A169" s="2">
        <v>150.68575999999999</v>
      </c>
      <c r="B169" s="3">
        <f t="shared" si="9"/>
        <v>1.9066142060180803E-2</v>
      </c>
      <c r="D169" s="2">
        <v>344.10488900000001</v>
      </c>
      <c r="E169" s="3">
        <f t="shared" si="10"/>
        <v>-5.2557509522336504E-3</v>
      </c>
      <c r="G169" s="3">
        <f t="shared" si="11"/>
        <v>6.9051955539735765E-3</v>
      </c>
    </row>
    <row r="170" spans="1:7" x14ac:dyDescent="0.3">
      <c r="A170" s="2">
        <v>149.033783</v>
      </c>
      <c r="B170" s="3">
        <f t="shared" si="9"/>
        <v>-1.0963059814012872E-2</v>
      </c>
      <c r="D170" s="2">
        <v>346.75207499999999</v>
      </c>
      <c r="E170" s="3">
        <f t="shared" si="10"/>
        <v>7.6929624792398009E-3</v>
      </c>
      <c r="G170" s="3">
        <f t="shared" si="11"/>
        <v>-1.6350486673865354E-3</v>
      </c>
    </row>
    <row r="171" spans="1:7" x14ac:dyDescent="0.3">
      <c r="A171" s="2">
        <v>148.77658099999999</v>
      </c>
      <c r="B171" s="3">
        <f t="shared" si="9"/>
        <v>-1.7257966269299263E-3</v>
      </c>
      <c r="D171" s="2">
        <v>351.57699600000001</v>
      </c>
      <c r="E171" s="3">
        <f t="shared" si="10"/>
        <v>1.3914613200223871E-2</v>
      </c>
      <c r="G171" s="3">
        <f t="shared" si="11"/>
        <v>6.0944082866469726E-3</v>
      </c>
    </row>
    <row r="172" spans="1:7" x14ac:dyDescent="0.3">
      <c r="A172" s="2">
        <v>147.88630699999999</v>
      </c>
      <c r="B172" s="3">
        <f t="shared" si="9"/>
        <v>-5.983965984538959E-3</v>
      </c>
      <c r="D172" s="2">
        <v>358.279877</v>
      </c>
      <c r="E172" s="3">
        <f t="shared" si="10"/>
        <v>1.9065186506115977E-2</v>
      </c>
      <c r="G172" s="3">
        <f t="shared" si="11"/>
        <v>6.5406102607885094E-3</v>
      </c>
    </row>
    <row r="173" spans="1:7" x14ac:dyDescent="0.3">
      <c r="A173" s="2">
        <v>144.127319</v>
      </c>
      <c r="B173" s="3">
        <f t="shared" si="9"/>
        <v>-2.5418093644058528E-2</v>
      </c>
      <c r="D173" s="2">
        <v>357.05114700000001</v>
      </c>
      <c r="E173" s="3">
        <f t="shared" si="10"/>
        <v>-3.4295255717082447E-3</v>
      </c>
      <c r="G173" s="3">
        <f t="shared" si="11"/>
        <v>-1.4423809607883387E-2</v>
      </c>
    </row>
    <row r="174" spans="1:7" x14ac:dyDescent="0.3">
      <c r="A174" s="2">
        <v>142.94026199999999</v>
      </c>
      <c r="B174" s="3">
        <f t="shared" si="9"/>
        <v>-8.2361692997287347E-3</v>
      </c>
      <c r="D174" s="2">
        <v>370.07733200000001</v>
      </c>
      <c r="E174" s="3">
        <f t="shared" si="10"/>
        <v>3.6482686330650542E-2</v>
      </c>
      <c r="G174" s="3">
        <f t="shared" si="11"/>
        <v>1.4123258515460903E-2</v>
      </c>
    </row>
    <row r="175" spans="1:7" x14ac:dyDescent="0.3">
      <c r="A175" s="2">
        <v>143.71185299999999</v>
      </c>
      <c r="B175" s="3">
        <f t="shared" si="9"/>
        <v>5.39799626224276E-3</v>
      </c>
      <c r="D175" s="2">
        <v>369.27819799999997</v>
      </c>
      <c r="E175" s="3">
        <f t="shared" si="10"/>
        <v>-2.1593703015564264E-3</v>
      </c>
      <c r="G175" s="3">
        <f t="shared" si="11"/>
        <v>1.6193129803431668E-3</v>
      </c>
    </row>
    <row r="176" spans="1:7" x14ac:dyDescent="0.3">
      <c r="A176" s="2">
        <v>145.680374</v>
      </c>
      <c r="B176" s="3">
        <f t="shared" si="9"/>
        <v>1.3697694093471956E-2</v>
      </c>
      <c r="D176" s="2">
        <v>374.09307899999999</v>
      </c>
      <c r="E176" s="3">
        <f t="shared" si="10"/>
        <v>1.3038627858555609E-2</v>
      </c>
      <c r="G176" s="3">
        <f t="shared" si="11"/>
        <v>1.3368160976013782E-2</v>
      </c>
    </row>
    <row r="177" spans="1:7" x14ac:dyDescent="0.3">
      <c r="A177" s="2">
        <v>142.13900799999999</v>
      </c>
      <c r="B177" s="3">
        <f t="shared" si="9"/>
        <v>-2.4309149563276181E-2</v>
      </c>
      <c r="D177" s="2">
        <v>367.07052599999997</v>
      </c>
      <c r="E177" s="3">
        <f t="shared" si="10"/>
        <v>-1.8772207758486804E-2</v>
      </c>
      <c r="G177" s="3">
        <f t="shared" si="11"/>
        <v>-2.1540678660881492E-2</v>
      </c>
    </row>
    <row r="178" spans="1:7" x14ac:dyDescent="0.3">
      <c r="A178" s="2">
        <v>141.575165</v>
      </c>
      <c r="B178" s="3">
        <f t="shared" si="9"/>
        <v>-3.9668420930585886E-3</v>
      </c>
      <c r="D178" s="2">
        <v>367.97955300000001</v>
      </c>
      <c r="E178" s="3">
        <f t="shared" si="10"/>
        <v>2.4764369122898125E-3</v>
      </c>
      <c r="G178" s="3">
        <f t="shared" si="11"/>
        <v>-7.4520259038438801E-4</v>
      </c>
    </row>
    <row r="179" spans="1:7" x14ac:dyDescent="0.3">
      <c r="A179" s="2">
        <v>140.28919999999999</v>
      </c>
      <c r="B179" s="3">
        <f t="shared" si="9"/>
        <v>-9.0832668286136512E-3</v>
      </c>
      <c r="D179" s="2">
        <v>375.73135400000001</v>
      </c>
      <c r="E179" s="3">
        <f t="shared" si="10"/>
        <v>2.1065847101564363E-2</v>
      </c>
      <c r="G179" s="3">
        <f t="shared" si="11"/>
        <v>5.991290136475356E-3</v>
      </c>
    </row>
    <row r="180" spans="1:7" x14ac:dyDescent="0.3">
      <c r="A180" s="2">
        <v>140.704666</v>
      </c>
      <c r="B180" s="3">
        <f t="shared" si="9"/>
        <v>2.9614966797159668E-3</v>
      </c>
      <c r="D180" s="2">
        <v>383.04361</v>
      </c>
      <c r="E180" s="3">
        <f t="shared" si="10"/>
        <v>1.9461394217316214E-2</v>
      </c>
      <c r="G180" s="3">
        <f t="shared" si="11"/>
        <v>1.1211445448516089E-2</v>
      </c>
    </row>
    <row r="181" spans="1:7" x14ac:dyDescent="0.3">
      <c r="A181" s="2">
        <v>140.951965</v>
      </c>
      <c r="B181" s="3">
        <f t="shared" si="9"/>
        <v>1.7575749762271434E-3</v>
      </c>
      <c r="D181" s="2">
        <v>381.37536599999999</v>
      </c>
      <c r="E181" s="3">
        <f t="shared" si="10"/>
        <v>-4.3552325543298204E-3</v>
      </c>
      <c r="G181" s="3">
        <f t="shared" si="11"/>
        <v>-1.2988287890513385E-3</v>
      </c>
    </row>
    <row r="182" spans="1:7" x14ac:dyDescent="0.3">
      <c r="A182" s="2">
        <v>140.556274</v>
      </c>
      <c r="B182" s="3">
        <f t="shared" si="9"/>
        <v>-2.8072755140377032E-3</v>
      </c>
      <c r="D182" s="2">
        <v>384.79174799999998</v>
      </c>
      <c r="E182" s="3">
        <f t="shared" si="10"/>
        <v>8.9580562998397718E-3</v>
      </c>
      <c r="G182" s="3">
        <f t="shared" si="11"/>
        <v>3.0753903929010345E-3</v>
      </c>
    </row>
    <row r="183" spans="1:7" x14ac:dyDescent="0.3">
      <c r="A183" s="2">
        <v>143.355728</v>
      </c>
      <c r="B183" s="3">
        <f t="shared" si="9"/>
        <v>1.9916962226815983E-2</v>
      </c>
      <c r="D183" s="2">
        <v>390.28591899999998</v>
      </c>
      <c r="E183" s="3">
        <f t="shared" si="10"/>
        <v>1.4278297360992249E-2</v>
      </c>
      <c r="G183" s="3">
        <f t="shared" si="11"/>
        <v>1.7097629793904116E-2</v>
      </c>
    </row>
    <row r="184" spans="1:7" x14ac:dyDescent="0.3">
      <c r="A184" s="2">
        <v>146.966339</v>
      </c>
      <c r="B184" s="3">
        <f t="shared" si="9"/>
        <v>2.5186374136372185E-2</v>
      </c>
      <c r="D184" s="2">
        <v>392.76327500000002</v>
      </c>
      <c r="E184" s="3">
        <f t="shared" si="10"/>
        <v>6.3475413264910616E-3</v>
      </c>
      <c r="G184" s="3">
        <f t="shared" si="11"/>
        <v>1.5766957731431622E-2</v>
      </c>
    </row>
    <row r="185" spans="1:7" x14ac:dyDescent="0.3">
      <c r="A185" s="2">
        <v>147.530182</v>
      </c>
      <c r="B185" s="3">
        <f t="shared" si="9"/>
        <v>3.836545183315694E-3</v>
      </c>
      <c r="D185" s="2">
        <v>393.72226000000001</v>
      </c>
      <c r="E185" s="3">
        <f t="shared" si="10"/>
        <v>2.4416361229292229E-3</v>
      </c>
      <c r="G185" s="3">
        <f t="shared" si="11"/>
        <v>3.1390906531224587E-3</v>
      </c>
    </row>
    <row r="186" spans="1:7" x14ac:dyDescent="0.3">
      <c r="A186" s="2">
        <v>147.47084000000001</v>
      </c>
      <c r="B186" s="3">
        <f t="shared" si="9"/>
        <v>-4.0223633696857152E-4</v>
      </c>
      <c r="D186" s="2">
        <v>400.59494000000001</v>
      </c>
      <c r="E186" s="3">
        <f t="shared" si="10"/>
        <v>1.7455655161585232E-2</v>
      </c>
      <c r="G186" s="3">
        <f t="shared" si="11"/>
        <v>8.5267094123083302E-3</v>
      </c>
    </row>
    <row r="187" spans="1:7" x14ac:dyDescent="0.3">
      <c r="A187" s="2">
        <v>148.49960300000001</v>
      </c>
      <c r="B187" s="3">
        <f t="shared" si="9"/>
        <v>6.9760435351151305E-3</v>
      </c>
      <c r="D187" s="2">
        <v>399.635986</v>
      </c>
      <c r="E187" s="3">
        <f t="shared" si="10"/>
        <v>-2.3938245450629146E-3</v>
      </c>
      <c r="G187" s="3">
        <f t="shared" si="11"/>
        <v>2.2911094950261082E-3</v>
      </c>
    </row>
    <row r="188" spans="1:7" x14ac:dyDescent="0.3">
      <c r="A188" s="2">
        <v>145.838638</v>
      </c>
      <c r="B188" s="3">
        <f t="shared" si="9"/>
        <v>-1.7919004133633974E-2</v>
      </c>
      <c r="D188" s="2">
        <v>389.72650099999998</v>
      </c>
      <c r="E188" s="3">
        <f t="shared" si="10"/>
        <v>-2.4796277980832331E-2</v>
      </c>
      <c r="G188" s="3">
        <f t="shared" si="11"/>
        <v>-2.1357641057233152E-2</v>
      </c>
    </row>
    <row r="189" spans="1:7" x14ac:dyDescent="0.3">
      <c r="A189" s="2">
        <v>146.29367099999999</v>
      </c>
      <c r="B189" s="3">
        <f t="shared" si="9"/>
        <v>3.1201127920571091E-3</v>
      </c>
      <c r="D189" s="2">
        <v>394.36157200000002</v>
      </c>
      <c r="E189" s="3">
        <f t="shared" si="10"/>
        <v>1.1893137849509596E-2</v>
      </c>
      <c r="G189" s="3">
        <f t="shared" si="11"/>
        <v>7.5066253207833524E-3</v>
      </c>
    </row>
    <row r="190" spans="1:7" x14ac:dyDescent="0.3">
      <c r="A190" s="2">
        <v>150.59672499999999</v>
      </c>
      <c r="B190" s="3">
        <f t="shared" si="9"/>
        <v>2.9413808338981412E-2</v>
      </c>
      <c r="D190" s="2">
        <v>474.48654199999999</v>
      </c>
      <c r="E190" s="3">
        <f t="shared" si="10"/>
        <v>0.20317641395343652</v>
      </c>
      <c r="G190" s="3">
        <f t="shared" si="11"/>
        <v>0.11629511114620897</v>
      </c>
    </row>
    <row r="191" spans="1:7" x14ac:dyDescent="0.3">
      <c r="A191" s="2">
        <v>150.68575999999999</v>
      </c>
      <c r="B191" s="3">
        <f t="shared" si="9"/>
        <v>5.9121471599064021E-4</v>
      </c>
      <c r="D191" s="2">
        <v>458.92306500000001</v>
      </c>
      <c r="E191" s="3">
        <f t="shared" si="10"/>
        <v>-3.2800671088369829E-2</v>
      </c>
      <c r="G191" s="3">
        <f t="shared" si="11"/>
        <v>-1.6104728186189594E-2</v>
      </c>
    </row>
    <row r="192" spans="1:7" x14ac:dyDescent="0.3">
      <c r="A192" s="2">
        <v>150.705536</v>
      </c>
      <c r="B192" s="3">
        <f t="shared" si="9"/>
        <v>1.3124000569136291E-4</v>
      </c>
      <c r="D192" s="2">
        <v>454.23803700000002</v>
      </c>
      <c r="E192" s="3">
        <f t="shared" si="10"/>
        <v>-1.0208743811993822E-2</v>
      </c>
      <c r="G192" s="3">
        <f t="shared" si="11"/>
        <v>-5.0387519031512293E-3</v>
      </c>
    </row>
    <row r="193" spans="1:7" x14ac:dyDescent="0.3">
      <c r="A193" s="2">
        <v>150.48791499999999</v>
      </c>
      <c r="B193" s="3">
        <f t="shared" si="9"/>
        <v>-1.4440146379228449E-3</v>
      </c>
      <c r="D193" s="2">
        <v>469.092285</v>
      </c>
      <c r="E193" s="3">
        <f t="shared" si="10"/>
        <v>3.2701462207137849E-2</v>
      </c>
      <c r="G193" s="3">
        <f t="shared" si="11"/>
        <v>1.5628723784607501E-2</v>
      </c>
    </row>
    <row r="194" spans="1:7" x14ac:dyDescent="0.3">
      <c r="A194" s="2">
        <v>152.39707899999999</v>
      </c>
      <c r="B194" s="3">
        <f t="shared" si="9"/>
        <v>1.2686493795863969E-2</v>
      </c>
      <c r="D194" s="2">
        <v>469.50186200000002</v>
      </c>
      <c r="E194" s="3">
        <f t="shared" si="10"/>
        <v>8.7312670256346888E-4</v>
      </c>
      <c r="G194" s="3">
        <f t="shared" si="11"/>
        <v>6.7798102492137189E-3</v>
      </c>
    </row>
    <row r="195" spans="1:7" x14ac:dyDescent="0.3">
      <c r="A195" s="2">
        <v>149.40966800000001</v>
      </c>
      <c r="B195" s="3">
        <f t="shared" si="9"/>
        <v>-1.9602810103728961E-2</v>
      </c>
      <c r="D195" s="2">
        <v>467.613831</v>
      </c>
      <c r="E195" s="3">
        <f t="shared" si="10"/>
        <v>-4.0213493338606019E-3</v>
      </c>
      <c r="G195" s="3">
        <f t="shared" si="11"/>
        <v>-1.1812079718794782E-2</v>
      </c>
    </row>
    <row r="196" spans="1:7" x14ac:dyDescent="0.3">
      <c r="A196" s="2">
        <v>150.438446</v>
      </c>
      <c r="B196" s="3">
        <f t="shared" si="9"/>
        <v>6.8856186736188209E-3</v>
      </c>
      <c r="D196" s="2">
        <v>468.40301499999998</v>
      </c>
      <c r="E196" s="3">
        <f t="shared" si="10"/>
        <v>1.6876831857438738E-3</v>
      </c>
      <c r="G196" s="3">
        <f t="shared" si="11"/>
        <v>4.286650929681347E-3</v>
      </c>
    </row>
    <row r="197" spans="1:7" x14ac:dyDescent="0.3">
      <c r="A197" s="2">
        <v>148.97442599999999</v>
      </c>
      <c r="B197" s="3">
        <f t="shared" si="9"/>
        <v>-9.7316878692033613E-3</v>
      </c>
      <c r="D197" s="2">
        <v>459.63232399999998</v>
      </c>
      <c r="E197" s="3">
        <f t="shared" si="10"/>
        <v>-1.872466811512731E-2</v>
      </c>
      <c r="G197" s="3">
        <f t="shared" si="11"/>
        <v>-1.4228177992165336E-2</v>
      </c>
    </row>
    <row r="198" spans="1:7" x14ac:dyDescent="0.3">
      <c r="A198" s="2">
        <v>149.37998999999999</v>
      </c>
      <c r="B198" s="3">
        <f t="shared" ref="B198:B254" si="12">(A198-A197)/A197</f>
        <v>2.7223733018444272E-3</v>
      </c>
      <c r="D198" s="2">
        <v>472.77838100000002</v>
      </c>
      <c r="E198" s="3">
        <f t="shared" ref="E198:E254" si="13">(D198-D197)/D197</f>
        <v>2.8601245633890715E-2</v>
      </c>
      <c r="G198" s="3">
        <f t="shared" ref="G198:G254" si="14">(B198+E198)/2</f>
        <v>1.566180946786757E-2</v>
      </c>
    </row>
    <row r="199" spans="1:7" x14ac:dyDescent="0.3">
      <c r="A199" s="2">
        <v>154.46000699999999</v>
      </c>
      <c r="B199" s="3">
        <f t="shared" si="12"/>
        <v>3.4007345963806786E-2</v>
      </c>
      <c r="D199" s="2">
        <v>483.51696800000002</v>
      </c>
      <c r="E199" s="3">
        <f t="shared" si="13"/>
        <v>2.2713786060365553E-2</v>
      </c>
      <c r="G199" s="3">
        <f t="shared" si="14"/>
        <v>2.8360566012086169E-2</v>
      </c>
    </row>
    <row r="200" spans="1:7" x14ac:dyDescent="0.3">
      <c r="A200" s="2">
        <v>154.63000500000001</v>
      </c>
      <c r="B200" s="3">
        <f t="shared" si="12"/>
        <v>1.1005955735844358E-3</v>
      </c>
      <c r="D200" s="2">
        <v>472.81832900000001</v>
      </c>
      <c r="E200" s="3">
        <f t="shared" si="13"/>
        <v>-2.2126708488129032E-2</v>
      </c>
      <c r="G200" s="3">
        <f t="shared" si="14"/>
        <v>-1.0513056457272298E-2</v>
      </c>
    </row>
    <row r="201" spans="1:7" x14ac:dyDescent="0.3">
      <c r="A201" s="2">
        <v>154</v>
      </c>
      <c r="B201" s="3">
        <f t="shared" si="12"/>
        <v>-4.0742739418524318E-3</v>
      </c>
      <c r="D201" s="2">
        <v>471.25</v>
      </c>
      <c r="E201" s="3">
        <f t="shared" si="13"/>
        <v>-3.3169801249392887E-3</v>
      </c>
      <c r="G201" s="3">
        <f t="shared" si="14"/>
        <v>-3.6956270333958602E-3</v>
      </c>
    </row>
    <row r="202" spans="1:7" x14ac:dyDescent="0.3">
      <c r="A202" s="2">
        <v>155.44000199999999</v>
      </c>
      <c r="B202" s="3">
        <f t="shared" si="12"/>
        <v>9.3506623376622897E-3</v>
      </c>
      <c r="D202" s="2">
        <v>468.02999899999998</v>
      </c>
      <c r="E202" s="3">
        <f t="shared" si="13"/>
        <v>-6.8328933687003181E-3</v>
      </c>
      <c r="G202" s="3">
        <f t="shared" si="14"/>
        <v>1.2588844844809858E-3</v>
      </c>
    </row>
    <row r="203" spans="1:7" x14ac:dyDescent="0.3">
      <c r="A203" s="2">
        <v>155.429993</v>
      </c>
      <c r="B203" s="3">
        <f t="shared" si="12"/>
        <v>-6.4391404215219999E-5</v>
      </c>
      <c r="D203" s="2">
        <v>486.13000499999998</v>
      </c>
      <c r="E203" s="3">
        <f t="shared" si="13"/>
        <v>3.8672747556081355E-2</v>
      </c>
      <c r="G203" s="3">
        <f t="shared" si="14"/>
        <v>1.9304178075933067E-2</v>
      </c>
    </row>
    <row r="204" spans="1:7" x14ac:dyDescent="0.3">
      <c r="A204" s="2">
        <v>154.66000399999999</v>
      </c>
      <c r="B204" s="3">
        <f t="shared" si="12"/>
        <v>-4.9539280362703841E-3</v>
      </c>
      <c r="D204" s="2">
        <v>484.02999899999998</v>
      </c>
      <c r="E204" s="3">
        <f t="shared" si="13"/>
        <v>-4.3198444416118848E-3</v>
      </c>
      <c r="G204" s="3">
        <f t="shared" si="14"/>
        <v>-4.636886238941134E-3</v>
      </c>
    </row>
    <row r="205" spans="1:7" x14ac:dyDescent="0.3">
      <c r="A205" s="2">
        <v>154.449997</v>
      </c>
      <c r="B205" s="3">
        <f t="shared" si="12"/>
        <v>-1.3578623727437012E-3</v>
      </c>
      <c r="D205" s="2">
        <v>481.73998999999998</v>
      </c>
      <c r="E205" s="3">
        <f t="shared" si="13"/>
        <v>-4.7311303116152476E-3</v>
      </c>
      <c r="G205" s="3">
        <f t="shared" si="14"/>
        <v>-3.0444963421794743E-3</v>
      </c>
    </row>
    <row r="206" spans="1:7" x14ac:dyDescent="0.3">
      <c r="A206" s="2">
        <v>152.16000399999999</v>
      </c>
      <c r="B206" s="3">
        <f t="shared" si="12"/>
        <v>-1.4826759757075357E-2</v>
      </c>
      <c r="D206" s="2">
        <v>487.04998799999998</v>
      </c>
      <c r="E206" s="3">
        <f t="shared" si="13"/>
        <v>1.1022539357797569E-2</v>
      </c>
      <c r="G206" s="3">
        <f t="shared" si="14"/>
        <v>-1.9021101996388942E-3</v>
      </c>
    </row>
    <row r="207" spans="1:7" x14ac:dyDescent="0.3">
      <c r="A207" s="2">
        <v>152.33999600000001</v>
      </c>
      <c r="B207" s="3">
        <f t="shared" si="12"/>
        <v>1.1829126923526305E-3</v>
      </c>
      <c r="D207" s="2">
        <v>484.01998900000001</v>
      </c>
      <c r="E207" s="3">
        <f t="shared" si="13"/>
        <v>-6.2211252944327665E-3</v>
      </c>
      <c r="G207" s="3">
        <f t="shared" si="14"/>
        <v>-2.519106301040068E-3</v>
      </c>
    </row>
    <row r="208" spans="1:7" x14ac:dyDescent="0.3">
      <c r="A208" s="2">
        <v>152.009995</v>
      </c>
      <c r="B208" s="3">
        <f t="shared" si="12"/>
        <v>-2.1662137893190569E-3</v>
      </c>
      <c r="D208" s="2">
        <v>490.13000499999998</v>
      </c>
      <c r="E208" s="3">
        <f t="shared" si="13"/>
        <v>1.2623478655547783E-2</v>
      </c>
      <c r="G208" s="3">
        <f t="shared" si="14"/>
        <v>5.2286324331143634E-3</v>
      </c>
    </row>
    <row r="209" spans="1:7" x14ac:dyDescent="0.3">
      <c r="A209" s="2">
        <v>152.80999800000001</v>
      </c>
      <c r="B209" s="3">
        <f t="shared" si="12"/>
        <v>5.2628315657796305E-3</v>
      </c>
      <c r="D209" s="2">
        <v>502.29998799999998</v>
      </c>
      <c r="E209" s="3">
        <f t="shared" si="13"/>
        <v>2.4830112165852819E-2</v>
      </c>
      <c r="G209" s="3">
        <f t="shared" si="14"/>
        <v>1.5046471865816225E-2</v>
      </c>
    </row>
    <row r="210" spans="1:7" x14ac:dyDescent="0.3">
      <c r="A210" s="2">
        <v>148.88000500000001</v>
      </c>
      <c r="B210" s="3">
        <f t="shared" si="12"/>
        <v>-2.5718166686972903E-2</v>
      </c>
      <c r="D210" s="2">
        <v>498.19000199999999</v>
      </c>
      <c r="E210" s="3">
        <f t="shared" si="13"/>
        <v>-8.1823334624487234E-3</v>
      </c>
      <c r="G210" s="3">
        <f t="shared" si="14"/>
        <v>-1.6950250074710814E-2</v>
      </c>
    </row>
    <row r="211" spans="1:7" x14ac:dyDescent="0.3">
      <c r="A211" s="2">
        <v>149.58999600000001</v>
      </c>
      <c r="B211" s="3">
        <f t="shared" si="12"/>
        <v>4.7688808178103044E-3</v>
      </c>
      <c r="D211" s="2">
        <v>490.22000100000002</v>
      </c>
      <c r="E211" s="3">
        <f t="shared" si="13"/>
        <v>-1.5997914386085908E-2</v>
      </c>
      <c r="G211" s="3">
        <f t="shared" si="14"/>
        <v>-5.6145167841378015E-3</v>
      </c>
    </row>
    <row r="212" spans="1:7" x14ac:dyDescent="0.3">
      <c r="A212" s="2">
        <v>148.33000200000001</v>
      </c>
      <c r="B212" s="3">
        <f t="shared" si="12"/>
        <v>-8.4229830449357446E-3</v>
      </c>
      <c r="D212" s="2">
        <v>496.08999599999999</v>
      </c>
      <c r="E212" s="3">
        <f t="shared" si="13"/>
        <v>1.1974205434347343E-2</v>
      </c>
      <c r="G212" s="3">
        <f t="shared" si="14"/>
        <v>1.7756111947057991E-3</v>
      </c>
    </row>
    <row r="213" spans="1:7" x14ac:dyDescent="0.3">
      <c r="A213" s="2">
        <v>149.36999499999999</v>
      </c>
      <c r="B213" s="3">
        <f t="shared" si="12"/>
        <v>7.0113462278520106E-3</v>
      </c>
      <c r="D213" s="2">
        <v>512.19000200000005</v>
      </c>
      <c r="E213" s="3">
        <f t="shared" si="13"/>
        <v>3.2453800983320104E-2</v>
      </c>
      <c r="G213" s="3">
        <f t="shared" si="14"/>
        <v>1.9732573605586057E-2</v>
      </c>
    </row>
    <row r="214" spans="1:7" x14ac:dyDescent="0.3">
      <c r="A214" s="2">
        <v>149.88000500000001</v>
      </c>
      <c r="B214" s="3">
        <f t="shared" si="12"/>
        <v>3.4144072911030262E-3</v>
      </c>
      <c r="D214" s="2">
        <v>505.95001200000002</v>
      </c>
      <c r="E214" s="3">
        <f t="shared" si="13"/>
        <v>-1.2182959401070139E-2</v>
      </c>
      <c r="G214" s="3">
        <f t="shared" si="14"/>
        <v>-4.3842760549835562E-3</v>
      </c>
    </row>
    <row r="215" spans="1:7" x14ac:dyDescent="0.3">
      <c r="A215" s="2">
        <v>152</v>
      </c>
      <c r="B215" s="3">
        <f t="shared" si="12"/>
        <v>1.4144615220689301E-2</v>
      </c>
      <c r="D215" s="2">
        <v>483.58999599999999</v>
      </c>
      <c r="E215" s="3">
        <f t="shared" si="13"/>
        <v>-4.4194120900623732E-2</v>
      </c>
      <c r="G215" s="3">
        <f t="shared" si="14"/>
        <v>-1.5024752839967216E-2</v>
      </c>
    </row>
    <row r="216" spans="1:7" x14ac:dyDescent="0.3">
      <c r="A216" s="2">
        <v>151.88999899999999</v>
      </c>
      <c r="B216" s="3">
        <f t="shared" si="12"/>
        <v>-7.2369078947375734E-4</v>
      </c>
      <c r="D216" s="2">
        <v>499.75</v>
      </c>
      <c r="E216" s="3">
        <f t="shared" si="13"/>
        <v>3.341674586667838E-2</v>
      </c>
      <c r="G216" s="3">
        <f t="shared" si="14"/>
        <v>1.6346527538602312E-2</v>
      </c>
    </row>
    <row r="217" spans="1:7" x14ac:dyDescent="0.3">
      <c r="A217" s="2">
        <v>153.88999899999999</v>
      </c>
      <c r="B217" s="3">
        <f t="shared" si="12"/>
        <v>1.3167423880225321E-2</v>
      </c>
      <c r="D217" s="2">
        <v>495.57000699999998</v>
      </c>
      <c r="E217" s="3">
        <f t="shared" si="13"/>
        <v>-8.3641680840420701E-3</v>
      </c>
      <c r="G217" s="3">
        <f t="shared" si="14"/>
        <v>2.4016278980916253E-3</v>
      </c>
    </row>
    <row r="218" spans="1:7" x14ac:dyDescent="0.3">
      <c r="A218" s="2">
        <v>155.699997</v>
      </c>
      <c r="B218" s="3">
        <f t="shared" si="12"/>
        <v>1.1761635010472692E-2</v>
      </c>
      <c r="D218" s="2">
        <v>491.82998700000002</v>
      </c>
      <c r="E218" s="3">
        <f t="shared" si="13"/>
        <v>-7.5469054768682936E-3</v>
      </c>
      <c r="G218" s="3">
        <f t="shared" si="14"/>
        <v>2.107364766802199E-3</v>
      </c>
    </row>
    <row r="219" spans="1:7" x14ac:dyDescent="0.3">
      <c r="A219" s="2">
        <v>155.550003</v>
      </c>
      <c r="B219" s="3">
        <f t="shared" si="12"/>
        <v>-9.633526197177282E-4</v>
      </c>
      <c r="D219" s="2">
        <v>484.10000600000001</v>
      </c>
      <c r="E219" s="3">
        <f t="shared" si="13"/>
        <v>-1.5716774504032038E-2</v>
      </c>
      <c r="G219" s="3">
        <f t="shared" si="14"/>
        <v>-8.3400635618748834E-3</v>
      </c>
    </row>
    <row r="220" spans="1:7" x14ac:dyDescent="0.3">
      <c r="A220" s="2">
        <v>155.41000399999999</v>
      </c>
      <c r="B220" s="3">
        <f t="shared" si="12"/>
        <v>-9.0002569784596725E-4</v>
      </c>
      <c r="D220" s="2">
        <v>496.98001099999999</v>
      </c>
      <c r="E220" s="3">
        <f t="shared" si="13"/>
        <v>2.6606083124072474E-2</v>
      </c>
      <c r="G220" s="3">
        <f t="shared" si="14"/>
        <v>1.2853028713113253E-2</v>
      </c>
    </row>
    <row r="221" spans="1:7" x14ac:dyDescent="0.3">
      <c r="A221" s="2">
        <v>156.61999499999999</v>
      </c>
      <c r="B221" s="3">
        <f t="shared" si="12"/>
        <v>7.7857986542488114E-3</v>
      </c>
      <c r="D221" s="2">
        <v>496.23998999999998</v>
      </c>
      <c r="E221" s="3">
        <f t="shared" si="13"/>
        <v>-1.4890357431297432E-3</v>
      </c>
      <c r="G221" s="3">
        <f t="shared" si="14"/>
        <v>3.1483814555595341E-3</v>
      </c>
    </row>
    <row r="222" spans="1:7" x14ac:dyDescent="0.3">
      <c r="A222" s="2">
        <v>154.550003</v>
      </c>
      <c r="B222" s="3">
        <f t="shared" si="12"/>
        <v>-1.3216652190545563E-2</v>
      </c>
      <c r="D222" s="2">
        <v>505.51998900000001</v>
      </c>
      <c r="E222" s="3">
        <f t="shared" si="13"/>
        <v>1.8700627089727355E-2</v>
      </c>
      <c r="G222" s="3">
        <f t="shared" si="14"/>
        <v>2.7419874495908962E-3</v>
      </c>
    </row>
    <row r="223" spans="1:7" x14ac:dyDescent="0.3">
      <c r="A223" s="2">
        <v>154.86000100000001</v>
      </c>
      <c r="B223" s="3">
        <f t="shared" si="12"/>
        <v>2.0058103784055398E-3</v>
      </c>
      <c r="D223" s="2">
        <v>507.76001000000002</v>
      </c>
      <c r="E223" s="3">
        <f t="shared" si="13"/>
        <v>4.4311225050291982E-3</v>
      </c>
      <c r="G223" s="3">
        <f t="shared" si="14"/>
        <v>3.218466441717369E-3</v>
      </c>
    </row>
    <row r="224" spans="1:7" x14ac:dyDescent="0.3">
      <c r="A224" s="2">
        <v>154.66000399999999</v>
      </c>
      <c r="B224" s="3">
        <f t="shared" si="12"/>
        <v>-1.2914697062414756E-3</v>
      </c>
      <c r="D224" s="2">
        <v>509.57998700000002</v>
      </c>
      <c r="E224" s="3">
        <f t="shared" si="13"/>
        <v>3.5843252011910002E-3</v>
      </c>
      <c r="G224" s="3">
        <f t="shared" si="14"/>
        <v>1.1464277474747624E-3</v>
      </c>
    </row>
    <row r="225" spans="1:7" x14ac:dyDescent="0.3">
      <c r="A225" s="2">
        <v>156.470001</v>
      </c>
      <c r="B225" s="3">
        <f t="shared" si="12"/>
        <v>1.1703070950392643E-2</v>
      </c>
      <c r="D225" s="2">
        <v>503.01998900000001</v>
      </c>
      <c r="E225" s="3">
        <f t="shared" si="13"/>
        <v>-1.2873343081269804E-2</v>
      </c>
      <c r="G225" s="3">
        <f t="shared" si="14"/>
        <v>-5.8513606543858076E-4</v>
      </c>
    </row>
    <row r="226" spans="1:7" x14ac:dyDescent="0.3">
      <c r="A226" s="2">
        <v>155.270004</v>
      </c>
      <c r="B226" s="3">
        <f t="shared" si="12"/>
        <v>-7.6691825418982148E-3</v>
      </c>
      <c r="D226" s="2">
        <v>495.89001500000001</v>
      </c>
      <c r="E226" s="3">
        <f t="shared" si="13"/>
        <v>-1.4174335326463545E-2</v>
      </c>
      <c r="G226" s="3">
        <f t="shared" si="14"/>
        <v>-1.092175893418088E-2</v>
      </c>
    </row>
    <row r="227" spans="1:7" x14ac:dyDescent="0.3">
      <c r="A227" s="2">
        <v>156.35000600000001</v>
      </c>
      <c r="B227" s="3">
        <f t="shared" si="12"/>
        <v>6.9556383858920198E-3</v>
      </c>
      <c r="D227" s="2">
        <v>493.85998499999999</v>
      </c>
      <c r="E227" s="3">
        <f t="shared" si="13"/>
        <v>-4.0937101748257836E-3</v>
      </c>
      <c r="G227" s="3">
        <f t="shared" si="14"/>
        <v>1.4309641055331181E-3</v>
      </c>
    </row>
    <row r="228" spans="1:7" x14ac:dyDescent="0.3">
      <c r="A228" s="2">
        <v>157.740005</v>
      </c>
      <c r="B228" s="3">
        <f t="shared" si="12"/>
        <v>8.8903034643950628E-3</v>
      </c>
      <c r="D228" s="2">
        <v>485.57998700000002</v>
      </c>
      <c r="E228" s="3">
        <f t="shared" si="13"/>
        <v>-1.6765881528141985E-2</v>
      </c>
      <c r="G228" s="3">
        <f t="shared" si="14"/>
        <v>-3.937789031873461E-3</v>
      </c>
    </row>
    <row r="229" spans="1:7" x14ac:dyDescent="0.3">
      <c r="A229" s="2">
        <v>159.08000200000001</v>
      </c>
      <c r="B229" s="3">
        <f t="shared" si="12"/>
        <v>8.4949724706805414E-3</v>
      </c>
      <c r="D229" s="2">
        <v>491.35000600000001</v>
      </c>
      <c r="E229" s="3">
        <f t="shared" si="13"/>
        <v>1.1882736427520829E-2</v>
      </c>
      <c r="G229" s="3">
        <f t="shared" si="14"/>
        <v>1.0188854449100684E-2</v>
      </c>
    </row>
    <row r="230" spans="1:7" x14ac:dyDescent="0.3">
      <c r="A230" s="2">
        <v>159.779999</v>
      </c>
      <c r="B230" s="3">
        <f t="shared" si="12"/>
        <v>4.4002828212184467E-3</v>
      </c>
      <c r="D230" s="2">
        <v>497.36999500000002</v>
      </c>
      <c r="E230" s="3">
        <f t="shared" si="13"/>
        <v>1.2251936351864031E-2</v>
      </c>
      <c r="G230" s="3">
        <f t="shared" si="14"/>
        <v>8.3261095865412391E-3</v>
      </c>
    </row>
    <row r="231" spans="1:7" x14ac:dyDescent="0.3">
      <c r="A231" s="2">
        <v>160.44000199999999</v>
      </c>
      <c r="B231" s="3">
        <f t="shared" si="12"/>
        <v>4.13069848623537E-3</v>
      </c>
      <c r="D231" s="2">
        <v>506.73998999999998</v>
      </c>
      <c r="E231" s="3">
        <f t="shared" si="13"/>
        <v>1.8839083769015781E-2</v>
      </c>
      <c r="G231" s="3">
        <f t="shared" si="14"/>
        <v>1.1484891127625576E-2</v>
      </c>
    </row>
    <row r="232" spans="1:7" x14ac:dyDescent="0.3">
      <c r="A232" s="2">
        <v>160.69000199999999</v>
      </c>
      <c r="B232" s="3">
        <f t="shared" si="12"/>
        <v>1.55821488957598E-3</v>
      </c>
      <c r="D232" s="2">
        <v>510.92001299999998</v>
      </c>
      <c r="E232" s="3">
        <f t="shared" si="13"/>
        <v>8.2488516448050719E-3</v>
      </c>
      <c r="G232" s="3">
        <f t="shared" si="14"/>
        <v>4.9035332671905256E-3</v>
      </c>
    </row>
    <row r="233" spans="1:7" x14ac:dyDescent="0.3">
      <c r="A233" s="2">
        <v>161.60000600000001</v>
      </c>
      <c r="B233" s="3">
        <f t="shared" si="12"/>
        <v>5.6631027983932375E-3</v>
      </c>
      <c r="D233" s="2">
        <v>527.34002699999996</v>
      </c>
      <c r="E233" s="3">
        <f t="shared" si="13"/>
        <v>3.2138130396547962E-2</v>
      </c>
      <c r="G233" s="3">
        <f t="shared" si="14"/>
        <v>1.8900616597470599E-2</v>
      </c>
    </row>
    <row r="234" spans="1:7" x14ac:dyDescent="0.3">
      <c r="A234" s="2">
        <v>161.270004</v>
      </c>
      <c r="B234" s="3">
        <f t="shared" si="12"/>
        <v>-2.0420915083382324E-3</v>
      </c>
      <c r="D234" s="2">
        <v>519.25</v>
      </c>
      <c r="E234" s="3">
        <f t="shared" si="13"/>
        <v>-1.5341196544520912E-2</v>
      </c>
      <c r="G234" s="3">
        <f t="shared" si="14"/>
        <v>-8.6916440264295722E-3</v>
      </c>
    </row>
    <row r="235" spans="1:7" x14ac:dyDescent="0.3">
      <c r="A235" s="2">
        <v>162</v>
      </c>
      <c r="B235" s="3">
        <f t="shared" si="12"/>
        <v>4.5265454324661634E-3</v>
      </c>
      <c r="D235" s="2">
        <v>516.90002400000003</v>
      </c>
      <c r="E235" s="3">
        <f t="shared" si="13"/>
        <v>-4.5257120847375437E-3</v>
      </c>
      <c r="G235" s="3">
        <f t="shared" si="14"/>
        <v>4.1667386430988343E-7</v>
      </c>
    </row>
    <row r="236" spans="1:7" x14ac:dyDescent="0.3">
      <c r="A236" s="2">
        <v>162.66999799999999</v>
      </c>
      <c r="B236" s="3">
        <f t="shared" si="12"/>
        <v>4.1357901234567443E-3</v>
      </c>
      <c r="D236" s="2">
        <v>519.830017</v>
      </c>
      <c r="E236" s="3">
        <f t="shared" si="13"/>
        <v>5.6683940103666305E-3</v>
      </c>
      <c r="G236" s="3">
        <f t="shared" si="14"/>
        <v>4.9020920669116874E-3</v>
      </c>
    </row>
    <row r="237" spans="1:7" x14ac:dyDescent="0.3">
      <c r="A237" s="2">
        <v>161.88999899999999</v>
      </c>
      <c r="B237" s="3">
        <f t="shared" si="12"/>
        <v>-4.794977620888664E-3</v>
      </c>
      <c r="D237" s="2">
        <v>523.15997300000004</v>
      </c>
      <c r="E237" s="3">
        <f t="shared" si="13"/>
        <v>6.4058555510464847E-3</v>
      </c>
      <c r="G237" s="3">
        <f t="shared" si="14"/>
        <v>8.0543896507891035E-4</v>
      </c>
    </row>
    <row r="238" spans="1:7" x14ac:dyDescent="0.3">
      <c r="A238" s="2">
        <v>158.96000699999999</v>
      </c>
      <c r="B238" s="3">
        <f t="shared" si="12"/>
        <v>-1.8098659695463946E-2</v>
      </c>
      <c r="D238" s="2">
        <v>511.89999399999999</v>
      </c>
      <c r="E238" s="3">
        <f t="shared" si="13"/>
        <v>-2.1523013191225245E-2</v>
      </c>
      <c r="G238" s="3">
        <f t="shared" si="14"/>
        <v>-1.9810836443344595E-2</v>
      </c>
    </row>
    <row r="239" spans="1:7" x14ac:dyDescent="0.3">
      <c r="A239" s="2">
        <v>157.58999600000001</v>
      </c>
      <c r="B239" s="3">
        <f t="shared" si="12"/>
        <v>-8.618589202754481E-3</v>
      </c>
      <c r="D239" s="2">
        <v>500.23001099999999</v>
      </c>
      <c r="E239" s="3">
        <f t="shared" si="13"/>
        <v>-2.2797388428959432E-2</v>
      </c>
      <c r="G239" s="3">
        <f t="shared" si="14"/>
        <v>-1.5707988815856957E-2</v>
      </c>
    </row>
    <row r="240" spans="1:7" x14ac:dyDescent="0.3">
      <c r="A240" s="2">
        <v>156.279999</v>
      </c>
      <c r="B240" s="3">
        <f t="shared" si="12"/>
        <v>-8.312691371602102E-3</v>
      </c>
      <c r="D240" s="2">
        <v>499.76001000000002</v>
      </c>
      <c r="E240" s="3">
        <f t="shared" si="13"/>
        <v>-9.3956977723187404E-4</v>
      </c>
      <c r="G240" s="3">
        <f t="shared" si="14"/>
        <v>-4.6261305744169879E-3</v>
      </c>
    </row>
    <row r="241" spans="1:7" x14ac:dyDescent="0.3">
      <c r="A241" s="2">
        <v>156.39999399999999</v>
      </c>
      <c r="B241" s="3">
        <f t="shared" si="12"/>
        <v>7.6782058336197418E-4</v>
      </c>
      <c r="D241" s="2">
        <v>494.17001299999998</v>
      </c>
      <c r="E241" s="3">
        <f t="shared" si="13"/>
        <v>-1.1185362750413021E-2</v>
      </c>
      <c r="G241" s="3">
        <f t="shared" si="14"/>
        <v>-5.2087710835255234E-3</v>
      </c>
    </row>
    <row r="242" spans="1:7" x14ac:dyDescent="0.3">
      <c r="A242" s="2">
        <v>157.570007</v>
      </c>
      <c r="B242" s="3">
        <f t="shared" si="12"/>
        <v>7.480901821518047E-3</v>
      </c>
      <c r="D242" s="2">
        <v>501.79998799999998</v>
      </c>
      <c r="E242" s="3">
        <f t="shared" si="13"/>
        <v>1.5439979762592357E-2</v>
      </c>
      <c r="G242" s="3">
        <f t="shared" si="14"/>
        <v>1.1460440792055201E-2</v>
      </c>
    </row>
    <row r="243" spans="1:7" x14ac:dyDescent="0.3">
      <c r="A243" s="2">
        <v>160</v>
      </c>
      <c r="B243" s="3">
        <f t="shared" si="12"/>
        <v>1.5421672222176115E-2</v>
      </c>
      <c r="D243" s="2">
        <v>481.07000699999998</v>
      </c>
      <c r="E243" s="3">
        <f t="shared" si="13"/>
        <v>-4.1311242518403589E-2</v>
      </c>
      <c r="G243" s="3">
        <f t="shared" si="14"/>
        <v>-1.2944785148113737E-2</v>
      </c>
    </row>
    <row r="244" spans="1:7" x14ac:dyDescent="0.3">
      <c r="A244" s="2">
        <v>161.91999799999999</v>
      </c>
      <c r="B244" s="3">
        <f t="shared" si="12"/>
        <v>1.1999987499999953E-2</v>
      </c>
      <c r="D244" s="2">
        <v>481.73001099999999</v>
      </c>
      <c r="E244" s="3">
        <f t="shared" si="13"/>
        <v>1.3719500080993719E-3</v>
      </c>
      <c r="G244" s="3">
        <f t="shared" si="14"/>
        <v>6.6859687540496626E-3</v>
      </c>
    </row>
    <row r="245" spans="1:7" x14ac:dyDescent="0.3">
      <c r="A245" s="2">
        <v>162.85000600000001</v>
      </c>
      <c r="B245" s="3">
        <f t="shared" si="12"/>
        <v>5.7436265531575362E-3</v>
      </c>
      <c r="D245" s="2">
        <v>496.10000600000001</v>
      </c>
      <c r="E245" s="3">
        <f t="shared" si="13"/>
        <v>2.982997669206874E-2</v>
      </c>
      <c r="G245" s="3">
        <f t="shared" si="14"/>
        <v>1.778680162261314E-2</v>
      </c>
    </row>
    <row r="246" spans="1:7" x14ac:dyDescent="0.3">
      <c r="A246" s="2">
        <v>163.570007</v>
      </c>
      <c r="B246" s="3">
        <f t="shared" si="12"/>
        <v>4.4212525236259209E-3</v>
      </c>
      <c r="D246" s="2">
        <v>493.5</v>
      </c>
      <c r="E246" s="3">
        <f t="shared" si="13"/>
        <v>-5.240890886020283E-3</v>
      </c>
      <c r="G246" s="3">
        <f t="shared" si="14"/>
        <v>-4.0981918119718103E-4</v>
      </c>
    </row>
    <row r="247" spans="1:7" x14ac:dyDescent="0.3">
      <c r="A247" s="2">
        <v>165.279999</v>
      </c>
      <c r="B247" s="3">
        <f t="shared" si="12"/>
        <v>1.0454190418907298E-2</v>
      </c>
      <c r="D247" s="2">
        <v>441.38000499999998</v>
      </c>
      <c r="E247" s="3">
        <f t="shared" si="13"/>
        <v>-0.10561295845997977</v>
      </c>
      <c r="G247" s="3">
        <f t="shared" si="14"/>
        <v>-4.7579384020536235E-2</v>
      </c>
    </row>
    <row r="248" spans="1:7" x14ac:dyDescent="0.3">
      <c r="A248" s="2">
        <v>165.88999899999999</v>
      </c>
      <c r="B248" s="3">
        <f t="shared" si="12"/>
        <v>3.6907067019039926E-3</v>
      </c>
      <c r="D248" s="2">
        <v>443.290009</v>
      </c>
      <c r="E248" s="3">
        <f t="shared" si="13"/>
        <v>4.3273460020011893E-3</v>
      </c>
      <c r="G248" s="3">
        <f t="shared" si="14"/>
        <v>4.0090263519525909E-3</v>
      </c>
    </row>
    <row r="249" spans="1:7" x14ac:dyDescent="0.3">
      <c r="A249" s="2">
        <v>166.33000200000001</v>
      </c>
      <c r="B249" s="3">
        <f t="shared" si="12"/>
        <v>2.6523780978503627E-3</v>
      </c>
      <c r="D249" s="2">
        <v>432.61999500000002</v>
      </c>
      <c r="E249" s="3">
        <f t="shared" si="13"/>
        <v>-2.4070052975184424E-2</v>
      </c>
      <c r="G249" s="3">
        <f t="shared" si="14"/>
        <v>-1.070883743866703E-2</v>
      </c>
    </row>
    <row r="250" spans="1:7" x14ac:dyDescent="0.3">
      <c r="A250" s="2">
        <v>161.270004</v>
      </c>
      <c r="B250" s="3">
        <f t="shared" si="12"/>
        <v>-3.0421438941604817E-2</v>
      </c>
      <c r="D250" s="2">
        <v>430.17001299999998</v>
      </c>
      <c r="E250" s="3">
        <f t="shared" si="13"/>
        <v>-5.6631270591180928E-3</v>
      </c>
      <c r="G250" s="3">
        <f t="shared" si="14"/>
        <v>-1.8042283000361453E-2</v>
      </c>
    </row>
    <row r="251" spans="1:7" x14ac:dyDescent="0.3">
      <c r="A251" s="2">
        <v>159.63000500000001</v>
      </c>
      <c r="B251" s="3">
        <f t="shared" si="12"/>
        <v>-1.0169274876436344E-2</v>
      </c>
      <c r="D251" s="2">
        <v>439.19000199999999</v>
      </c>
      <c r="E251" s="3">
        <f t="shared" si="13"/>
        <v>2.0968428127043831E-2</v>
      </c>
      <c r="G251" s="3">
        <f t="shared" si="14"/>
        <v>5.3995766253037434E-3</v>
      </c>
    </row>
    <row r="252" spans="1:7" x14ac:dyDescent="0.3">
      <c r="A252" s="2">
        <v>160.729996</v>
      </c>
      <c r="B252" s="3">
        <f t="shared" si="12"/>
        <v>6.8908786916343735E-3</v>
      </c>
      <c r="D252" s="2">
        <v>441.67999300000002</v>
      </c>
      <c r="E252" s="3">
        <f t="shared" si="13"/>
        <v>5.6695074766297433E-3</v>
      </c>
      <c r="G252" s="3">
        <f t="shared" si="14"/>
        <v>6.2801930841320588E-3</v>
      </c>
    </row>
    <row r="253" spans="1:7" x14ac:dyDescent="0.3">
      <c r="A253" s="2">
        <v>160.25</v>
      </c>
      <c r="B253" s="3">
        <f t="shared" si="12"/>
        <v>-2.9863498534523692E-3</v>
      </c>
      <c r="D253" s="2">
        <v>451.959991</v>
      </c>
      <c r="E253" s="3">
        <f t="shared" si="13"/>
        <v>2.3274764904282132E-2</v>
      </c>
      <c r="G253" s="3">
        <f t="shared" si="14"/>
        <v>1.0144207525414881E-2</v>
      </c>
    </row>
    <row r="254" spans="1:7" x14ac:dyDescent="0.3">
      <c r="A254" s="2">
        <v>162.300003</v>
      </c>
      <c r="B254" s="3">
        <f t="shared" si="12"/>
        <v>1.2792530421216872E-2</v>
      </c>
      <c r="D254" s="2">
        <v>465.67999300000002</v>
      </c>
      <c r="E254" s="3">
        <f t="shared" si="13"/>
        <v>3.0356673761417131E-2</v>
      </c>
      <c r="G254" s="3">
        <f t="shared" si="14"/>
        <v>2.1574602091317001E-2</v>
      </c>
    </row>
  </sheetData>
  <mergeCells count="1">
    <mergeCell ref="J14:L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AM254"/>
  <sheetViews>
    <sheetView workbookViewId="0">
      <selection activeCell="L9" sqref="L9"/>
    </sheetView>
  </sheetViews>
  <sheetFormatPr defaultColWidth="9.109375" defaultRowHeight="14.4" x14ac:dyDescent="0.3"/>
  <cols>
    <col min="1" max="1" width="11" bestFit="1" customWidth="1"/>
    <col min="2" max="2" width="11.5546875" style="1" customWidth="1"/>
    <col min="4" max="4" width="8.5546875" customWidth="1"/>
    <col min="5" max="5" width="9.5546875" style="1" customWidth="1"/>
    <col min="6" max="6" width="11.6640625" style="1" customWidth="1"/>
    <col min="7" max="7" width="13.88671875" style="1" customWidth="1"/>
    <col min="8" max="8" width="16.33203125" style="1" customWidth="1"/>
    <col min="9" max="9" width="17" customWidth="1"/>
    <col min="10" max="10" width="11.6640625" style="1" customWidth="1"/>
    <col min="11" max="11" width="13" style="1" customWidth="1"/>
    <col min="12" max="12" width="15.33203125" style="1" customWidth="1"/>
    <col min="13" max="13" width="11.5546875" style="1" customWidth="1"/>
    <col min="14" max="14" width="11.33203125" style="1" customWidth="1"/>
    <col min="15" max="15" width="13.77734375" style="1" customWidth="1"/>
    <col min="16" max="16" width="12.33203125" style="1" bestFit="1" customWidth="1"/>
    <col min="17" max="17" width="9.109375" style="1"/>
    <col min="18" max="18" width="9.5546875" style="1" customWidth="1"/>
    <col min="19" max="19" width="13.44140625" style="1" customWidth="1"/>
    <col min="20" max="36" width="9.109375" style="1"/>
    <col min="37" max="37" width="11.109375" style="1" customWidth="1"/>
    <col min="38" max="38" width="10.88671875" style="1" customWidth="1"/>
    <col min="39" max="39" width="10.6640625" style="1" customWidth="1"/>
    <col min="40" max="16384" width="9.109375" style="1"/>
  </cols>
  <sheetData>
    <row r="2" spans="1:39" x14ac:dyDescent="0.3">
      <c r="A2" t="s">
        <v>5</v>
      </c>
      <c r="D2" t="s">
        <v>4</v>
      </c>
      <c r="G2" s="1" t="s">
        <v>11</v>
      </c>
      <c r="I2" s="2"/>
      <c r="J2" s="5" t="s">
        <v>5</v>
      </c>
      <c r="K2" s="5" t="s">
        <v>4</v>
      </c>
      <c r="M2" s="6" t="s">
        <v>17</v>
      </c>
      <c r="N2" s="7"/>
    </row>
    <row r="3" spans="1:39" x14ac:dyDescent="0.3">
      <c r="A3" s="5" t="s">
        <v>3</v>
      </c>
      <c r="B3" s="5" t="s">
        <v>0</v>
      </c>
      <c r="D3" s="4" t="s">
        <v>10</v>
      </c>
      <c r="E3" s="5" t="s">
        <v>0</v>
      </c>
      <c r="G3" s="5" t="s">
        <v>0</v>
      </c>
      <c r="I3" s="5" t="s">
        <v>12</v>
      </c>
      <c r="J3" s="3">
        <f>AVERAGE(B5:B254)*252</f>
        <v>7.8924268418753801E-2</v>
      </c>
      <c r="K3" s="3">
        <f>AVERAGE(E5:E254)*252</f>
        <v>0.7617910955098981</v>
      </c>
      <c r="M3" s="5" t="s">
        <v>14</v>
      </c>
      <c r="N3" s="3">
        <v>1000000</v>
      </c>
    </row>
    <row r="4" spans="1:39" x14ac:dyDescent="0.3">
      <c r="A4" s="2">
        <v>153.232361</v>
      </c>
      <c r="B4" s="3"/>
      <c r="D4" s="2">
        <v>233.02276599999999</v>
      </c>
      <c r="E4" s="3"/>
      <c r="G4" s="3">
        <f>(B4+E4)/2</f>
        <v>0</v>
      </c>
      <c r="I4" s="5" t="s">
        <v>13</v>
      </c>
      <c r="J4" s="3">
        <f>_xlfn.STDEV.P(B5:B254)*SQRT(252)</f>
        <v>0.20428351540755679</v>
      </c>
      <c r="K4" s="3">
        <f>_xlfn.STDEV.P(E5:E254)*SQRT(252)</f>
        <v>0.36024361705741259</v>
      </c>
      <c r="M4" s="5" t="s">
        <v>8</v>
      </c>
      <c r="N4" s="3">
        <v>0.5</v>
      </c>
    </row>
    <row r="5" spans="1:39" x14ac:dyDescent="0.3">
      <c r="A5" s="2">
        <v>152.79063400000001</v>
      </c>
      <c r="B5" s="3">
        <f>(A5-A4)/A4</f>
        <v>-2.8827265801901073E-3</v>
      </c>
      <c r="D5" s="2">
        <v>233.12264999999999</v>
      </c>
      <c r="E5" s="3">
        <f>(D5-D4)/D4</f>
        <v>4.2864481318534762E-4</v>
      </c>
      <c r="G5" s="3">
        <f t="shared" ref="G5:G36" si="0">(B127+E127)/2</f>
        <v>1.1554753875994198E-2</v>
      </c>
      <c r="I5" s="5" t="s">
        <v>15</v>
      </c>
      <c r="J5" s="3" cm="1">
        <f t="array" ref="J5">SQRT(CalculateEWMA(B5:B254, 0.94)*252)</f>
        <v>0.17099003542495916</v>
      </c>
      <c r="K5" s="3" cm="1">
        <f t="array" ref="K5">SQRT(CalculateEWMA(E5:E254, 0.94)*252)</f>
        <v>0.45708591386692743</v>
      </c>
      <c r="M5" s="5" t="s">
        <v>9</v>
      </c>
      <c r="N5" s="3">
        <v>0.5</v>
      </c>
    </row>
    <row r="6" spans="1:39" x14ac:dyDescent="0.3">
      <c r="A6" s="2">
        <v>150.84137000000001</v>
      </c>
      <c r="B6" s="3">
        <f t="shared" ref="B6:B69" si="1">(A6-A5)/A5</f>
        <v>-1.2757745347139533E-2</v>
      </c>
      <c r="D6" s="2">
        <v>232.83296200000001</v>
      </c>
      <c r="E6" s="3">
        <f t="shared" ref="E6:E69" si="2">(D6-D5)/D5</f>
        <v>-1.2426420169811211E-3</v>
      </c>
      <c r="G6" s="3">
        <f t="shared" si="0"/>
        <v>1.5028235094877281E-2</v>
      </c>
      <c r="M6" s="5" t="s">
        <v>6</v>
      </c>
      <c r="N6" s="2">
        <f>AVERAGE(G5:G127)*252</f>
        <v>0.57922747445833367</v>
      </c>
    </row>
    <row r="7" spans="1:39" x14ac:dyDescent="0.3">
      <c r="A7" s="2">
        <v>150.00599700000001</v>
      </c>
      <c r="B7" s="3">
        <f t="shared" si="1"/>
        <v>-5.538089451189711E-3</v>
      </c>
      <c r="D7" s="2">
        <v>235.540085</v>
      </c>
      <c r="E7" s="3">
        <f t="shared" si="2"/>
        <v>1.1626888979748475E-2</v>
      </c>
      <c r="G7" s="3">
        <f t="shared" si="0"/>
        <v>2.1340224873931304E-3</v>
      </c>
      <c r="I7" s="5" t="s">
        <v>1</v>
      </c>
      <c r="J7" s="3">
        <f>CORREL(B5:B254, E5:E254)</f>
        <v>-1.5732212994739477E-2</v>
      </c>
      <c r="M7" s="5" t="s">
        <v>2</v>
      </c>
      <c r="N7" s="3">
        <f>(N4*J4)^2 + (N5*K4)^2 + (2*J7*N4*N5*J4*K4)</f>
        <v>4.2297923382722154E-2</v>
      </c>
      <c r="O7" s="5" t="s">
        <v>39</v>
      </c>
      <c r="P7" s="3">
        <f>(J3*J5)^2 + (K3*K5)^2 + (2*J7*J3*K3*J5*K5)</f>
        <v>0.12128027854999046</v>
      </c>
    </row>
    <row r="8" spans="1:39" x14ac:dyDescent="0.3">
      <c r="A8" s="2">
        <v>150.39009100000001</v>
      </c>
      <c r="B8" s="3">
        <f t="shared" si="1"/>
        <v>2.560524296905307E-3</v>
      </c>
      <c r="D8" s="2">
        <v>233.56218000000001</v>
      </c>
      <c r="E8" s="3">
        <f t="shared" si="2"/>
        <v>-8.3973180191388337E-3</v>
      </c>
      <c r="G8" s="3">
        <f t="shared" si="0"/>
        <v>-1.590511753716032E-4</v>
      </c>
      <c r="M8" s="5" t="s">
        <v>7</v>
      </c>
      <c r="N8" s="3">
        <f>SQRT(N7)</f>
        <v>0.20566458952071004</v>
      </c>
      <c r="O8" s="5" t="s">
        <v>40</v>
      </c>
      <c r="P8" s="3">
        <f>SQRT(P7)</f>
        <v>0.34825318167963731</v>
      </c>
    </row>
    <row r="9" spans="1:39" x14ac:dyDescent="0.3">
      <c r="A9" s="2">
        <v>150.94702100000001</v>
      </c>
      <c r="B9" s="3">
        <f t="shared" si="1"/>
        <v>3.7032360064200914E-3</v>
      </c>
      <c r="D9" s="2">
        <v>238.606842</v>
      </c>
      <c r="E9" s="3">
        <f t="shared" si="2"/>
        <v>2.1598796517484073E-2</v>
      </c>
      <c r="G9" s="3">
        <f t="shared" si="0"/>
        <v>-4.0280300328129201E-3</v>
      </c>
    </row>
    <row r="10" spans="1:39" x14ac:dyDescent="0.3">
      <c r="A10" s="2">
        <v>147.40379300000001</v>
      </c>
      <c r="B10" s="3">
        <f t="shared" si="1"/>
        <v>-2.3473321808715912E-2</v>
      </c>
      <c r="D10" s="2">
        <v>238.566879</v>
      </c>
      <c r="E10" s="3">
        <f t="shared" si="2"/>
        <v>-1.6748471948679574E-4</v>
      </c>
      <c r="G10" s="3">
        <f t="shared" si="0"/>
        <v>-5.4538105657252513E-3</v>
      </c>
      <c r="I10" t="s">
        <v>41</v>
      </c>
      <c r="U10" t="s">
        <v>16</v>
      </c>
      <c r="AA10" s="1" t="s">
        <v>18</v>
      </c>
      <c r="AF10" s="1" t="s">
        <v>19</v>
      </c>
    </row>
    <row r="11" spans="1:39" x14ac:dyDescent="0.3">
      <c r="A11" s="2">
        <v>149.516312</v>
      </c>
      <c r="B11" s="3">
        <f t="shared" si="1"/>
        <v>1.433151045170182E-2</v>
      </c>
      <c r="D11" s="2">
        <v>242.23298600000001</v>
      </c>
      <c r="E11" s="3">
        <f t="shared" si="2"/>
        <v>1.5367208622450943E-2</v>
      </c>
      <c r="G11" s="3">
        <f t="shared" si="0"/>
        <v>-4.1125492633387983E-4</v>
      </c>
      <c r="I11" s="2"/>
      <c r="J11" s="5">
        <v>0.95</v>
      </c>
      <c r="K11" s="5">
        <v>0.99</v>
      </c>
      <c r="L11" s="5">
        <v>0.995</v>
      </c>
      <c r="U11" s="2"/>
      <c r="V11" s="5">
        <v>0.95</v>
      </c>
      <c r="W11" s="5">
        <v>0.99</v>
      </c>
      <c r="X11" s="5">
        <v>0.995</v>
      </c>
      <c r="AA11" s="3"/>
      <c r="AB11" s="5">
        <v>0.95</v>
      </c>
      <c r="AC11" s="5">
        <v>0.99</v>
      </c>
      <c r="AD11" s="5">
        <v>0.995</v>
      </c>
      <c r="AF11" s="3"/>
      <c r="AG11" s="5">
        <v>0.95</v>
      </c>
      <c r="AH11" s="5">
        <v>0.99</v>
      </c>
      <c r="AI11" s="5">
        <v>0.995</v>
      </c>
      <c r="AK11" s="5">
        <v>0.95</v>
      </c>
      <c r="AL11" s="5">
        <v>0.99</v>
      </c>
      <c r="AM11" s="5">
        <v>0.995</v>
      </c>
    </row>
    <row r="12" spans="1:39" x14ac:dyDescent="0.3">
      <c r="A12" s="2">
        <v>149.33204699999999</v>
      </c>
      <c r="B12" s="3">
        <f t="shared" si="1"/>
        <v>-1.2324073376021377E-3</v>
      </c>
      <c r="D12" s="2">
        <v>246.588379</v>
      </c>
      <c r="E12" s="3">
        <f t="shared" si="2"/>
        <v>1.79801812788618E-2</v>
      </c>
      <c r="G12" s="3">
        <f t="shared" si="0"/>
        <v>1.6379597831510686E-2</v>
      </c>
      <c r="I12" s="5">
        <v>1</v>
      </c>
      <c r="J12" s="3" cm="1">
        <f t="array" ref="J12">TwoAssetsVaR($N$6,$P$8,J$11,$I12)*$N$3</f>
        <v>33786.093547468219</v>
      </c>
      <c r="K12" s="3" cm="1">
        <f t="array" ref="K12">TwoAssetsVaR($N$6,$P$8,K$11,$I12)*$N$3</f>
        <v>48736.63827255959</v>
      </c>
      <c r="L12" s="3" cm="1">
        <f t="array" ref="L12">TwoAssetsVaR($N$6,$P$8,L$11,$I12)*$N$3</f>
        <v>54209.734026295046</v>
      </c>
      <c r="U12" s="5">
        <v>1</v>
      </c>
      <c r="V12" s="3" cm="1">
        <f t="array" ref="V12">TwoAssetsVaR($N$6,$N$8,V$11,$U12)*$N$3</f>
        <v>19011.628414528772</v>
      </c>
      <c r="W12" s="3" cm="1">
        <f t="array" ref="W12">TwoAssetsVaR($N$6,$N$8,W$11,$U12)*$N$3</f>
        <v>27840.830287623157</v>
      </c>
      <c r="X12" s="3" cm="1">
        <f t="array" ref="X12">TwoAssetsVaR($N$6,$N$8,X$11,$U12)*$N$3</f>
        <v>31073.024710573238</v>
      </c>
      <c r="AA12" s="5">
        <v>1</v>
      </c>
      <c r="AB12" s="3" cm="1">
        <f t="array" ref="AB12">SingleAssetVaR($J$3,$J$4,AB$11,$AA12)*$N$3</f>
        <v>20853.857167988841</v>
      </c>
      <c r="AC12" s="3" cm="1">
        <f t="array" ref="AC12">SingleAssetVaR($J$3,$J$4,AC$11,$AA12)*$N$3</f>
        <v>29623.76938808486</v>
      </c>
      <c r="AD12" s="3" cm="1">
        <f t="array" ref="AD12">SingleAssetVaR($J$3,$J$4,AD$11,$AA12)*$N$3</f>
        <v>32834.259053513888</v>
      </c>
      <c r="AF12" s="5">
        <v>1</v>
      </c>
      <c r="AG12" s="3" cm="1">
        <f t="array" ref="AG12">SingleAssetVaR($K$3,$K$4,AG$11,$AF12)*$N$3</f>
        <v>34304.036154077672</v>
      </c>
      <c r="AH12" s="3" cm="1">
        <f t="array" ref="AH12">SingleAssetVaR($K$3,$K$4,AH$11,$AF12)*$N$3</f>
        <v>49769.331496878127</v>
      </c>
      <c r="AI12" s="3" cm="1">
        <f t="array" ref="AI12">SingleAssetVaR($K$3,$K$4,AI$11,$AF12)*$N$3</f>
        <v>55430.867168477445</v>
      </c>
      <c r="AK12" s="3" t="str" cm="1">
        <f t="array" ref="AK12">CheckVaRAdditivity(AG12,AB12,V12)</f>
        <v>Subadditive</v>
      </c>
      <c r="AL12" s="3" t="str" cm="1">
        <f t="array" ref="AL12">CheckVaRAdditivity(AH12,AC12,W12)</f>
        <v>Subadditive</v>
      </c>
      <c r="AM12" s="3" t="str" cm="1">
        <f t="array" ref="AM12">CheckVaRAdditivity(AI12,AD12,X12)</f>
        <v>Subadditive</v>
      </c>
    </row>
    <row r="13" spans="1:39" x14ac:dyDescent="0.3">
      <c r="A13" s="2">
        <v>150.51499899999999</v>
      </c>
      <c r="B13" s="3">
        <f t="shared" si="1"/>
        <v>7.9216218070057021E-3</v>
      </c>
      <c r="D13" s="2">
        <v>245.37965399999999</v>
      </c>
      <c r="E13" s="3">
        <f t="shared" si="2"/>
        <v>-4.9017922292275392E-3</v>
      </c>
      <c r="G13" s="3">
        <f t="shared" si="0"/>
        <v>4.3113645048985898E-3</v>
      </c>
      <c r="I13" s="5">
        <f>I12+1</f>
        <v>2</v>
      </c>
      <c r="J13" s="3" cm="1">
        <f t="array" ref="J13">TwoAssetsVaR($N$6,$P$8,J$11,$I13)*$N$3</f>
        <v>46434.308861901627</v>
      </c>
      <c r="K13" s="3" cm="1">
        <f t="array" ref="K13">TwoAssetsVaR($N$6,$P$8,K$11,$I13)*$N$3</f>
        <v>67577.571976991385</v>
      </c>
      <c r="L13" s="3" cm="1">
        <f t="array" ref="L13">TwoAssetsVaR($N$6,$P$8,L$11,$I13)*$N$3</f>
        <v>75317.69822009065</v>
      </c>
      <c r="U13" s="5">
        <f>U12+1</f>
        <v>2</v>
      </c>
      <c r="V13" s="3" cm="1">
        <f t="array" ref="V13">TwoAssetsVaR($N$6,$N$8,V$11,$U13)*$N$3</f>
        <v>25540.059894090256</v>
      </c>
      <c r="W13" s="3" cm="1">
        <f t="array" ref="W13">TwoAssetsVaR($N$6,$N$8,W$11,$U13)*$N$3</f>
        <v>38026.436927950272</v>
      </c>
      <c r="X13" s="3" cm="1">
        <f t="array" ref="X13">TwoAssetsVaR($N$6,$N$8,X$11,$U13)*$N$3</f>
        <v>42597.450117112952</v>
      </c>
      <c r="AA13" s="5">
        <f>AA12+1</f>
        <v>2</v>
      </c>
      <c r="AB13" s="3" cm="1">
        <f t="array" ref="AB13">SingleAssetVaR($J$3,$J$4,AB$11,$AA13)*$N$3</f>
        <v>29308.344277462267</v>
      </c>
      <c r="AC13" s="3" cm="1">
        <f t="array" ref="AC13">SingleAssetVaR($J$3,$J$4,AC$11,$AA13)*$N$3</f>
        <v>41710.873079943594</v>
      </c>
      <c r="AD13" s="3" cm="1">
        <f t="array" ref="AD13">SingleAssetVaR($J$3,$J$4,AD$11,$AA13)*$N$3</f>
        <v>46251.191106651975</v>
      </c>
      <c r="AF13" s="5">
        <f>AF12+1</f>
        <v>2</v>
      </c>
      <c r="AG13" s="3" cm="1">
        <f t="array" ref="AG13">SingleAssetVaR($K$3,$K$4,AG$11,$AF13)*$N$3</f>
        <v>46742.412173016804</v>
      </c>
      <c r="AH13" s="3" cm="1">
        <f t="array" ref="AH13">SingleAssetVaR($K$3,$K$4,AH$11,$AF13)*$N$3</f>
        <v>68613.642592910663</v>
      </c>
      <c r="AI13" s="3" cm="1">
        <f t="array" ref="AI13">SingleAssetVaR($K$3,$K$4,AI$11,$AF13)*$N$3</f>
        <v>76620.263123545505</v>
      </c>
      <c r="AK13" s="3" t="str" cm="1">
        <f t="array" ref="AK13">CheckVaRAdditivity(AG13,AB13,V13)</f>
        <v>Subadditive</v>
      </c>
      <c r="AL13" s="3" t="str" cm="1">
        <f t="array" ref="AL13">CheckVaRAdditivity(AH13,AC13,W13)</f>
        <v>Subadditive</v>
      </c>
      <c r="AM13" s="3" t="str" cm="1">
        <f t="array" ref="AM13">CheckVaRAdditivity(AI13,AD13,X13)</f>
        <v>Subadditive</v>
      </c>
    </row>
    <row r="14" spans="1:39" x14ac:dyDescent="0.3">
      <c r="A14" s="2">
        <v>147.809753</v>
      </c>
      <c r="B14" s="3">
        <f t="shared" si="1"/>
        <v>-1.7973265242489146E-2</v>
      </c>
      <c r="D14" s="2">
        <v>248.05680799999999</v>
      </c>
      <c r="E14" s="3">
        <f t="shared" si="2"/>
        <v>1.0910252567232007E-2</v>
      </c>
      <c r="G14" s="3">
        <f t="shared" si="0"/>
        <v>1.4460267257082991E-2</v>
      </c>
      <c r="I14" s="5">
        <f t="shared" ref="I14:I77" si="3">I13+1</f>
        <v>3</v>
      </c>
      <c r="J14" s="3" cm="1">
        <f t="array" ref="J14">TwoAssetsVaR($N$6,$P$8,J$11,$I14)*$N$3</f>
        <v>55604.821849706765</v>
      </c>
      <c r="K14" s="3" cm="1">
        <f t="array" ref="K14">TwoAssetsVaR($N$6,$P$8,K$11,$I14)*$N$3</f>
        <v>81499.924914395888</v>
      </c>
      <c r="L14" s="3" cm="1">
        <f t="array" ref="L14">TwoAssetsVaR($N$6,$P$8,L$11,$I14)*$N$3</f>
        <v>90979.604834555183</v>
      </c>
      <c r="U14" s="5">
        <f t="shared" ref="U14:U77" si="4">U13+1</f>
        <v>3</v>
      </c>
      <c r="V14" s="3" cm="1">
        <f t="array" ref="V14">TwoAssetsVaR($N$6,$N$8,V$11,$U14)*$N$3</f>
        <v>30014.697584800782</v>
      </c>
      <c r="W14" s="3" cm="1">
        <f t="array" ref="W14">TwoAssetsVaR($N$6,$N$8,W$11,$U14)*$N$3</f>
        <v>45307.323819282552</v>
      </c>
      <c r="X14" s="3" cm="1">
        <f t="array" ref="X14">TwoAssetsVaR($N$6,$N$8,X$11,$U14)*$N$3</f>
        <v>50905.648779772862</v>
      </c>
      <c r="AA14" s="5">
        <f t="shared" ref="AA14:AA77" si="5">AA13+1</f>
        <v>3</v>
      </c>
      <c r="AB14" s="3" cm="1">
        <f t="array" ref="AB14">SingleAssetVaR($J$3,$J$4,AB$11,$AA14)*$N$3</f>
        <v>35722.829186817369</v>
      </c>
      <c r="AC14" s="3" cm="1">
        <f t="array" ref="AC14">SingleAssetVaR($J$3,$J$4,AC$11,$AA14)*$N$3</f>
        <v>50912.762729942842</v>
      </c>
      <c r="AD14" s="3" cm="1">
        <f t="array" ref="AD14">SingleAssetVaR($J$3,$J$4,AD$11,$AA14)*$N$3</f>
        <v>56473.493947640709</v>
      </c>
      <c r="AF14" s="5">
        <f t="shared" ref="AF14:AF77" si="6">AF13+1</f>
        <v>3</v>
      </c>
      <c r="AG14" s="3" cm="1">
        <f t="array" ref="AG14">SingleAssetVaR($K$3,$K$4,AG$11,$AF14)*$N$3</f>
        <v>55583.347791982676</v>
      </c>
      <c r="AH14" s="3" cm="1">
        <f t="array" ref="AH14">SingleAssetVaR($K$3,$K$4,AH$11,$AF14)*$N$3</f>
        <v>82370.025079771396</v>
      </c>
      <c r="AI14" s="3" cm="1">
        <f t="array" ref="AI14">SingleAssetVaR($K$3,$K$4,AI$11,$AF14)*$N$3</f>
        <v>92176.09251184501</v>
      </c>
      <c r="AK14" s="3" t="str" cm="1">
        <f t="array" ref="AK14">CheckVaRAdditivity(AG14,AB14,V14)</f>
        <v>Subadditive</v>
      </c>
      <c r="AL14" s="3" t="str" cm="1">
        <f t="array" ref="AL14">CheckVaRAdditivity(AH14,AC14,W14)</f>
        <v>Subadditive</v>
      </c>
      <c r="AM14" s="3" t="str" cm="1">
        <f t="array" ref="AM14">CheckVaRAdditivity(AI14,AD14,X14)</f>
        <v>Subadditive</v>
      </c>
    </row>
    <row r="15" spans="1:39" x14ac:dyDescent="0.3">
      <c r="A15" s="2">
        <v>152.08580000000001</v>
      </c>
      <c r="B15" s="3">
        <f t="shared" si="1"/>
        <v>2.8929396830803211E-2</v>
      </c>
      <c r="D15" s="2">
        <v>246.47848500000001</v>
      </c>
      <c r="E15" s="3">
        <f t="shared" si="2"/>
        <v>-6.3627481653314808E-3</v>
      </c>
      <c r="G15" s="3">
        <f t="shared" si="0"/>
        <v>-3.5941809945210191E-3</v>
      </c>
      <c r="I15" s="5">
        <f t="shared" si="3"/>
        <v>4</v>
      </c>
      <c r="J15" s="3" cm="1">
        <f t="array" ref="J15">TwoAssetsVaR($N$6,$P$8,J$11,$I15)*$N$3</f>
        <v>62975.143646854413</v>
      </c>
      <c r="K15" s="3" cm="1">
        <f t="array" ref="K15">TwoAssetsVaR($N$6,$P$8,K$11,$I15)*$N$3</f>
        <v>92876.233097037155</v>
      </c>
      <c r="L15" s="3" cm="1">
        <f t="array" ref="L15">TwoAssetsVaR($N$6,$P$8,L$11,$I15)*$N$3</f>
        <v>103822.42460450808</v>
      </c>
      <c r="U15" s="5">
        <f t="shared" si="4"/>
        <v>4</v>
      </c>
      <c r="V15" s="3" cm="1">
        <f t="array" ref="V15">TwoAssetsVaR($N$6,$N$8,V$11,$U15)*$N$3</f>
        <v>33426.213380975532</v>
      </c>
      <c r="W15" s="3" cm="1">
        <f t="array" ref="W15">TwoAssetsVaR($N$6,$N$8,W$11,$U15)*$N$3</f>
        <v>51084.617127164303</v>
      </c>
      <c r="X15" s="3" cm="1">
        <f t="array" ref="X15">TwoAssetsVaR($N$6,$N$8,X$11,$U15)*$N$3</f>
        <v>57549.005973064464</v>
      </c>
      <c r="AA15" s="5">
        <f t="shared" si="5"/>
        <v>4</v>
      </c>
      <c r="AB15" s="3" cm="1">
        <f t="array" ref="AB15">SingleAssetVaR($J$3,$J$4,AB$11,$AA15)*$N$3</f>
        <v>41081.331253289158</v>
      </c>
      <c r="AC15" s="3" cm="1">
        <f t="array" ref="AC15">SingleAssetVaR($J$3,$J$4,AC$11,$AA15)*$N$3</f>
        <v>58621.155693481196</v>
      </c>
      <c r="AD15" s="3" cm="1">
        <f t="array" ref="AD15">SingleAssetVaR($J$3,$J$4,AD$11,$AA15)*$N$3</f>
        <v>65042.135024339237</v>
      </c>
      <c r="AF15" s="5">
        <f t="shared" si="6"/>
        <v>4</v>
      </c>
      <c r="AG15" s="3" cm="1">
        <f t="array" ref="AG15">SingleAssetVaR($K$3,$K$4,AG$11,$AF15)*$N$3</f>
        <v>62562.111232679963</v>
      </c>
      <c r="AH15" s="3" cm="1">
        <f t="array" ref="AH15">SingleAssetVaR($K$3,$K$4,AH$11,$AF15)*$N$3</f>
        <v>93492.701918280873</v>
      </c>
      <c r="AI15" s="3" cm="1">
        <f t="array" ref="AI15">SingleAssetVaR($K$3,$K$4,AI$11,$AF15)*$N$3</f>
        <v>104815.77326147952</v>
      </c>
      <c r="AK15" s="3" t="str" cm="1">
        <f t="array" ref="AK15">CheckVaRAdditivity(AG15,AB15,V15)</f>
        <v>Subadditive</v>
      </c>
      <c r="AL15" s="3" t="str" cm="1">
        <f t="array" ref="AL15">CheckVaRAdditivity(AH15,AC15,W15)</f>
        <v>Subadditive</v>
      </c>
      <c r="AM15" s="3" t="str" cm="1">
        <f t="array" ref="AM15">CheckVaRAdditivity(AI15,AD15,X15)</f>
        <v>Subadditive</v>
      </c>
    </row>
    <row r="16" spans="1:39" x14ac:dyDescent="0.3">
      <c r="A16" s="2">
        <v>152.493042</v>
      </c>
      <c r="B16" s="3">
        <f t="shared" si="1"/>
        <v>2.6777121861475332E-3</v>
      </c>
      <c r="D16" s="2">
        <v>248.945877</v>
      </c>
      <c r="E16" s="3">
        <f t="shared" si="2"/>
        <v>1.0010577596661184E-2</v>
      </c>
      <c r="G16" s="3">
        <f t="shared" si="0"/>
        <v>-5.6897573167421327E-3</v>
      </c>
      <c r="I16" s="5">
        <f t="shared" si="3"/>
        <v>5</v>
      </c>
      <c r="J16" s="3" cm="1">
        <f t="array" ref="J16">TwoAssetsVaR($N$6,$P$8,J$11,$I16)*$N$3</f>
        <v>69195.044068816598</v>
      </c>
      <c r="K16" s="3" cm="1">
        <f t="array" ref="K16">TwoAssetsVaR($N$6,$P$8,K$11,$I16)*$N$3</f>
        <v>102625.47837477182</v>
      </c>
      <c r="L16" s="3" cm="1">
        <f t="array" ref="L16">TwoAssetsVaR($N$6,$P$8,L$11,$I16)*$N$3</f>
        <v>114863.69252748974</v>
      </c>
      <c r="U16" s="5">
        <f t="shared" si="4"/>
        <v>5</v>
      </c>
      <c r="V16" s="3" cm="1">
        <f t="array" ref="V16">TwoAssetsVaR($N$6,$N$8,V$11,$U16)*$N$3</f>
        <v>36158.335700363546</v>
      </c>
      <c r="W16" s="3" cm="1">
        <f t="array" ref="W16">TwoAssetsVaR($N$6,$N$8,W$11,$U16)*$N$3</f>
        <v>55901.031275671063</v>
      </c>
      <c r="X16" s="3" cm="1">
        <f t="array" ref="X16">TwoAssetsVaR($N$6,$N$8,X$11,$U16)*$N$3</f>
        <v>63128.437721883143</v>
      </c>
      <c r="AA16" s="5">
        <f t="shared" si="5"/>
        <v>5</v>
      </c>
      <c r="AB16" s="3" cm="1">
        <f t="array" ref="AB16">SingleAssetVaR($J$3,$J$4,AB$11,$AA16)*$N$3</f>
        <v>45765.002090396694</v>
      </c>
      <c r="AC16" s="3" cm="1">
        <f t="array" ref="AC16">SingleAssetVaR($J$3,$J$4,AC$11,$AA16)*$N$3</f>
        <v>65375.121971237488</v>
      </c>
      <c r="AD16" s="3" cm="1">
        <f t="array" ref="AD16">SingleAssetVaR($J$3,$J$4,AD$11,$AA16)*$N$3</f>
        <v>72553.995104197325</v>
      </c>
      <c r="AF16" s="5">
        <f t="shared" si="6"/>
        <v>5</v>
      </c>
      <c r="AG16" s="3" cm="1">
        <f t="array" ref="AG16">SingleAssetVaR($K$3,$K$4,AG$11,$AF16)*$N$3</f>
        <v>68350.84403148001</v>
      </c>
      <c r="AH16" s="3" cm="1">
        <f t="array" ref="AH16">SingleAssetVaR($K$3,$K$4,AH$11,$AF16)*$N$3</f>
        <v>102932.29571009273</v>
      </c>
      <c r="AI16" s="3" cm="1">
        <f t="array" ref="AI16">SingleAssetVaR($K$3,$K$4,AI$11,$AF16)*$N$3</f>
        <v>115591.87432882874</v>
      </c>
      <c r="AK16" s="3" t="str" cm="1">
        <f t="array" ref="AK16">CheckVaRAdditivity(AG16,AB16,V16)</f>
        <v>Subadditive</v>
      </c>
      <c r="AL16" s="3" t="str" cm="1">
        <f t="array" ref="AL16">CheckVaRAdditivity(AH16,AC16,W16)</f>
        <v>Subadditive</v>
      </c>
      <c r="AM16" s="3" t="str" cm="1">
        <f t="array" ref="AM16">CheckVaRAdditivity(AI16,AD16,X16)</f>
        <v>Subadditive</v>
      </c>
    </row>
    <row r="17" spans="1:39" x14ac:dyDescent="0.3">
      <c r="A17" s="2">
        <v>149.86535599999999</v>
      </c>
      <c r="B17" s="3">
        <f t="shared" si="1"/>
        <v>-1.7231514077868625E-2</v>
      </c>
      <c r="D17" s="2">
        <v>252.42218</v>
      </c>
      <c r="E17" s="3">
        <f t="shared" si="2"/>
        <v>1.3964091480012748E-2</v>
      </c>
      <c r="G17" s="3">
        <f t="shared" si="0"/>
        <v>1.0758964369280177E-2</v>
      </c>
      <c r="I17" s="5">
        <f t="shared" si="3"/>
        <v>6</v>
      </c>
      <c r="J17" s="3" cm="1">
        <f t="array" ref="J17">TwoAssetsVaR($N$6,$P$8,J$11,$I17)*$N$3</f>
        <v>74597.764635593019</v>
      </c>
      <c r="K17" s="3" cm="1">
        <f t="array" ref="K17">TwoAssetsVaR($N$6,$P$8,K$11,$I17)*$N$3</f>
        <v>111218.97058872548</v>
      </c>
      <c r="L17" s="3" cm="1">
        <f t="array" ref="L17">TwoAssetsVaR($N$6,$P$8,L$11,$I17)*$N$3</f>
        <v>124625.26249877065</v>
      </c>
      <c r="U17" s="5">
        <f t="shared" si="4"/>
        <v>6</v>
      </c>
      <c r="V17" s="3" cm="1">
        <f t="array" ref="V17">TwoAssetsVaR($N$6,$N$8,V$11,$U17)*$N$3</f>
        <v>38407.863837350145</v>
      </c>
      <c r="W17" s="3" cm="1">
        <f t="array" ref="W17">TwoAssetsVaR($N$6,$N$8,W$11,$U17)*$N$3</f>
        <v>60034.903262456872</v>
      </c>
      <c r="X17" s="3" cm="1">
        <f t="array" ref="X17">TwoAssetsVaR($N$6,$N$8,X$11,$U17)*$N$3</f>
        <v>67952.130348154082</v>
      </c>
      <c r="AA17" s="5">
        <f t="shared" si="5"/>
        <v>6</v>
      </c>
      <c r="AB17" s="3" cm="1">
        <f t="array" ref="AB17">SingleAssetVaR($J$3,$J$4,AB$11,$AA17)*$N$3</f>
        <v>49969.319450437768</v>
      </c>
      <c r="AC17" s="3" cm="1">
        <f t="array" ref="AC17">SingleAssetVaR($J$3,$J$4,AC$11,$AA17)*$N$3</f>
        <v>71451.129478671806</v>
      </c>
      <c r="AD17" s="3" cm="1">
        <f t="array" ref="AD17">SingleAssetVaR($J$3,$J$4,AD$11,$AA17)*$N$3</f>
        <v>79315.190983451597</v>
      </c>
      <c r="AF17" s="5">
        <f t="shared" si="6"/>
        <v>6</v>
      </c>
      <c r="AG17" s="3" cm="1">
        <f t="array" ref="AG17">SingleAssetVaR($K$3,$K$4,AG$11,$AF17)*$N$3</f>
        <v>73294.261288872047</v>
      </c>
      <c r="AH17" s="3" cm="1">
        <f t="array" ref="AH17">SingleAssetVaR($K$3,$K$4,AH$11,$AF17)*$N$3</f>
        <v>111176.34360017422</v>
      </c>
      <c r="AI17" s="3" cm="1">
        <f t="array" ref="AI17">SingleAssetVaR($K$3,$K$4,AI$11,$AF17)*$N$3</f>
        <v>125044.21715615783</v>
      </c>
      <c r="AK17" s="3" t="str" cm="1">
        <f t="array" ref="AK17">CheckVaRAdditivity(AG17,AB17,V17)</f>
        <v>Subadditive</v>
      </c>
      <c r="AL17" s="3" t="str" cm="1">
        <f t="array" ref="AL17">CheckVaRAdditivity(AH17,AC17,W17)</f>
        <v>Subadditive</v>
      </c>
      <c r="AM17" s="3" t="str" cm="1">
        <f t="array" ref="AM17">CheckVaRAdditivity(AI17,AD17,X17)</f>
        <v>Subadditive</v>
      </c>
    </row>
    <row r="18" spans="1:39" x14ac:dyDescent="0.3">
      <c r="A18" s="2">
        <v>149.39994799999999</v>
      </c>
      <c r="B18" s="3">
        <f t="shared" si="1"/>
        <v>-3.1055075864230858E-3</v>
      </c>
      <c r="D18" s="2">
        <v>261.76226800000001</v>
      </c>
      <c r="E18" s="3">
        <f t="shared" si="2"/>
        <v>3.7001851422089803E-2</v>
      </c>
      <c r="G18" s="3">
        <f t="shared" si="0"/>
        <v>7.0803990625386724E-3</v>
      </c>
      <c r="I18" s="5">
        <f t="shared" si="3"/>
        <v>7</v>
      </c>
      <c r="J18" s="3" cm="1">
        <f t="array" ref="J18">TwoAssetsVaR($N$6,$P$8,J$11,$I18)*$N$3</f>
        <v>79381.266095569808</v>
      </c>
      <c r="K18" s="3" cm="1">
        <f t="array" ref="K18">TwoAssetsVaR($N$6,$P$8,K$11,$I18)*$N$3</f>
        <v>118936.6894031101</v>
      </c>
      <c r="L18" s="3" cm="1">
        <f t="array" ref="L18">TwoAssetsVaR($N$6,$P$8,L$11,$I18)*$N$3</f>
        <v>133417.13966913774</v>
      </c>
      <c r="U18" s="5">
        <f t="shared" si="4"/>
        <v>7</v>
      </c>
      <c r="V18" s="3" cm="1">
        <f t="array" ref="V18">TwoAssetsVaR($N$6,$N$8,V$11,$U18)*$N$3</f>
        <v>40291.705599817207</v>
      </c>
      <c r="W18" s="3" cm="1">
        <f t="array" ref="W18">TwoAssetsVaR($N$6,$N$8,W$11,$U18)*$N$3</f>
        <v>63651.578031210614</v>
      </c>
      <c r="X18" s="3" cm="1">
        <f t="array" ref="X18">TwoAssetsVaR($N$6,$N$8,X$11,$U18)*$N$3</f>
        <v>72203.16066334644</v>
      </c>
      <c r="AA18" s="5">
        <f t="shared" si="5"/>
        <v>7</v>
      </c>
      <c r="AB18" s="3" cm="1">
        <f t="array" ref="AB18">SingleAssetVaR($J$3,$J$4,AB$11,$AA18)*$N$3</f>
        <v>53810.406084676273</v>
      </c>
      <c r="AC18" s="3" cm="1">
        <f t="array" ref="AC18">SingleAssetVaR($J$3,$J$4,AC$11,$AA18)*$N$3</f>
        <v>77013.412838916673</v>
      </c>
      <c r="AD18" s="3" cm="1">
        <f t="array" ref="AD18">SingleAssetVaR($J$3,$J$4,AD$11,$AA18)*$N$3</f>
        <v>85507.57008038483</v>
      </c>
      <c r="AF18" s="5">
        <f t="shared" si="6"/>
        <v>7</v>
      </c>
      <c r="AG18" s="3" cm="1">
        <f t="array" ref="AG18">SingleAssetVaR($K$3,$K$4,AG$11,$AF18)*$N$3</f>
        <v>77597.139586336503</v>
      </c>
      <c r="AH18" s="3" cm="1">
        <f t="array" ref="AH18">SingleAssetVaR($K$3,$K$4,AH$11,$AF18)*$N$3</f>
        <v>118514.4650155519</v>
      </c>
      <c r="AI18" s="3" cm="1">
        <f t="array" ref="AI18">SingleAssetVaR($K$3,$K$4,AI$11,$AF18)*$N$3</f>
        <v>133493.48044132479</v>
      </c>
      <c r="AK18" s="3" t="str" cm="1">
        <f t="array" ref="AK18">CheckVaRAdditivity(AG18,AB18,V18)</f>
        <v>Subadditive</v>
      </c>
      <c r="AL18" s="3" t="str" cm="1">
        <f t="array" ref="AL18">CheckVaRAdditivity(AH18,AC18,W18)</f>
        <v>Subadditive</v>
      </c>
      <c r="AM18" s="3" t="str" cm="1">
        <f t="array" ref="AM18">CheckVaRAdditivity(AI18,AD18,X18)</f>
        <v>Subadditive</v>
      </c>
    </row>
    <row r="19" spans="1:39" x14ac:dyDescent="0.3">
      <c r="A19" s="2">
        <v>148.469086</v>
      </c>
      <c r="B19" s="3">
        <f t="shared" si="1"/>
        <v>-6.2306715126834618E-3</v>
      </c>
      <c r="D19" s="2">
        <v>262.24176</v>
      </c>
      <c r="E19" s="3">
        <f t="shared" si="2"/>
        <v>1.8317842508913215E-3</v>
      </c>
      <c r="G19" s="3">
        <f t="shared" si="0"/>
        <v>-5.5748904643601275E-3</v>
      </c>
      <c r="I19" s="5">
        <f t="shared" si="3"/>
        <v>8</v>
      </c>
      <c r="J19" s="3" cm="1">
        <f t="array" ref="J19">TwoAssetsVaR($N$6,$P$8,J$11,$I19)*$N$3</f>
        <v>83674.530827639232</v>
      </c>
      <c r="K19" s="3" cm="1">
        <f t="array" ref="K19">TwoAssetsVaR($N$6,$P$8,K$11,$I19)*$N$3</f>
        <v>125961.05705781873</v>
      </c>
      <c r="L19" s="3" cm="1">
        <f t="array" ref="L19">TwoAssetsVaR($N$6,$P$8,L$11,$I19)*$N$3</f>
        <v>141441.30954401728</v>
      </c>
      <c r="U19" s="5">
        <f t="shared" si="4"/>
        <v>8</v>
      </c>
      <c r="V19" s="3" cm="1">
        <f t="array" ref="V19">TwoAssetsVaR($N$6,$N$8,V$11,$U19)*$N$3</f>
        <v>41886.032892016483</v>
      </c>
      <c r="W19" s="3" cm="1">
        <f t="array" ref="W19">TwoAssetsVaR($N$6,$N$8,W$11,$U19)*$N$3</f>
        <v>66858.786959736521</v>
      </c>
      <c r="X19" s="3" cm="1">
        <f t="array" ref="X19">TwoAssetsVaR($N$6,$N$8,X$11,$U19)*$N$3</f>
        <v>76000.813338061867</v>
      </c>
      <c r="AA19" s="5">
        <f t="shared" si="5"/>
        <v>8</v>
      </c>
      <c r="AB19" s="3" cm="1">
        <f t="array" ref="AB19">SingleAssetVaR($J$3,$J$4,AB$11,$AA19)*$N$3</f>
        <v>57363.922389547486</v>
      </c>
      <c r="AC19" s="3" cm="1">
        <f t="array" ref="AC19">SingleAssetVaR($J$3,$J$4,AC$11,$AA19)*$N$3</f>
        <v>82168.97999451014</v>
      </c>
      <c r="AD19" s="3" cm="1">
        <f t="array" ref="AD19">SingleAssetVaR($J$3,$J$4,AD$11,$AA19)*$N$3</f>
        <v>91249.616047926902</v>
      </c>
      <c r="AF19" s="5">
        <f t="shared" si="6"/>
        <v>8</v>
      </c>
      <c r="AG19" s="3" cm="1">
        <f t="array" ref="AG19">SingleAssetVaR($K$3,$K$4,AG$11,$AF19)*$N$3</f>
        <v>81392.902195082846</v>
      </c>
      <c r="AH19" s="3" cm="1">
        <f t="array" ref="AH19">SingleAssetVaR($K$3,$K$4,AH$11,$AF19)*$N$3</f>
        <v>125135.36303487058</v>
      </c>
      <c r="AI19" s="3" cm="1">
        <f t="array" ref="AI19">SingleAssetVaR($K$3,$K$4,AI$11,$AF19)*$N$3</f>
        <v>141148.60409614025</v>
      </c>
      <c r="AK19" s="3" t="str" cm="1">
        <f t="array" ref="AK19">CheckVaRAdditivity(AG19,AB19,V19)</f>
        <v>Subadditive</v>
      </c>
      <c r="AL19" s="3" t="str" cm="1">
        <f t="array" ref="AL19">CheckVaRAdditivity(AH19,AC19,W19)</f>
        <v>Subadditive</v>
      </c>
      <c r="AM19" s="3" t="str" cm="1">
        <f t="array" ref="AM19">CheckVaRAdditivity(AI19,AD19,X19)</f>
        <v>Subadditive</v>
      </c>
    </row>
    <row r="20" spans="1:39" x14ac:dyDescent="0.3">
      <c r="A20" s="2">
        <v>146.04501300000001</v>
      </c>
      <c r="B20" s="3">
        <f t="shared" si="1"/>
        <v>-1.632712280588831E-2</v>
      </c>
      <c r="D20" s="2">
        <v>264.43942299999998</v>
      </c>
      <c r="E20" s="3">
        <f t="shared" si="2"/>
        <v>8.3802938174300581E-3</v>
      </c>
      <c r="G20" s="3">
        <f t="shared" si="0"/>
        <v>7.6984482606753286E-3</v>
      </c>
      <c r="I20" s="5">
        <f t="shared" si="3"/>
        <v>9</v>
      </c>
      <c r="J20" s="3" cm="1">
        <f t="array" ref="J20">TwoAssetsVaR($N$6,$P$8,J$11,$I20)*$N$3</f>
        <v>87567.150298158609</v>
      </c>
      <c r="K20" s="3" cm="1">
        <f t="array" ref="K20">TwoAssetsVaR($N$6,$P$8,K$11,$I20)*$N$3</f>
        <v>132418.78447343272</v>
      </c>
      <c r="L20" s="3" cm="1">
        <f t="array" ref="L20">TwoAssetsVaR($N$6,$P$8,L$11,$I20)*$N$3</f>
        <v>148838.07173463909</v>
      </c>
      <c r="U20" s="5">
        <f t="shared" si="4"/>
        <v>9</v>
      </c>
      <c r="V20" s="3" cm="1">
        <f t="array" ref="V20">TwoAssetsVaR($N$6,$N$8,V$11,$U20)*$N$3</f>
        <v>43243.754899340274</v>
      </c>
      <c r="W20" s="3" cm="1">
        <f t="array" ref="W20">TwoAssetsVaR($N$6,$N$8,W$11,$U20)*$N$3</f>
        <v>69731.360518623434</v>
      </c>
      <c r="X20" s="3" cm="1">
        <f t="array" ref="X20">TwoAssetsVaR($N$6,$N$8,X$11,$U20)*$N$3</f>
        <v>79427.943787473661</v>
      </c>
      <c r="AA20" s="5">
        <f t="shared" si="5"/>
        <v>9</v>
      </c>
      <c r="AB20" s="3" cm="1">
        <f t="array" ref="AB20">SingleAssetVaR($J$3,$J$4,AB$11,$AA20)*$N$3</f>
        <v>60682.42225590095</v>
      </c>
      <c r="AC20" s="3" cm="1">
        <f t="array" ref="AC20">SingleAssetVaR($J$3,$J$4,AC$11,$AA20)*$N$3</f>
        <v>86992.158916189001</v>
      </c>
      <c r="AD20" s="3" cm="1">
        <f t="array" ref="AD20">SingleAssetVaR($J$3,$J$4,AD$11,$AA20)*$N$3</f>
        <v>96623.627912476077</v>
      </c>
      <c r="AF20" s="5">
        <f t="shared" si="6"/>
        <v>9</v>
      </c>
      <c r="AG20" s="3" cm="1">
        <f t="array" ref="AG20">SingleAssetVaR($K$3,$K$4,AG$11,$AF20)*$N$3</f>
        <v>84774.225235806865</v>
      </c>
      <c r="AH20" s="3" cm="1">
        <f t="array" ref="AH20">SingleAssetVaR($K$3,$K$4,AH$11,$AF20)*$N$3</f>
        <v>131170.11126420822</v>
      </c>
      <c r="AI20" s="3" cm="1">
        <f t="array" ref="AI20">SingleAssetVaR($K$3,$K$4,AI$11,$AF20)*$N$3</f>
        <v>148154.71827900619</v>
      </c>
      <c r="AK20" s="3" t="str" cm="1">
        <f t="array" ref="AK20">CheckVaRAdditivity(AG20,AB20,V20)</f>
        <v>Subadditive</v>
      </c>
      <c r="AL20" s="3" t="str" cm="1">
        <f t="array" ref="AL20">CheckVaRAdditivity(AH20,AC20,W20)</f>
        <v>Subadditive</v>
      </c>
      <c r="AM20" s="3" t="str" cm="1">
        <f t="array" ref="AM20">CheckVaRAdditivity(AI20,AD20,X20)</f>
        <v>Subadditive</v>
      </c>
    </row>
    <row r="21" spans="1:39" x14ac:dyDescent="0.3">
      <c r="A21" s="2">
        <v>147.53825399999999</v>
      </c>
      <c r="B21" s="3">
        <f t="shared" si="1"/>
        <v>1.0224525776857464E-2</v>
      </c>
      <c r="D21" s="2">
        <v>272.32104500000003</v>
      </c>
      <c r="E21" s="3">
        <f t="shared" si="2"/>
        <v>2.9805018898411566E-2</v>
      </c>
      <c r="G21" s="3">
        <f t="shared" si="0"/>
        <v>-2.7985538642444543E-3</v>
      </c>
      <c r="I21" s="5">
        <f t="shared" si="3"/>
        <v>10</v>
      </c>
      <c r="J21" s="3" cm="1">
        <f t="array" ref="J21">TwoAssetsVaR($N$6,$P$8,J$11,$I21)*$N$3</f>
        <v>91124.355508454275</v>
      </c>
      <c r="K21" s="3" cm="1">
        <f t="array" ref="K21">TwoAssetsVaR($N$6,$P$8,K$11,$I21)*$N$3</f>
        <v>138402.12909995893</v>
      </c>
      <c r="L21" s="3" cm="1">
        <f t="array" ref="L21">TwoAssetsVaR($N$6,$P$8,L$11,$I21)*$N$3</f>
        <v>155709.57753395895</v>
      </c>
      <c r="U21" s="5">
        <f t="shared" si="4"/>
        <v>10</v>
      </c>
      <c r="V21" s="3" cm="1">
        <f t="array" ref="V21">TwoAssetsVaR($N$6,$N$8,V$11,$U21)*$N$3</f>
        <v>44403.394477623231</v>
      </c>
      <c r="W21" s="3" cm="1">
        <f t="array" ref="W21">TwoAssetsVaR($N$6,$N$8,W$11,$U21)*$N$3</f>
        <v>72323.782318026409</v>
      </c>
      <c r="X21" s="3" cm="1">
        <f t="array" ref="X21">TwoAssetsVaR($N$6,$N$8,X$11,$U21)*$N$3</f>
        <v>82544.87853504227</v>
      </c>
      <c r="AA21" s="5">
        <f t="shared" si="5"/>
        <v>10</v>
      </c>
      <c r="AB21" s="3" cm="1">
        <f t="array" ref="AB21">SingleAssetVaR($J$3,$J$4,AB$11,$AA21)*$N$3</f>
        <v>63804.169851777377</v>
      </c>
      <c r="AC21" s="3" cm="1">
        <f t="array" ref="AC21">SingleAssetVaR($J$3,$J$4,AC$11,$AA21)*$N$3</f>
        <v>91537.067347024684</v>
      </c>
      <c r="AD21" s="3" cm="1">
        <f t="array" ref="AD21">SingleAssetVaR($J$3,$J$4,AD$11,$AA21)*$N$3</f>
        <v>101689.52709421233</v>
      </c>
      <c r="AF21" s="5">
        <f t="shared" si="6"/>
        <v>10</v>
      </c>
      <c r="AG21" s="3" cm="1">
        <f t="array" ref="AG21">SingleAssetVaR($K$3,$K$4,AG$11,$AF21)*$N$3</f>
        <v>87808.585627883003</v>
      </c>
      <c r="AH21" s="3" cm="1">
        <f t="array" ref="AH21">SingleAssetVaR($K$3,$K$4,AH$11,$AF21)*$N$3</f>
        <v>136714.14359832695</v>
      </c>
      <c r="AI21" s="3" cm="1">
        <f t="array" ref="AI21">SingleAssetVaR($K$3,$K$4,AI$11,$AF21)*$N$3</f>
        <v>154617.49137487187</v>
      </c>
      <c r="AK21" s="3" t="str" cm="1">
        <f t="array" ref="AK21">CheckVaRAdditivity(AG21,AB21,V21)</f>
        <v>Subadditive</v>
      </c>
      <c r="AL21" s="3" t="str" cm="1">
        <f t="array" ref="AL21">CheckVaRAdditivity(AH21,AC21,W21)</f>
        <v>Subadditive</v>
      </c>
      <c r="AM21" s="3" t="str" cm="1">
        <f t="array" ref="AM21">CheckVaRAdditivity(AI21,AD21,X21)</f>
        <v>Subadditive</v>
      </c>
    </row>
    <row r="22" spans="1:39" x14ac:dyDescent="0.3">
      <c r="A22" s="2">
        <v>151.51371800000001</v>
      </c>
      <c r="B22" s="3">
        <f t="shared" si="1"/>
        <v>2.6945310061755351E-2</v>
      </c>
      <c r="D22" s="2">
        <v>272.32104500000003</v>
      </c>
      <c r="E22" s="3">
        <f t="shared" si="2"/>
        <v>0</v>
      </c>
      <c r="G22" s="3">
        <f t="shared" si="0"/>
        <v>-7.0816545454162553E-3</v>
      </c>
      <c r="I22" s="5">
        <f t="shared" si="3"/>
        <v>11</v>
      </c>
      <c r="J22" s="3" cm="1">
        <f t="array" ref="J22">TwoAssetsVaR($N$6,$P$8,J$11,$I22)*$N$3</f>
        <v>94395.390595473451</v>
      </c>
      <c r="K22" s="3" cm="1">
        <f t="array" ref="K22">TwoAssetsVaR($N$6,$P$8,K$11,$I22)*$N$3</f>
        <v>143980.73786002863</v>
      </c>
      <c r="L22" s="3" cm="1">
        <f t="array" ref="L22">TwoAssetsVaR($N$6,$P$8,L$11,$I22)*$N$3</f>
        <v>162132.94291685653</v>
      </c>
      <c r="U22" s="5">
        <f t="shared" si="4"/>
        <v>11</v>
      </c>
      <c r="V22" s="3" cm="1">
        <f t="array" ref="V22">TwoAssetsVaR($N$6,$N$8,V$11,$U22)*$N$3</f>
        <v>45394.033271325003</v>
      </c>
      <c r="W22" s="3" cm="1">
        <f t="array" ref="W22">TwoAssetsVaR($N$6,$N$8,W$11,$U22)*$N$3</f>
        <v>74677.183082682168</v>
      </c>
      <c r="X22" s="3" cm="1">
        <f t="array" ref="X22">TwoAssetsVaR($N$6,$N$8,X$11,$U22)*$N$3</f>
        <v>85397.159233086873</v>
      </c>
      <c r="AA22" s="5">
        <f t="shared" si="5"/>
        <v>11</v>
      </c>
      <c r="AB22" s="3" cm="1">
        <f t="array" ref="AB22">SingleAssetVaR($J$3,$J$4,AB$11,$AA22)*$N$3</f>
        <v>66758.051533247562</v>
      </c>
      <c r="AC22" s="3" cm="1">
        <f t="array" ref="AC22">SingleAssetVaR($J$3,$J$4,AC$11,$AA22)*$N$3</f>
        <v>95844.559811658764</v>
      </c>
      <c r="AD22" s="3" cm="1">
        <f t="array" ref="AD22">SingleAssetVaR($J$3,$J$4,AD$11,$AA22)*$N$3</f>
        <v>106492.54942520046</v>
      </c>
      <c r="AF22" s="5">
        <f t="shared" si="6"/>
        <v>11</v>
      </c>
      <c r="AG22" s="3" cm="1">
        <f t="array" ref="AG22">SingleAssetVaR($K$3,$K$4,AG$11,$AF22)*$N$3</f>
        <v>90546.922994970024</v>
      </c>
      <c r="AH22" s="3" cm="1">
        <f t="array" ref="AH22">SingleAssetVaR($K$3,$K$4,AH$11,$AF22)*$N$3</f>
        <v>141839.50491906991</v>
      </c>
      <c r="AI22" s="3" cm="1">
        <f t="array" ref="AI22">SingleAssetVaR($K$3,$K$4,AI$11,$AF22)*$N$3</f>
        <v>160616.69447897765</v>
      </c>
      <c r="AK22" s="3" t="str" cm="1">
        <f t="array" ref="AK22">CheckVaRAdditivity(AG22,AB22,V22)</f>
        <v>Subadditive</v>
      </c>
      <c r="AL22" s="3" t="str" cm="1">
        <f t="array" ref="AL22">CheckVaRAdditivity(AH22,AC22,W22)</f>
        <v>Subadditive</v>
      </c>
      <c r="AM22" s="3" t="str" cm="1">
        <f t="array" ref="AM22">CheckVaRAdditivity(AI22,AD22,X22)</f>
        <v>Subadditive</v>
      </c>
    </row>
    <row r="23" spans="1:39" x14ac:dyDescent="0.3">
      <c r="A23" s="2">
        <v>150.786484</v>
      </c>
      <c r="B23" s="3">
        <f t="shared" si="1"/>
        <v>-4.7997898117714327E-3</v>
      </c>
      <c r="D23" s="2">
        <v>271.10235599999999</v>
      </c>
      <c r="E23" s="3">
        <f t="shared" si="2"/>
        <v>-4.4751921394838952E-3</v>
      </c>
      <c r="G23" s="3">
        <f t="shared" si="0"/>
        <v>1.0391743186038603E-2</v>
      </c>
      <c r="I23" s="5">
        <f t="shared" si="3"/>
        <v>12</v>
      </c>
      <c r="J23" s="3" cm="1">
        <f t="array" ref="J23">TwoAssetsVaR($N$6,$P$8,J$11,$I23)*$N$3</f>
        <v>97418.513355167495</v>
      </c>
      <c r="K23" s="3" cm="1">
        <f t="array" ref="K23">TwoAssetsVaR($N$6,$P$8,K$11,$I23)*$N$3</f>
        <v>149208.71948454573</v>
      </c>
      <c r="L23" s="3" cm="1">
        <f t="array" ref="L23">TwoAssetsVaR($N$6,$P$8,L$11,$I23)*$N$3</f>
        <v>168168.07932486432</v>
      </c>
      <c r="U23" s="5">
        <f t="shared" si="4"/>
        <v>12</v>
      </c>
      <c r="V23" s="3" cm="1">
        <f t="array" ref="V23">TwoAssetsVaR($N$6,$N$8,V$11,$U23)*$N$3</f>
        <v>46238.264825355523</v>
      </c>
      <c r="W23" s="3" cm="1">
        <f t="array" ref="W23">TwoAssetsVaR($N$6,$N$8,W$11,$U23)*$N$3</f>
        <v>76823.51729431907</v>
      </c>
      <c r="X23" s="3" cm="1">
        <f t="array" ref="X23">TwoAssetsVaR($N$6,$N$8,X$11,$U23)*$N$3</f>
        <v>88020.167215299676</v>
      </c>
      <c r="AA23" s="5">
        <f t="shared" si="5"/>
        <v>12</v>
      </c>
      <c r="AB23" s="3" cm="1">
        <f t="array" ref="AB23">SingleAssetVaR($J$3,$J$4,AB$11,$AA23)*$N$3</f>
        <v>69566.50912556918</v>
      </c>
      <c r="AC23" s="3" cm="1">
        <f t="array" ref="AC23">SingleAssetVaR($J$3,$J$4,AC$11,$AA23)*$N$3</f>
        <v>99946.376211820127</v>
      </c>
      <c r="AD23" s="3" cm="1">
        <f t="array" ref="AD23">SingleAssetVaR($J$3,$J$4,AD$11,$AA23)*$N$3</f>
        <v>111067.83864721585</v>
      </c>
      <c r="AF23" s="5">
        <f t="shared" si="6"/>
        <v>12</v>
      </c>
      <c r="AG23" s="3" cm="1">
        <f t="array" ref="AG23">SingleAssetVaR($K$3,$K$4,AG$11,$AF23)*$N$3</f>
        <v>93028.812357539209</v>
      </c>
      <c r="AH23" s="3" cm="1">
        <f t="array" ref="AH23">SingleAssetVaR($K$3,$K$4,AH$11,$AF23)*$N$3</f>
        <v>146602.16693311665</v>
      </c>
      <c r="AI23" s="3" cm="1">
        <f t="array" ref="AI23">SingleAssetVaR($K$3,$K$4,AI$11,$AF23)*$N$3</f>
        <v>166214.30179726388</v>
      </c>
      <c r="AK23" s="3" t="str" cm="1">
        <f t="array" ref="AK23">CheckVaRAdditivity(AG23,AB23,V23)</f>
        <v>Subadditive</v>
      </c>
      <c r="AL23" s="3" t="str" cm="1">
        <f t="array" ref="AL23">CheckVaRAdditivity(AH23,AC23,W23)</f>
        <v>Subadditive</v>
      </c>
      <c r="AM23" s="3" t="str" cm="1">
        <f t="array" ref="AM23">CheckVaRAdditivity(AI23,AD23,X23)</f>
        <v>Subadditive</v>
      </c>
    </row>
    <row r="24" spans="1:39" x14ac:dyDescent="0.3">
      <c r="A24" s="2">
        <v>151.05798300000001</v>
      </c>
      <c r="B24" s="3">
        <f t="shared" si="1"/>
        <v>1.8005526277806551E-3</v>
      </c>
      <c r="D24" s="2">
        <v>270.83264200000002</v>
      </c>
      <c r="E24" s="3">
        <f t="shared" si="2"/>
        <v>-9.948788493743851E-4</v>
      </c>
      <c r="G24" s="3">
        <f t="shared" si="0"/>
        <v>-1.5512868085488258E-2</v>
      </c>
      <c r="I24" s="5">
        <f t="shared" si="3"/>
        <v>13</v>
      </c>
      <c r="J24" s="3" cm="1">
        <f t="array" ref="J24">TwoAssetsVaR($N$6,$P$8,J$11,$I24)*$N$3</f>
        <v>100224.14820428433</v>
      </c>
      <c r="K24" s="3" cm="1">
        <f t="array" ref="K24">TwoAssetsVaR($N$6,$P$8,K$11,$I24)*$N$3</f>
        <v>154129.10380671892</v>
      </c>
      <c r="L24" s="3" cm="1">
        <f t="array" ref="L24">TwoAssetsVaR($N$6,$P$8,L$11,$I24)*$N$3</f>
        <v>173862.63118233634</v>
      </c>
      <c r="U24" s="5">
        <f t="shared" si="4"/>
        <v>13</v>
      </c>
      <c r="V24" s="3" cm="1">
        <f t="array" ref="V24">TwoAssetsVaR($N$6,$N$8,V$11,$U24)*$N$3</f>
        <v>46954.056599916286</v>
      </c>
      <c r="W24" s="3" cm="1">
        <f t="array" ref="W24">TwoAssetsVaR($N$6,$N$8,W$11,$U24)*$N$3</f>
        <v>78788.196674780789</v>
      </c>
      <c r="X24" s="3" cm="1">
        <f t="array" ref="X24">TwoAssetsVaR($N$6,$N$8,X$11,$U24)*$N$3</f>
        <v>90442.039398996028</v>
      </c>
      <c r="AA24" s="5">
        <f t="shared" si="5"/>
        <v>13</v>
      </c>
      <c r="AB24" s="3" cm="1">
        <f t="array" ref="AB24">SingleAssetVaR($J$3,$J$4,AB$11,$AA24)*$N$3</f>
        <v>72247.38943426896</v>
      </c>
      <c r="AC24" s="3" cm="1">
        <f t="array" ref="AC24">SingleAssetVaR($J$3,$J$4,AC$11,$AA24)*$N$3</f>
        <v>103867.75762514339</v>
      </c>
      <c r="AD24" s="3" cm="1">
        <f t="array" ref="AD24">SingleAssetVaR($J$3,$J$4,AD$11,$AA24)*$N$3</f>
        <v>115443.34273319494</v>
      </c>
      <c r="AF24" s="5">
        <f t="shared" si="6"/>
        <v>13</v>
      </c>
      <c r="AG24" s="3" cm="1">
        <f t="array" ref="AG24">SingleAssetVaR($K$3,$K$4,AG$11,$AF24)*$N$3</f>
        <v>95285.725651850502</v>
      </c>
      <c r="AH24" s="3" cm="1">
        <f t="array" ref="AH24">SingleAssetVaR($K$3,$K$4,AH$11,$AF24)*$N$3</f>
        <v>151046.64100051197</v>
      </c>
      <c r="AI24" s="3" cm="1">
        <f t="array" ref="AI24">SingleAssetVaR($K$3,$K$4,AI$11,$AF24)*$N$3</f>
        <v>171459.59816233176</v>
      </c>
      <c r="AK24" s="3" t="str" cm="1">
        <f t="array" ref="AK24">CheckVaRAdditivity(AG24,AB24,V24)</f>
        <v>Subadditive</v>
      </c>
      <c r="AL24" s="3" t="str" cm="1">
        <f t="array" ref="AL24">CheckVaRAdditivity(AH24,AC24,W24)</f>
        <v>Subadditive</v>
      </c>
      <c r="AM24" s="3" t="str" cm="1">
        <f t="array" ref="AM24">CheckVaRAdditivity(AI24,AD24,X24)</f>
        <v>Subadditive</v>
      </c>
    </row>
    <row r="25" spans="1:39" x14ac:dyDescent="0.3">
      <c r="A25" s="2">
        <v>154.975281</v>
      </c>
      <c r="B25" s="3">
        <f t="shared" si="1"/>
        <v>2.5932412986078252E-2</v>
      </c>
      <c r="D25" s="2">
        <v>263.32061800000002</v>
      </c>
      <c r="E25" s="3">
        <f t="shared" si="2"/>
        <v>-2.7736774801318063E-2</v>
      </c>
      <c r="G25" s="3">
        <f t="shared" si="0"/>
        <v>-8.6779576352871562E-3</v>
      </c>
      <c r="I25" s="5">
        <f t="shared" si="3"/>
        <v>14</v>
      </c>
      <c r="J25" s="3" cm="1">
        <f t="array" ref="J25">TwoAssetsVaR($N$6,$P$8,J$11,$I25)*$N$3</f>
        <v>102836.96314296416</v>
      </c>
      <c r="K25" s="3" cm="1">
        <f t="array" ref="K25">TwoAssetsVaR($N$6,$P$8,K$11,$I25)*$N$3</f>
        <v>158776.77924989647</v>
      </c>
      <c r="L25" s="3" cm="1">
        <f t="array" ref="L25">TwoAssetsVaR($N$6,$P$8,L$11,$I25)*$N$3</f>
        <v>179255.22840538181</v>
      </c>
      <c r="U25" s="5">
        <f t="shared" si="4"/>
        <v>14</v>
      </c>
      <c r="V25" s="3" cm="1">
        <f t="array" ref="V25">TwoAssetsVaR($N$6,$N$8,V$11,$U25)*$N$3</f>
        <v>47555.976542667238</v>
      </c>
      <c r="W25" s="3" cm="1">
        <f t="array" ref="W25">TwoAssetsVaR($N$6,$N$8,W$11,$U25)*$N$3</f>
        <v>80591.824950449169</v>
      </c>
      <c r="X25" s="3" cm="1">
        <f t="array" ref="X25">TwoAssetsVaR($N$6,$N$8,X$11,$U25)*$N$3</f>
        <v>92685.589088569861</v>
      </c>
      <c r="AA25" s="5">
        <f t="shared" si="5"/>
        <v>14</v>
      </c>
      <c r="AB25" s="3" cm="1">
        <f t="array" ref="AB25">SingleAssetVaR($J$3,$J$4,AB$11,$AA25)*$N$3</f>
        <v>74815.16258066037</v>
      </c>
      <c r="AC25" s="3" cm="1">
        <f t="array" ref="AC25">SingleAssetVaR($J$3,$J$4,AC$11,$AA25)*$N$3</f>
        <v>107629.16942034168</v>
      </c>
      <c r="AD25" s="3" cm="1">
        <f t="array" ref="AD25">SingleAssetVaR($J$3,$J$4,AD$11,$AA25)*$N$3</f>
        <v>119641.72179215559</v>
      </c>
      <c r="AF25" s="5">
        <f t="shared" si="6"/>
        <v>14</v>
      </c>
      <c r="AG25" s="3" cm="1">
        <f t="array" ref="AG25">SingleAssetVaR($K$3,$K$4,AG$11,$AF25)*$N$3</f>
        <v>97343.18020283748</v>
      </c>
      <c r="AH25" s="3" cm="1">
        <f t="array" ref="AH25">SingleAssetVaR($K$3,$K$4,AH$11,$AF25)*$N$3</f>
        <v>155209.01676086744</v>
      </c>
      <c r="AI25" s="3" cm="1">
        <f t="array" ref="AI25">SingleAssetVaR($K$3,$K$4,AI$11,$AF25)*$N$3</f>
        <v>176392.54352699121</v>
      </c>
      <c r="AK25" s="3" t="str" cm="1">
        <f t="array" ref="AK25">CheckVaRAdditivity(AG25,AB25,V25)</f>
        <v>Subadditive</v>
      </c>
      <c r="AL25" s="3" t="str" cm="1">
        <f t="array" ref="AL25">CheckVaRAdditivity(AH25,AC25,W25)</f>
        <v>Subadditive</v>
      </c>
      <c r="AM25" s="3" t="str" cm="1">
        <f t="array" ref="AM25">CheckVaRAdditivity(AI25,AD25,X25)</f>
        <v>Subadditive</v>
      </c>
    </row>
    <row r="26" spans="1:39" x14ac:dyDescent="0.3">
      <c r="A26" s="2">
        <v>154.403198</v>
      </c>
      <c r="B26" s="3">
        <f t="shared" si="1"/>
        <v>-3.6914467669201525E-3</v>
      </c>
      <c r="D26" s="2">
        <v>264.29956099999998</v>
      </c>
      <c r="E26" s="3">
        <f t="shared" si="2"/>
        <v>3.7176845756907583E-3</v>
      </c>
      <c r="G26" s="3">
        <f t="shared" si="0"/>
        <v>6.5202665344495222E-4</v>
      </c>
      <c r="I26" s="5">
        <f t="shared" si="3"/>
        <v>15</v>
      </c>
      <c r="J26" s="3" cm="1">
        <f t="array" ref="J26">TwoAssetsVaR($N$6,$P$8,J$11,$I26)*$N$3</f>
        <v>105277.28814024194</v>
      </c>
      <c r="K26" s="3" cm="1">
        <f t="array" ref="K26">TwoAssetsVaR($N$6,$P$8,K$11,$I26)*$N$3</f>
        <v>163180.49887724995</v>
      </c>
      <c r="L26" s="3" cm="1">
        <f t="array" ref="L26">TwoAssetsVaR($N$6,$P$8,L$11,$I26)*$N$3</f>
        <v>184377.70758366591</v>
      </c>
      <c r="U26" s="5">
        <f t="shared" si="4"/>
        <v>15</v>
      </c>
      <c r="V26" s="3" cm="1">
        <f t="array" ref="V26">TwoAssetsVaR($N$6,$N$8,V$11,$U26)*$N$3</f>
        <v>48056.03073124533</v>
      </c>
      <c r="W26" s="3" cm="1">
        <f t="array" ref="W26">TwoAssetsVaR($N$6,$N$8,W$11,$U26)*$N$3</f>
        <v>82251.382546043227</v>
      </c>
      <c r="X26" s="3" cm="1">
        <f t="array" ref="X26">TwoAssetsVaR($N$6,$N$8,X$11,$U26)*$N$3</f>
        <v>94769.61771783336</v>
      </c>
      <c r="AA26" s="5">
        <f t="shared" si="5"/>
        <v>15</v>
      </c>
      <c r="AB26" s="3" cm="1">
        <f t="array" ref="AB26">SingleAssetVaR($J$3,$J$4,AB$11,$AA26)*$N$3</f>
        <v>77281.754019444386</v>
      </c>
      <c r="AC26" s="3" cm="1">
        <f t="array" ref="AC26">SingleAssetVaR($J$3,$J$4,AC$11,$AA26)*$N$3</f>
        <v>111247.47799557717</v>
      </c>
      <c r="AD26" s="3" cm="1">
        <f t="array" ref="AD26">SingleAssetVaR($J$3,$J$4,AD$11,$AA26)*$N$3</f>
        <v>123681.65100295479</v>
      </c>
      <c r="AF26" s="5">
        <f t="shared" si="6"/>
        <v>15</v>
      </c>
      <c r="AG26" s="3" cm="1">
        <f t="array" ref="AG26">SingleAssetVaR($K$3,$K$4,AG$11,$AF26)*$N$3</f>
        <v>99222.205944941787</v>
      </c>
      <c r="AH26" s="3" cm="1">
        <f t="array" ref="AH26">SingleAssetVaR($K$3,$K$4,AH$11,$AF26)*$N$3</f>
        <v>159119.03725178709</v>
      </c>
      <c r="AI26" s="3" cm="1">
        <f t="array" ref="AI26">SingleAssetVaR($K$3,$K$4,AI$11,$AF26)*$N$3</f>
        <v>181046.07062185046</v>
      </c>
      <c r="AK26" s="3" t="str" cm="1">
        <f t="array" ref="AK26">CheckVaRAdditivity(AG26,AB26,V26)</f>
        <v>Subadditive</v>
      </c>
      <c r="AL26" s="3" t="str" cm="1">
        <f t="array" ref="AL26">CheckVaRAdditivity(AH26,AC26,W26)</f>
        <v>Subadditive</v>
      </c>
      <c r="AM26" s="3" t="str" cm="1">
        <f t="array" ref="AM26">CheckVaRAdditivity(AI26,AD26,X26)</f>
        <v>Subadditive</v>
      </c>
    </row>
    <row r="27" spans="1:39" x14ac:dyDescent="0.3">
      <c r="A27" s="2">
        <v>154.03474399999999</v>
      </c>
      <c r="B27" s="3">
        <f t="shared" si="1"/>
        <v>-2.3863106773216835E-3</v>
      </c>
      <c r="D27" s="2">
        <v>264.66918900000002</v>
      </c>
      <c r="E27" s="3">
        <f t="shared" si="2"/>
        <v>1.3985191598560177E-3</v>
      </c>
      <c r="G27" s="3">
        <f t="shared" si="0"/>
        <v>-7.1815411810674861E-3</v>
      </c>
      <c r="I27" s="5">
        <f t="shared" si="3"/>
        <v>16</v>
      </c>
      <c r="J27" s="3" cm="1">
        <f t="array" ref="J27">TwoAssetsVaR($N$6,$P$8,J$11,$I27)*$N$3</f>
        <v>107562.11350138078</v>
      </c>
      <c r="K27" s="3" cm="1">
        <f t="array" ref="K27">TwoAssetsVaR($N$6,$P$8,K$11,$I27)*$N$3</f>
        <v>167364.29240174626</v>
      </c>
      <c r="L27" s="3" cm="1">
        <f t="array" ref="L27">TwoAssetsVaR($N$6,$P$8,L$11,$I27)*$N$3</f>
        <v>189256.67541668811</v>
      </c>
      <c r="U27" s="5">
        <f t="shared" si="4"/>
        <v>16</v>
      </c>
      <c r="V27" s="3" cm="1">
        <f t="array" ref="V27">TwoAssetsVaR($N$6,$N$8,V$11,$U27)*$N$3</f>
        <v>48464.252969623005</v>
      </c>
      <c r="W27" s="3" cm="1">
        <f t="array" ref="W27">TwoAssetsVaR($N$6,$N$8,W$11,$U27)*$N$3</f>
        <v>83781.060462000547</v>
      </c>
      <c r="X27" s="3" cm="1">
        <f t="array" ref="X27">TwoAssetsVaR($N$6,$N$8,X$11,$U27)*$N$3</f>
        <v>96709.838153800869</v>
      </c>
      <c r="AA27" s="5">
        <f t="shared" si="5"/>
        <v>16</v>
      </c>
      <c r="AB27" s="3" cm="1">
        <f t="array" ref="AB27">SingleAssetVaR($J$3,$J$4,AB$11,$AA27)*$N$3</f>
        <v>79657.130175824233</v>
      </c>
      <c r="AC27" s="3" cm="1">
        <f t="array" ref="AC27">SingleAssetVaR($J$3,$J$4,AC$11,$AA27)*$N$3</f>
        <v>114736.77905620831</v>
      </c>
      <c r="AD27" s="3" cm="1">
        <f t="array" ref="AD27">SingleAssetVaR($J$3,$J$4,AD$11,$AA27)*$N$3</f>
        <v>127578.73771792438</v>
      </c>
      <c r="AF27" s="5">
        <f t="shared" si="6"/>
        <v>16</v>
      </c>
      <c r="AG27" s="3" cm="1">
        <f t="array" ref="AG27">SingleAssetVaR($K$3,$K$4,AG$11,$AF27)*$N$3</f>
        <v>100940.3781634584</v>
      </c>
      <c r="AH27" s="3" cm="1">
        <f t="array" ref="AH27">SingleAssetVaR($K$3,$K$4,AH$11,$AF27)*$N$3</f>
        <v>162801.55953466022</v>
      </c>
      <c r="AI27" s="3" cm="1">
        <f t="array" ref="AI27">SingleAssetVaR($K$3,$K$4,AI$11,$AF27)*$N$3</f>
        <v>185447.70222105752</v>
      </c>
      <c r="AK27" s="3" t="str" cm="1">
        <f t="array" ref="AK27">CheckVaRAdditivity(AG27,AB27,V27)</f>
        <v>Subadditive</v>
      </c>
      <c r="AL27" s="3" t="str" cm="1">
        <f t="array" ref="AL27">CheckVaRAdditivity(AH27,AC27,W27)</f>
        <v>Subadditive</v>
      </c>
      <c r="AM27" s="3" t="str" cm="1">
        <f t="array" ref="AM27">CheckVaRAdditivity(AI27,AD27,X27)</f>
        <v>Subadditive</v>
      </c>
    </row>
    <row r="28" spans="1:39" x14ac:dyDescent="0.3">
      <c r="A28" s="2">
        <v>152.55122399999999</v>
      </c>
      <c r="B28" s="3">
        <f t="shared" si="1"/>
        <v>-9.6310738829156542E-3</v>
      </c>
      <c r="D28" s="2">
        <v>270.76269500000001</v>
      </c>
      <c r="E28" s="3">
        <f t="shared" si="2"/>
        <v>2.3023103002745026E-2</v>
      </c>
      <c r="G28" s="3">
        <f t="shared" si="0"/>
        <v>-9.6401563350121695E-3</v>
      </c>
      <c r="I28" s="5">
        <f t="shared" si="3"/>
        <v>17</v>
      </c>
      <c r="J28" s="3" cm="1">
        <f t="array" ref="J28">TwoAssetsVaR($N$6,$P$8,J$11,$I28)*$N$3</f>
        <v>109705.81091551149</v>
      </c>
      <c r="K28" s="3" cm="1">
        <f t="array" ref="K28">TwoAssetsVaR($N$6,$P$8,K$11,$I28)*$N$3</f>
        <v>171348.48597758418</v>
      </c>
      <c r="L28" s="3" cm="1">
        <f t="array" ref="L28">TwoAssetsVaR($N$6,$P$8,L$11,$I28)*$N$3</f>
        <v>193914.63786935495</v>
      </c>
      <c r="U28" s="5">
        <f t="shared" si="4"/>
        <v>17</v>
      </c>
      <c r="V28" s="3" cm="1">
        <f t="array" ref="V28">TwoAssetsVaR($N$6,$N$8,V$11,$U28)*$N$3</f>
        <v>48789.130610396896</v>
      </c>
      <c r="W28" s="3" cm="1">
        <f t="array" ref="W28">TwoAssetsVaR($N$6,$N$8,W$11,$U28)*$N$3</f>
        <v>85192.862523066346</v>
      </c>
      <c r="X28" s="3" cm="1">
        <f t="array" ref="X28">TwoAssetsVaR($N$6,$N$8,X$11,$U28)*$N$3</f>
        <v>98519.541531421841</v>
      </c>
      <c r="AA28" s="5">
        <f t="shared" si="5"/>
        <v>17</v>
      </c>
      <c r="AB28" s="3" cm="1">
        <f t="array" ref="AB28">SingleAssetVaR($J$3,$J$4,AB$11,$AA28)*$N$3</f>
        <v>81949.721408321915</v>
      </c>
      <c r="AC28" s="3" cm="1">
        <f t="array" ref="AC28">SingleAssetVaR($J$3,$J$4,AC$11,$AA28)*$N$3</f>
        <v>118108.99581917288</v>
      </c>
      <c r="AD28" s="3" cm="1">
        <f t="array" ref="AD28">SingleAssetVaR($J$3,$J$4,AD$11,$AA28)*$N$3</f>
        <v>131346.18381969063</v>
      </c>
      <c r="AF28" s="5">
        <f t="shared" si="6"/>
        <v>17</v>
      </c>
      <c r="AG28" s="3" cm="1">
        <f t="array" ref="AG28">SingleAssetVaR($K$3,$K$4,AG$11,$AF28)*$N$3</f>
        <v>102512.56336800748</v>
      </c>
      <c r="AH28" s="3" cm="1">
        <f t="array" ref="AH28">SingleAssetVaR($K$3,$K$4,AH$11,$AF28)*$N$3</f>
        <v>166277.60959774663</v>
      </c>
      <c r="AI28" s="3" cm="1">
        <f t="array" ref="AI28">SingleAssetVaR($K$3,$K$4,AI$11,$AF28)*$N$3</f>
        <v>189620.71917495286</v>
      </c>
      <c r="AK28" s="3" t="str" cm="1">
        <f t="array" ref="AK28">CheckVaRAdditivity(AG28,AB28,V28)</f>
        <v>Subadditive</v>
      </c>
      <c r="AL28" s="3" t="str" cm="1">
        <f t="array" ref="AL28">CheckVaRAdditivity(AH28,AC28,W28)</f>
        <v>Subadditive</v>
      </c>
      <c r="AM28" s="3" t="str" cm="1">
        <f t="array" ref="AM28">CheckVaRAdditivity(AI28,AD28,X28)</f>
        <v>Subadditive</v>
      </c>
    </row>
    <row r="29" spans="1:39" x14ac:dyDescent="0.3">
      <c r="A29" s="2">
        <v>153.69537399999999</v>
      </c>
      <c r="B29" s="3">
        <f t="shared" si="1"/>
        <v>7.5001037028716092E-3</v>
      </c>
      <c r="D29" s="2">
        <v>271.03244000000001</v>
      </c>
      <c r="E29" s="3">
        <f t="shared" si="2"/>
        <v>9.9624137660470676E-4</v>
      </c>
      <c r="G29" s="3">
        <f t="shared" si="0"/>
        <v>-2.4745620704158117E-3</v>
      </c>
      <c r="I29" s="5">
        <f t="shared" si="3"/>
        <v>18</v>
      </c>
      <c r="J29" s="3" cm="1">
        <f t="array" ref="J29">TwoAssetsVaR($N$6,$P$8,J$11,$I29)*$N$3</f>
        <v>111720.66589721284</v>
      </c>
      <c r="K29" s="3" cm="1">
        <f t="array" ref="K29">TwoAssetsVaR($N$6,$P$8,K$11,$I29)*$N$3</f>
        <v>175150.45524248207</v>
      </c>
      <c r="L29" s="3" cm="1">
        <f t="array" ref="L29">TwoAssetsVaR($N$6,$P$8,L$11,$I29)*$N$3</f>
        <v>198370.83397177994</v>
      </c>
      <c r="U29" s="5">
        <f t="shared" si="4"/>
        <v>18</v>
      </c>
      <c r="V29" s="3" cm="1">
        <f t="array" ref="V29">TwoAssetsVaR($N$6,$N$8,V$11,$U29)*$N$3</f>
        <v>49037.918993778694</v>
      </c>
      <c r="W29" s="3" cm="1">
        <f t="array" ref="W29">TwoAssetsVaR($N$6,$N$8,W$11,$U29)*$N$3</f>
        <v>86497.050095358747</v>
      </c>
      <c r="X29" s="3" cm="1">
        <f t="array" ref="X29">TwoAssetsVaR($N$6,$N$8,X$11,$U29)*$N$3</f>
        <v>100210.08966284677</v>
      </c>
      <c r="AA29" s="5">
        <f t="shared" si="5"/>
        <v>18</v>
      </c>
      <c r="AB29" s="3" cm="1">
        <f t="array" ref="AB29">SingleAssetVaR($J$3,$J$4,AB$11,$AA29)*$N$3</f>
        <v>84166.734336255671</v>
      </c>
      <c r="AC29" s="3" cm="1">
        <f t="array" ref="AC29">SingleAssetVaR($J$3,$J$4,AC$11,$AA29)*$N$3</f>
        <v>121374.32074369965</v>
      </c>
      <c r="AD29" s="3" cm="1">
        <f t="array" ref="AD29">SingleAssetVaR($J$3,$J$4,AD$11,$AA29)*$N$3</f>
        <v>134995.27482382479</v>
      </c>
      <c r="AF29" s="5">
        <f t="shared" si="6"/>
        <v>18</v>
      </c>
      <c r="AG29" s="3" cm="1">
        <f t="array" ref="AG29">SingleAssetVaR($K$3,$K$4,AG$11,$AF29)*$N$3</f>
        <v>103951.47006619813</v>
      </c>
      <c r="AH29" s="3" cm="1">
        <f t="array" ref="AH29">SingleAssetVaR($K$3,$K$4,AH$11,$AF29)*$N$3</f>
        <v>169565.16132587974</v>
      </c>
      <c r="AI29" s="3" cm="1">
        <f t="array" ref="AI29">SingleAssetVaR($K$3,$K$4,AI$11,$AF29)*$N$3</f>
        <v>193585.02291778423</v>
      </c>
      <c r="AK29" s="3" t="str" cm="1">
        <f t="array" ref="AK29">CheckVaRAdditivity(AG29,AB29,V29)</f>
        <v>Subadditive</v>
      </c>
      <c r="AL29" s="3" t="str" cm="1">
        <f t="array" ref="AL29">CheckVaRAdditivity(AH29,AC29,W29)</f>
        <v>Subadditive</v>
      </c>
      <c r="AM29" s="3" t="str" cm="1">
        <f t="array" ref="AM29">CheckVaRAdditivity(AI29,AD29,X29)</f>
        <v>Subadditive</v>
      </c>
    </row>
    <row r="30" spans="1:39" x14ac:dyDescent="0.3">
      <c r="A30" s="2">
        <v>152.31849700000001</v>
      </c>
      <c r="B30" s="3">
        <f t="shared" si="1"/>
        <v>-8.9584804289553899E-3</v>
      </c>
      <c r="D30" s="2">
        <v>273.060272</v>
      </c>
      <c r="E30" s="3">
        <f t="shared" si="2"/>
        <v>7.4818792909069828E-3</v>
      </c>
      <c r="G30" s="3">
        <f t="shared" si="0"/>
        <v>1.4010039820860822E-2</v>
      </c>
      <c r="I30" s="5">
        <f t="shared" si="3"/>
        <v>19</v>
      </c>
      <c r="J30" s="3" cm="1">
        <f t="array" ref="J30">TwoAssetsVaR($N$6,$P$8,J$11,$I30)*$N$3</f>
        <v>113617.27862827404</v>
      </c>
      <c r="K30" s="3" cm="1">
        <f t="array" ref="K30">TwoAssetsVaR($N$6,$P$8,K$11,$I30)*$N$3</f>
        <v>178785.19223583239</v>
      </c>
      <c r="L30" s="3" cm="1">
        <f t="array" ref="L30">TwoAssetsVaR($N$6,$P$8,L$11,$I30)*$N$3</f>
        <v>202641.86353468683</v>
      </c>
      <c r="U30" s="5">
        <f t="shared" si="4"/>
        <v>19</v>
      </c>
      <c r="V30" s="3" cm="1">
        <f t="array" ref="V30">TwoAssetsVaR($N$6,$N$8,V$11,$U30)*$N$3</f>
        <v>49216.87816892581</v>
      </c>
      <c r="W30" s="3" cm="1">
        <f t="array" ref="W30">TwoAssetsVaR($N$6,$N$8,W$11,$U30)*$N$3</f>
        <v>87702.476885864264</v>
      </c>
      <c r="X30" s="3" cm="1">
        <f t="array" ref="X30">TwoAssetsVaR($N$6,$N$8,X$11,$U30)*$N$3</f>
        <v>101791.28574137941</v>
      </c>
      <c r="AA30" s="5">
        <f t="shared" si="5"/>
        <v>19</v>
      </c>
      <c r="AB30" s="3" cm="1">
        <f t="array" ref="AB30">SingleAssetVaR($J$3,$J$4,AB$11,$AA30)*$N$3</f>
        <v>86314.38697144507</v>
      </c>
      <c r="AC30" s="3" cm="1">
        <f t="array" ref="AC30">SingleAssetVaR($J$3,$J$4,AC$11,$AA30)*$N$3</f>
        <v>124541.54808256603</v>
      </c>
      <c r="AD30" s="3" cm="1">
        <f t="array" ref="AD30">SingleAssetVaR($J$3,$J$4,AD$11,$AA30)*$N$3</f>
        <v>138535.74809345283</v>
      </c>
      <c r="AF30" s="5">
        <f t="shared" si="6"/>
        <v>19</v>
      </c>
      <c r="AG30" s="3" cm="1">
        <f t="array" ref="AG30">SingleAssetVaR($K$3,$K$4,AG$11,$AF30)*$N$3</f>
        <v>105268.06340646293</v>
      </c>
      <c r="AH30" s="3" cm="1">
        <f t="array" ref="AH30">SingleAssetVaR($K$3,$K$4,AH$11,$AF30)*$N$3</f>
        <v>172679.7229377403</v>
      </c>
      <c r="AI30" s="3" cm="1">
        <f t="array" ref="AI30">SingleAssetVaR($K$3,$K$4,AI$11,$AF30)*$N$3</f>
        <v>197357.78479549242</v>
      </c>
      <c r="AK30" s="3" t="str" cm="1">
        <f t="array" ref="AK30">CheckVaRAdditivity(AG30,AB30,V30)</f>
        <v>Subadditive</v>
      </c>
      <c r="AL30" s="3" t="str" cm="1">
        <f t="array" ref="AL30">CheckVaRAdditivity(AH30,AC30,W30)</f>
        <v>Subadditive</v>
      </c>
      <c r="AM30" s="3" t="str" cm="1">
        <f t="array" ref="AM30">CheckVaRAdditivity(AI30,AD30,X30)</f>
        <v>Subadditive</v>
      </c>
    </row>
    <row r="31" spans="1:39" x14ac:dyDescent="0.3">
      <c r="A31" s="2">
        <v>153.47236599999999</v>
      </c>
      <c r="B31" s="3">
        <f t="shared" si="1"/>
        <v>7.5753701797621207E-3</v>
      </c>
      <c r="D31" s="2">
        <v>281.53128099999998</v>
      </c>
      <c r="E31" s="3">
        <f t="shared" si="2"/>
        <v>3.1022487958262859E-2</v>
      </c>
      <c r="G31" s="3">
        <f t="shared" si="0"/>
        <v>1.6066087328863221E-2</v>
      </c>
      <c r="I31" s="5">
        <f t="shared" si="3"/>
        <v>20</v>
      </c>
      <c r="J31" s="3" cm="1">
        <f t="array" ref="J31">TwoAssetsVaR($N$6,$P$8,J$11,$I31)*$N$3</f>
        <v>115404.87089722315</v>
      </c>
      <c r="K31" s="3" cm="1">
        <f t="array" ref="K31">TwoAssetsVaR($N$6,$P$8,K$11,$I31)*$N$3</f>
        <v>182265.73950913356</v>
      </c>
      <c r="L31" s="3" cm="1">
        <f t="array" ref="L31">TwoAssetsVaR($N$6,$P$8,L$11,$I31)*$N$3</f>
        <v>206742.1678145694</v>
      </c>
      <c r="U31" s="5">
        <f t="shared" si="4"/>
        <v>20</v>
      </c>
      <c r="V31" s="3" cm="1">
        <f t="array" ref="V31">TwoAssetsVaR($N$6,$N$8,V$11,$U31)*$N$3</f>
        <v>49331.454160317029</v>
      </c>
      <c r="W31" s="3" cm="1">
        <f t="array" ref="W31">TwoAssetsVaR($N$6,$N$8,W$11,$U31)*$N$3</f>
        <v>88816.845310932069</v>
      </c>
      <c r="X31" s="3" cm="1">
        <f t="array" ref="X31">TwoAssetsVaR($N$6,$N$8,X$11,$U31)*$N$3</f>
        <v>103271.65820335622</v>
      </c>
      <c r="AA31" s="5">
        <f t="shared" si="5"/>
        <v>20</v>
      </c>
      <c r="AB31" s="3" cm="1">
        <f t="array" ref="AB31">SingleAssetVaR($J$3,$J$4,AB$11,$AA31)*$N$3</f>
        <v>88398.088767350782</v>
      </c>
      <c r="AC31" s="3" cm="1">
        <f t="array" ref="AC31">SingleAssetVaR($J$3,$J$4,AC$11,$AA31)*$N$3</f>
        <v>127618.32852903235</v>
      </c>
      <c r="AD31" s="3" cm="1">
        <f t="array" ref="AD31">SingleAssetVaR($J$3,$J$4,AD$11,$AA31)*$N$3</f>
        <v>141976.07479495206</v>
      </c>
      <c r="AF31" s="5">
        <f t="shared" si="6"/>
        <v>20</v>
      </c>
      <c r="AG31" s="3" cm="1">
        <f t="array" ref="AG31">SingleAssetVaR($K$3,$K$4,AG$11,$AF31)*$N$3</f>
        <v>106471.8826855831</v>
      </c>
      <c r="AH31" s="3" cm="1">
        <f t="array" ref="AH31">SingleAssetVaR($K$3,$K$4,AH$11,$AF31)*$N$3</f>
        <v>175634.78604280856</v>
      </c>
      <c r="AI31" s="3" cm="1">
        <f t="array" ref="AI31">SingleAssetVaR($K$3,$K$4,AI$11,$AF31)*$N$3</f>
        <v>200953.94328028057</v>
      </c>
      <c r="AK31" s="3" t="str" cm="1">
        <f t="array" ref="AK31">CheckVaRAdditivity(AG31,AB31,V31)</f>
        <v>Subadditive</v>
      </c>
      <c r="AL31" s="3" t="str" cm="1">
        <f t="array" ref="AL31">CheckVaRAdditivity(AH31,AC31,W31)</f>
        <v>Subadditive</v>
      </c>
      <c r="AM31" s="3" t="str" cm="1">
        <f t="array" ref="AM31">CheckVaRAdditivity(AI31,AD31,X31)</f>
        <v>Subadditive</v>
      </c>
    </row>
    <row r="32" spans="1:39" x14ac:dyDescent="0.3">
      <c r="A32" s="2">
        <v>152.48333700000001</v>
      </c>
      <c r="B32" s="3">
        <f t="shared" si="1"/>
        <v>-6.444345817930428E-3</v>
      </c>
      <c r="D32" s="2">
        <v>280.702179</v>
      </c>
      <c r="E32" s="3">
        <f t="shared" si="2"/>
        <v>-2.9449729246959866E-3</v>
      </c>
      <c r="G32" s="3">
        <f t="shared" si="0"/>
        <v>-1.1085979853525498E-2</v>
      </c>
      <c r="I32" s="5">
        <f t="shared" si="3"/>
        <v>21</v>
      </c>
      <c r="J32" s="3" cm="1">
        <f t="array" ref="J32">TwoAssetsVaR($N$6,$P$8,J$11,$I32)*$N$3</f>
        <v>117091.52470018933</v>
      </c>
      <c r="K32" s="3" cm="1">
        <f t="array" ref="K32">TwoAssetsVaR($N$6,$P$8,K$11,$I32)*$N$3</f>
        <v>185603.52758374327</v>
      </c>
      <c r="L32" s="3" cm="1">
        <f t="array" ref="L32">TwoAssetsVaR($N$6,$P$8,L$11,$I32)*$N$3</f>
        <v>210684.40316097738</v>
      </c>
      <c r="U32" s="5">
        <f t="shared" si="4"/>
        <v>21</v>
      </c>
      <c r="V32" s="3" cm="1">
        <f t="array" ref="V32">TwoAssetsVaR($N$6,$N$8,V$11,$U32)*$N$3</f>
        <v>49386.419876008535</v>
      </c>
      <c r="W32" s="3" cm="1">
        <f t="array" ref="W32">TwoAssetsVaR($N$6,$N$8,W$11,$U32)*$N$3</f>
        <v>89846.905785509458</v>
      </c>
      <c r="X32" s="3" cm="1">
        <f t="array" ref="X32">TwoAssetsVaR($N$6,$N$8,X$11,$U32)*$N$3</f>
        <v>104658.6813894923</v>
      </c>
      <c r="AA32" s="5">
        <f t="shared" si="5"/>
        <v>21</v>
      </c>
      <c r="AB32" s="3" cm="1">
        <f t="array" ref="AB32">SingleAssetVaR($J$3,$J$4,AB$11,$AA32)*$N$3</f>
        <v>90422.580581106769</v>
      </c>
      <c r="AC32" s="3" cm="1">
        <f t="array" ref="AC32">SingleAssetVaR($J$3,$J$4,AC$11,$AA32)*$N$3</f>
        <v>130611.36716781498</v>
      </c>
      <c r="AD32" s="3" cm="1">
        <f t="array" ref="AD32">SingleAssetVaR($J$3,$J$4,AD$11,$AA32)*$N$3</f>
        <v>145323.67907751692</v>
      </c>
      <c r="AF32" s="5">
        <f t="shared" si="6"/>
        <v>21</v>
      </c>
      <c r="AG32" s="3" cm="1">
        <f t="array" ref="AG32">SingleAssetVaR($K$3,$K$4,AG$11,$AF32)*$N$3</f>
        <v>107571.2881646325</v>
      </c>
      <c r="AH32" s="3" cm="1">
        <f t="array" ref="AH32">SingleAssetVaR($K$3,$K$4,AH$11,$AF32)*$N$3</f>
        <v>178442.17471786361</v>
      </c>
      <c r="AI32" s="3" cm="1">
        <f t="array" ref="AI32">SingleAssetVaR($K$3,$K$4,AI$11,$AF32)*$N$3</f>
        <v>204386.59048266013</v>
      </c>
      <c r="AK32" s="3" t="str" cm="1">
        <f t="array" ref="AK32">CheckVaRAdditivity(AG32,AB32,V32)</f>
        <v>Subadditive</v>
      </c>
      <c r="AL32" s="3" t="str" cm="1">
        <f t="array" ref="AL32">CheckVaRAdditivity(AH32,AC32,W32)</f>
        <v>Subadditive</v>
      </c>
      <c r="AM32" s="3" t="str" cm="1">
        <f t="array" ref="AM32">CheckVaRAdditivity(AI32,AD32,X32)</f>
        <v>Subadditive</v>
      </c>
    </row>
    <row r="33" spans="1:39" x14ac:dyDescent="0.3">
      <c r="A33" s="2">
        <v>149.01208500000001</v>
      </c>
      <c r="B33" s="3">
        <f t="shared" si="1"/>
        <v>-2.2764795605174831E-2</v>
      </c>
      <c r="D33" s="2">
        <v>284.02862499999998</v>
      </c>
      <c r="E33" s="3">
        <f t="shared" si="2"/>
        <v>1.1850445948978458E-2</v>
      </c>
      <c r="G33" s="3">
        <f t="shared" si="0"/>
        <v>7.3338913250688715E-3</v>
      </c>
      <c r="I33" s="5">
        <f t="shared" si="3"/>
        <v>22</v>
      </c>
      <c r="J33" s="3" cm="1">
        <f t="array" ref="J33">TwoAssetsVaR($N$6,$P$8,J$11,$I33)*$N$3</f>
        <v>118684.37022774988</v>
      </c>
      <c r="K33" s="3" cm="1">
        <f t="array" ref="K33">TwoAssetsVaR($N$6,$P$8,K$11,$I33)*$N$3</f>
        <v>188808.64082426348</v>
      </c>
      <c r="L33" s="3" cm="1">
        <f t="array" ref="L33">TwoAssetsVaR($N$6,$P$8,L$11,$I33)*$N$3</f>
        <v>214479.73540260695</v>
      </c>
      <c r="U33" s="5">
        <f t="shared" si="4"/>
        <v>22</v>
      </c>
      <c r="V33" s="3" cm="1">
        <f t="array" ref="V33">TwoAssetsVaR($N$6,$N$8,V$11,$U33)*$N$3</f>
        <v>49385.986125248965</v>
      </c>
      <c r="W33" s="3" cm="1">
        <f t="array" ref="W33">TwoAssetsVaR($N$6,$N$8,W$11,$U33)*$N$3</f>
        <v>90798.61373747341</v>
      </c>
      <c r="X33" s="3" cm="1">
        <f t="array" ref="X33">TwoAssetsVaR($N$6,$N$8,X$11,$U33)*$N$3</f>
        <v>105958.94939769185</v>
      </c>
      <c r="AA33" s="5">
        <f t="shared" si="5"/>
        <v>22</v>
      </c>
      <c r="AB33" s="3" cm="1">
        <f t="array" ref="AB33">SingleAssetVaR($J$3,$J$4,AB$11,$AA33)*$N$3</f>
        <v>92392.044945632399</v>
      </c>
      <c r="AC33" s="3" cm="1">
        <f t="array" ref="AC33">SingleAssetVaR($J$3,$J$4,AC$11,$AA33)*$N$3</f>
        <v>133526.57943503885</v>
      </c>
      <c r="AD33" s="3" cm="1">
        <f t="array" ref="AD33">SingleAssetVaR($J$3,$J$4,AD$11,$AA33)*$N$3</f>
        <v>148585.11075851737</v>
      </c>
      <c r="AF33" s="5">
        <f t="shared" si="6"/>
        <v>22</v>
      </c>
      <c r="AG33" s="3" cm="1">
        <f t="array" ref="AG33">SingleAssetVaR($K$3,$K$4,AG$11,$AF33)*$N$3</f>
        <v>108573.65552825376</v>
      </c>
      <c r="AH33" s="3" cm="1">
        <f t="array" ref="AH33">SingleAssetVaR($K$3,$K$4,AH$11,$AF33)*$N$3</f>
        <v>181112.3205344489</v>
      </c>
      <c r="AI33" s="3" cm="1">
        <f t="array" ref="AI33">SingleAssetVaR($K$3,$K$4,AI$11,$AF33)*$N$3</f>
        <v>207667.27667332088</v>
      </c>
      <c r="AK33" s="3" t="str" cm="1">
        <f t="array" ref="AK33">CheckVaRAdditivity(AG33,AB33,V33)</f>
        <v>Subadditive</v>
      </c>
      <c r="AL33" s="3" t="str" cm="1">
        <f t="array" ref="AL33">CheckVaRAdditivity(AH33,AC33,W33)</f>
        <v>Subadditive</v>
      </c>
      <c r="AM33" s="3" t="str" cm="1">
        <f t="array" ref="AM33">CheckVaRAdditivity(AI33,AD33,X33)</f>
        <v>Subadditive</v>
      </c>
    </row>
    <row r="34" spans="1:39" x14ac:dyDescent="0.3">
      <c r="A34" s="2">
        <v>150.17564400000001</v>
      </c>
      <c r="B34" s="3">
        <f t="shared" si="1"/>
        <v>7.8084874793879445E-3</v>
      </c>
      <c r="D34" s="2">
        <v>281.341522</v>
      </c>
      <c r="E34" s="3">
        <f t="shared" si="2"/>
        <v>-9.4606767187637494E-3</v>
      </c>
      <c r="G34" s="3">
        <f t="shared" si="0"/>
        <v>8.1814630178908918E-3</v>
      </c>
      <c r="I34" s="5">
        <f t="shared" si="3"/>
        <v>23</v>
      </c>
      <c r="J34" s="3" cm="1">
        <f t="array" ref="J34">TwoAssetsVaR($N$6,$P$8,J$11,$I34)*$N$3</f>
        <v>120189.73577277231</v>
      </c>
      <c r="K34" s="3" cm="1">
        <f t="array" ref="K34">TwoAssetsVaR($N$6,$P$8,K$11,$I34)*$N$3</f>
        <v>191890.02945606218</v>
      </c>
      <c r="L34" s="3" cm="1">
        <f t="array" ref="L34">TwoAssetsVaR($N$6,$P$8,L$11,$I34)*$N$3</f>
        <v>218138.07460193569</v>
      </c>
      <c r="U34" s="5">
        <f t="shared" si="4"/>
        <v>23</v>
      </c>
      <c r="V34" s="3" cm="1">
        <f t="array" ref="V34">TwoAssetsVaR($N$6,$N$8,V$11,$U34)*$N$3</f>
        <v>49333.890148136692</v>
      </c>
      <c r="W34" s="3" cm="1">
        <f t="array" ref="W34">TwoAssetsVaR($N$6,$N$8,W$11,$U34)*$N$3</f>
        <v>91677.254816814442</v>
      </c>
      <c r="X34" s="3" cm="1">
        <f t="array" ref="X34">TwoAssetsVaR($N$6,$N$8,X$11,$U34)*$N$3</f>
        <v>107178.31471987399</v>
      </c>
      <c r="AA34" s="5">
        <f t="shared" si="5"/>
        <v>23</v>
      </c>
      <c r="AB34" s="3" cm="1">
        <f t="array" ref="AB34">SingleAssetVaR($J$3,$J$4,AB$11,$AA34)*$N$3</f>
        <v>94310.194004797493</v>
      </c>
      <c r="AC34" s="3" cm="1">
        <f t="array" ref="AC34">SingleAssetVaR($J$3,$J$4,AC$11,$AA34)*$N$3</f>
        <v>136369.21548661939</v>
      </c>
      <c r="AD34" s="3" cm="1">
        <f t="array" ref="AD34">SingleAssetVaR($J$3,$J$4,AD$11,$AA34)*$N$3</f>
        <v>151766.18302935359</v>
      </c>
      <c r="AF34" s="5">
        <f t="shared" si="6"/>
        <v>23</v>
      </c>
      <c r="AG34" s="3" cm="1">
        <f t="array" ref="AG34">SingleAssetVaR($K$3,$K$4,AG$11,$AF34)*$N$3</f>
        <v>109485.53095386128</v>
      </c>
      <c r="AH34" s="3" cm="1">
        <f t="array" ref="AH34">SingleAssetVaR($K$3,$K$4,AH$11,$AF34)*$N$3</f>
        <v>183654.4818762051</v>
      </c>
      <c r="AI34" s="3" cm="1">
        <f t="array" ref="AI34">SingleAssetVaR($K$3,$K$4,AI$11,$AF34)*$N$3</f>
        <v>210806.25312042056</v>
      </c>
      <c r="AK34" s="3" t="str" cm="1">
        <f t="array" ref="AK34">CheckVaRAdditivity(AG34,AB34,V34)</f>
        <v>Subadditive</v>
      </c>
      <c r="AL34" s="3" t="str" cm="1">
        <f t="array" ref="AL34">CheckVaRAdditivity(AH34,AC34,W34)</f>
        <v>Subadditive</v>
      </c>
      <c r="AM34" s="3" t="str" cm="1">
        <f t="array" ref="AM34">CheckVaRAdditivity(AI34,AD34,X34)</f>
        <v>Subadditive</v>
      </c>
    </row>
    <row r="35" spans="1:39" x14ac:dyDescent="0.3">
      <c r="A35" s="2">
        <v>148.00367700000001</v>
      </c>
      <c r="B35" s="3">
        <f t="shared" si="1"/>
        <v>-1.4462844587501786E-2</v>
      </c>
      <c r="D35" s="2">
        <v>284.57806399999998</v>
      </c>
      <c r="E35" s="3">
        <f t="shared" si="2"/>
        <v>1.1503961366925376E-2</v>
      </c>
      <c r="G35" s="3">
        <f t="shared" si="0"/>
        <v>1.6049191188363617E-2</v>
      </c>
      <c r="I35" s="5">
        <f t="shared" si="3"/>
        <v>24</v>
      </c>
      <c r="J35" s="3" cm="1">
        <f t="array" ref="J35">TwoAssetsVaR($N$6,$P$8,J$11,$I35)*$N$3</f>
        <v>121613.26858269396</v>
      </c>
      <c r="K35" s="3" cm="1">
        <f t="array" ref="K35">TwoAssetsVaR($N$6,$P$8,K$11,$I35)*$N$3</f>
        <v>194855.68048895887</v>
      </c>
      <c r="L35" s="3" cm="1">
        <f t="array" ref="L35">TwoAssetsVaR($N$6,$P$8,L$11,$I35)*$N$3</f>
        <v>221668.26430904923</v>
      </c>
      <c r="U35" s="5">
        <f t="shared" si="4"/>
        <v>24</v>
      </c>
      <c r="V35" s="3" cm="1">
        <f t="array" ref="V35">TwoAssetsVaR($N$6,$N$8,V$11,$U35)*$N$3</f>
        <v>49233.466986208208</v>
      </c>
      <c r="W35" s="3" cm="1">
        <f t="array" ref="W35">TwoAssetsVaR($N$6,$N$8,W$11,$U35)*$N$3</f>
        <v>92487.545836421661</v>
      </c>
      <c r="X35" s="3" cm="1">
        <f t="array" ref="X35">TwoAssetsVaR($N$6,$N$8,X$11,$U35)*$N$3</f>
        <v>108322.00000781607</v>
      </c>
      <c r="AA35" s="5">
        <f t="shared" si="5"/>
        <v>24</v>
      </c>
      <c r="AB35" s="3" cm="1">
        <f t="array" ref="AB35">SingleAssetVaR($J$3,$J$4,AB$11,$AA35)*$N$3</f>
        <v>96180.340404744406</v>
      </c>
      <c r="AC35" s="3" cm="1">
        <f t="array" ref="AC35">SingleAssetVaR($J$3,$J$4,AC$11,$AA35)*$N$3</f>
        <v>139143.9604612125</v>
      </c>
      <c r="AD35" s="3" cm="1">
        <f t="array" ref="AD35">SingleAssetVaR($J$3,$J$4,AD$11,$AA35)*$N$3</f>
        <v>154872.08347077205</v>
      </c>
      <c r="AF35" s="5">
        <f t="shared" si="6"/>
        <v>24</v>
      </c>
      <c r="AG35" s="3" cm="1">
        <f t="array" ref="AG35">SingleAssetVaR($K$3,$K$4,AG$11,$AF35)*$N$3</f>
        <v>110312.75612489182</v>
      </c>
      <c r="AH35" s="3" cm="1">
        <f t="array" ref="AH35">SingleAssetVaR($K$3,$K$4,AH$11,$AF35)*$N$3</f>
        <v>186076.92074749616</v>
      </c>
      <c r="AI35" s="3" cm="1">
        <f t="array" ref="AI35">SingleAssetVaR($K$3,$K$4,AI$11,$AF35)*$N$3</f>
        <v>213812.66785946337</v>
      </c>
      <c r="AK35" s="3" t="str" cm="1">
        <f t="array" ref="AK35">CheckVaRAdditivity(AG35,AB35,V35)</f>
        <v>Subadditive</v>
      </c>
      <c r="AL35" s="3" t="str" cm="1">
        <f t="array" ref="AL35">CheckVaRAdditivity(AH35,AC35,W35)</f>
        <v>Subadditive</v>
      </c>
      <c r="AM35" s="3" t="str" cm="1">
        <f t="array" ref="AM35">CheckVaRAdditivity(AI35,AD35,X35)</f>
        <v>Subadditive</v>
      </c>
    </row>
    <row r="36" spans="1:39" x14ac:dyDescent="0.3">
      <c r="A36" s="2">
        <v>146.752869</v>
      </c>
      <c r="B36" s="3">
        <f t="shared" si="1"/>
        <v>-8.4511954388809298E-3</v>
      </c>
      <c r="D36" s="2">
        <v>288.42398100000003</v>
      </c>
      <c r="E36" s="3">
        <f t="shared" si="2"/>
        <v>1.3514453454149729E-2</v>
      </c>
      <c r="G36" s="3">
        <f t="shared" si="0"/>
        <v>6.9211898460269476E-4</v>
      </c>
      <c r="I36" s="5">
        <f t="shared" si="3"/>
        <v>25</v>
      </c>
      <c r="J36" s="3" cm="1">
        <f t="array" ref="J36">TwoAssetsVaR($N$6,$P$8,J$11,$I36)*$N$3</f>
        <v>122960.03325652092</v>
      </c>
      <c r="K36" s="3" cm="1">
        <f t="array" ref="K36">TwoAssetsVaR($N$6,$P$8,K$11,$I36)*$N$3</f>
        <v>197712.75688197775</v>
      </c>
      <c r="L36" s="3" cm="1">
        <f t="array" ref="L36">TwoAssetsVaR($N$6,$P$8,L$11,$I36)*$N$3</f>
        <v>225078.23565065506</v>
      </c>
      <c r="U36" s="5">
        <f t="shared" si="4"/>
        <v>25</v>
      </c>
      <c r="V36" s="3" cm="1">
        <f t="array" ref="V36">TwoAssetsVaR($N$6,$N$8,V$11,$U36)*$N$3</f>
        <v>49087.707591823717</v>
      </c>
      <c r="W36" s="3" cm="1">
        <f t="array" ref="W36">TwoAssetsVaR($N$6,$N$8,W$11,$U36)*$N$3</f>
        <v>93233.716957295634</v>
      </c>
      <c r="X36" s="3" cm="1">
        <f t="array" ref="X36">TwoAssetsVaR($N$6,$N$8,X$11,$U36)*$N$3</f>
        <v>109394.68907204602</v>
      </c>
      <c r="AA36" s="5">
        <f t="shared" si="5"/>
        <v>25</v>
      </c>
      <c r="AB36" s="3" cm="1">
        <f t="array" ref="AB36">SingleAssetVaR($J$3,$J$4,AB$11,$AA36)*$N$3</f>
        <v>98005.455013058963</v>
      </c>
      <c r="AC36" s="3" cm="1">
        <f t="array" ref="AC36">SingleAssetVaR($J$3,$J$4,AC$11,$AA36)*$N$3</f>
        <v>141855.01611353905</v>
      </c>
      <c r="AD36" s="3" cm="1">
        <f t="array" ref="AD36">SingleAssetVaR($J$3,$J$4,AD$11,$AA36)*$N$3</f>
        <v>157907.46444068415</v>
      </c>
      <c r="AF36" s="5">
        <f t="shared" si="6"/>
        <v>25</v>
      </c>
      <c r="AG36" s="3" cm="1">
        <f t="array" ref="AG36">SingleAssetVaR($K$3,$K$4,AG$11,$AF36)*$N$3</f>
        <v>111060.57001563453</v>
      </c>
      <c r="AH36" s="3" cm="1">
        <f t="array" ref="AH36">SingleAssetVaR($K$3,$K$4,AH$11,$AF36)*$N$3</f>
        <v>188387.04672963679</v>
      </c>
      <c r="AI36" s="3" cm="1">
        <f t="array" ref="AI36">SingleAssetVaR($K$3,$K$4,AI$11,$AF36)*$N$3</f>
        <v>216694.72508763341</v>
      </c>
      <c r="AK36" s="3" t="str" cm="1">
        <f t="array" ref="AK36">CheckVaRAdditivity(AG36,AB36,V36)</f>
        <v>Subadditive</v>
      </c>
      <c r="AL36" s="3" t="str" cm="1">
        <f t="array" ref="AL36">CheckVaRAdditivity(AH36,AC36,W36)</f>
        <v>Subadditive</v>
      </c>
      <c r="AM36" s="3" t="str" cm="1">
        <f t="array" ref="AM36">CheckVaRAdditivity(AI36,AD36,X36)</f>
        <v>Subadditive</v>
      </c>
    </row>
    <row r="37" spans="1:39" x14ac:dyDescent="0.3">
      <c r="A37" s="2">
        <v>149.33204699999999</v>
      </c>
      <c r="B37" s="3">
        <f t="shared" si="1"/>
        <v>1.7574974973742996E-2</v>
      </c>
      <c r="D37" s="2">
        <v>278.17486600000001</v>
      </c>
      <c r="E37" s="3">
        <f t="shared" si="2"/>
        <v>-3.5534891947837086E-2</v>
      </c>
      <c r="G37" s="3">
        <f t="shared" ref="G37:G68" si="7">(B159+E159)/2</f>
        <v>1.5585749555702287E-2</v>
      </c>
      <c r="I37" s="5">
        <f t="shared" si="3"/>
        <v>26</v>
      </c>
      <c r="J37" s="3" cm="1">
        <f t="array" ref="J37">TwoAssetsVaR($N$6,$P$8,J$11,$I37)*$N$3</f>
        <v>124234.59258484755</v>
      </c>
      <c r="K37" s="3" cm="1">
        <f t="array" ref="K37">TwoAssetsVaR($N$6,$P$8,K$11,$I37)*$N$3</f>
        <v>200467.71187693015</v>
      </c>
      <c r="L37" s="3" cm="1">
        <f t="array" ref="L37">TwoAssetsVaR($N$6,$P$8,L$11,$I37)*$N$3</f>
        <v>228375.13392498903</v>
      </c>
      <c r="U37" s="5">
        <f t="shared" si="4"/>
        <v>26</v>
      </c>
      <c r="V37" s="3" cm="1">
        <f t="array" ref="V37">TwoAssetsVaR($N$6,$N$8,V$11,$U37)*$N$3</f>
        <v>48899.306569093103</v>
      </c>
      <c r="W37" s="3" cm="1">
        <f t="array" ref="W37">TwoAssetsVaR($N$6,$N$8,W$11,$U37)*$N$3</f>
        <v>93919.579209451345</v>
      </c>
      <c r="X37" s="3" cm="1">
        <f t="array" ref="X37">TwoAssetsVaR($N$6,$N$8,X$11,$U37)*$N$3</f>
        <v>110400.60164379956</v>
      </c>
      <c r="AA37" s="5">
        <f t="shared" si="5"/>
        <v>26</v>
      </c>
      <c r="AB37" s="3" cm="1">
        <f t="array" ref="AB37">SingleAssetVaR($J$3,$J$4,AB$11,$AA37)*$N$3</f>
        <v>99788.214339107653</v>
      </c>
      <c r="AC37" s="3" cm="1">
        <f t="array" ref="AC37">SingleAssetVaR($J$3,$J$4,AC$11,$AA37)*$N$3</f>
        <v>144506.16788187306</v>
      </c>
      <c r="AD37" s="3" cm="1">
        <f t="array" ref="AD37">SingleAssetVaR($J$3,$J$4,AD$11,$AA37)*$N$3</f>
        <v>160876.51733408362</v>
      </c>
      <c r="AF37" s="5">
        <f t="shared" si="6"/>
        <v>26</v>
      </c>
      <c r="AG37" s="3" cm="1">
        <f t="array" ref="AG37">SingleAssetVaR($K$3,$K$4,AG$11,$AF37)*$N$3</f>
        <v>111733.69251459015</v>
      </c>
      <c r="AH37" s="3" cm="1">
        <f t="array" ref="AH37">SingleAssetVaR($K$3,$K$4,AH$11,$AF37)*$N$3</f>
        <v>190591.53525100529</v>
      </c>
      <c r="AI37" s="3" cm="1">
        <f t="array" ref="AI37">SingleAssetVaR($K$3,$K$4,AI$11,$AF37)*$N$3</f>
        <v>219459.81611739183</v>
      </c>
      <c r="AK37" s="3" t="str" cm="1">
        <f t="array" ref="AK37">CheckVaRAdditivity(AG37,AB37,V37)</f>
        <v>Subadditive</v>
      </c>
      <c r="AL37" s="3" t="str" cm="1">
        <f t="array" ref="AL37">CheckVaRAdditivity(AH37,AC37,W37)</f>
        <v>Subadditive</v>
      </c>
      <c r="AM37" s="3" t="str" cm="1">
        <f t="array" ref="AM37">CheckVaRAdditivity(AI37,AD37,X37)</f>
        <v>Subadditive</v>
      </c>
    </row>
    <row r="38" spans="1:39" x14ac:dyDescent="0.3">
      <c r="A38" s="2">
        <v>148.86663799999999</v>
      </c>
      <c r="B38" s="3">
        <f t="shared" si="1"/>
        <v>-3.1166049709342963E-3</v>
      </c>
      <c r="D38" s="2">
        <v>286.74575800000002</v>
      </c>
      <c r="E38" s="3">
        <f t="shared" si="2"/>
        <v>3.0811166095789599E-2</v>
      </c>
      <c r="G38" s="3">
        <f t="shared" si="7"/>
        <v>1.4875364192574781E-2</v>
      </c>
      <c r="I38" s="5">
        <f t="shared" si="3"/>
        <v>27</v>
      </c>
      <c r="J38" s="3" cm="1">
        <f t="array" ref="J38">TwoAssetsVaR($N$6,$P$8,J$11,$I38)*$N$3</f>
        <v>125441.07451638217</v>
      </c>
      <c r="K38" s="3" cm="1">
        <f t="array" ref="K38">TwoAssetsVaR($N$6,$P$8,K$11,$I38)*$N$3</f>
        <v>203126.38371044956</v>
      </c>
      <c r="L38" s="3" cm="1">
        <f t="array" ref="L38">TwoAssetsVaR($N$6,$P$8,L$11,$I38)*$N$3</f>
        <v>231565.42347092743</v>
      </c>
      <c r="U38" s="5">
        <f t="shared" si="4"/>
        <v>27</v>
      </c>
      <c r="V38" s="3" cm="1">
        <f t="array" ref="V38">TwoAssetsVaR($N$6,$N$8,V$11,$U38)*$N$3</f>
        <v>48670.701721664234</v>
      </c>
      <c r="W38" s="3" cm="1">
        <f t="array" ref="W38">TwoAssetsVaR($N$6,$N$8,W$11,$U38)*$N$3</f>
        <v>94548.580425109554</v>
      </c>
      <c r="X38" s="3" cm="1">
        <f t="array" ref="X38">TwoAssetsVaR($N$6,$N$8,X$11,$U38)*$N$3</f>
        <v>111343.55530658047</v>
      </c>
      <c r="AA38" s="5">
        <f t="shared" si="5"/>
        <v>27</v>
      </c>
      <c r="AB38" s="3" cm="1">
        <f t="array" ref="AB38">SingleAssetVaR($J$3,$J$4,AB$11,$AA38)*$N$3</f>
        <v>101531.03981625543</v>
      </c>
      <c r="AC38" s="3" cm="1">
        <f t="array" ref="AC38">SingleAssetVaR($J$3,$J$4,AC$11,$AA38)*$N$3</f>
        <v>147100.84044563185</v>
      </c>
      <c r="AD38" s="3" cm="1">
        <f t="array" ref="AD38">SingleAssetVaR($J$3,$J$4,AD$11,$AA38)*$N$3</f>
        <v>163783.03409872547</v>
      </c>
      <c r="AF38" s="5">
        <f t="shared" si="6"/>
        <v>27</v>
      </c>
      <c r="AG38" s="3" cm="1">
        <f t="array" ref="AG38">SingleAssetVaR($K$3,$K$4,AG$11,$AF38)*$N$3</f>
        <v>112336.39369666961</v>
      </c>
      <c r="AH38" s="3" cm="1">
        <f t="array" ref="AH38">SingleAssetVaR($K$3,$K$4,AH$11,$AF38)*$N$3</f>
        <v>192696.42556003577</v>
      </c>
      <c r="AI38" s="3" cm="1">
        <f t="array" ref="AI38">SingleAssetVaR($K$3,$K$4,AI$11,$AF38)*$N$3</f>
        <v>222114.62785625661</v>
      </c>
      <c r="AK38" s="3" t="str" cm="1">
        <f t="array" ref="AK38">CheckVaRAdditivity(AG38,AB38,V38)</f>
        <v>Subadditive</v>
      </c>
      <c r="AL38" s="3" t="str" cm="1">
        <f t="array" ref="AL38">CheckVaRAdditivity(AH38,AC38,W38)</f>
        <v>Subadditive</v>
      </c>
      <c r="AM38" s="3" t="str" cm="1">
        <f t="array" ref="AM38">CheckVaRAdditivity(AI38,AD38,X38)</f>
        <v>Subadditive</v>
      </c>
    </row>
    <row r="39" spans="1:39" x14ac:dyDescent="0.3">
      <c r="A39" s="2">
        <v>150.214417</v>
      </c>
      <c r="B39" s="3">
        <f t="shared" si="1"/>
        <v>9.0536000416695291E-3</v>
      </c>
      <c r="D39" s="2">
        <v>284.98764</v>
      </c>
      <c r="E39" s="3">
        <f t="shared" si="2"/>
        <v>-6.1312781478009672E-3</v>
      </c>
      <c r="G39" s="3">
        <f t="shared" si="7"/>
        <v>-6.1245097156727678E-3</v>
      </c>
      <c r="I39" s="5">
        <f t="shared" si="3"/>
        <v>28</v>
      </c>
      <c r="J39" s="3" cm="1">
        <f t="array" ref="J39">TwoAssetsVaR($N$6,$P$8,J$11,$I39)*$N$3</f>
        <v>126583.22805456554</v>
      </c>
      <c r="K39" s="3" cm="1">
        <f t="array" ref="K39">TwoAssetsVaR($N$6,$P$8,K$11,$I39)*$N$3</f>
        <v>205694.07466964613</v>
      </c>
      <c r="L39" s="3" cm="1">
        <f t="array" ref="L39">TwoAssetsVaR($N$6,$P$8,L$11,$I39)*$N$3</f>
        <v>234654.97520170137</v>
      </c>
      <c r="U39" s="5">
        <f t="shared" si="4"/>
        <v>28</v>
      </c>
      <c r="V39" s="3" cm="1">
        <f t="array" ref="V39">TwoAssetsVaR($N$6,$N$8,V$11,$U39)*$N$3</f>
        <v>48404.107063060321</v>
      </c>
      <c r="W39" s="3" cm="1">
        <f t="array" ref="W39">TwoAssetsVaR($N$6,$N$8,W$11,$U39)*$N$3</f>
        <v>95123.85192584715</v>
      </c>
      <c r="X39" s="3" cm="1">
        <f t="array" ref="X39">TwoAssetsVaR($N$6,$N$8,X$11,$U39)*$N$3</f>
        <v>112227.0171901188</v>
      </c>
      <c r="AA39" s="5">
        <f t="shared" si="5"/>
        <v>28</v>
      </c>
      <c r="AB39" s="3" cm="1">
        <f t="array" ref="AB39">SingleAssetVaR($J$3,$J$4,AB$11,$AA39)*$N$3</f>
        <v>103236.13059053288</v>
      </c>
      <c r="AC39" s="3" cm="1">
        <f t="array" ref="AC39">SingleAssetVaR($J$3,$J$4,AC$11,$AA39)*$N$3</f>
        <v>149642.14409901371</v>
      </c>
      <c r="AD39" s="3" cm="1">
        <f t="array" ref="AD39">SingleAssetVaR($J$3,$J$4,AD$11,$AA39)*$N$3</f>
        <v>166630.45858194999</v>
      </c>
      <c r="AF39" s="5">
        <f t="shared" si="6"/>
        <v>28</v>
      </c>
      <c r="AG39" s="3" cm="1">
        <f t="array" ref="AG39">SingleAssetVaR($K$3,$K$4,AG$11,$AF39)*$N$3</f>
        <v>112872.55164434534</v>
      </c>
      <c r="AH39" s="3" cm="1">
        <f t="array" ref="AH39">SingleAssetVaR($K$3,$K$4,AH$11,$AF39)*$N$3</f>
        <v>194707.20250277614</v>
      </c>
      <c r="AI39" s="3" cm="1">
        <f t="array" ref="AI39">SingleAssetVaR($K$3,$K$4,AI$11,$AF39)*$N$3</f>
        <v>224665.23335432186</v>
      </c>
      <c r="AK39" s="3" t="str" cm="1">
        <f t="array" ref="AK39">CheckVaRAdditivity(AG39,AB39,V39)</f>
        <v>Subadditive</v>
      </c>
      <c r="AL39" s="3" t="str" cm="1">
        <f t="array" ref="AL39">CheckVaRAdditivity(AH39,AC39,W39)</f>
        <v>Subadditive</v>
      </c>
      <c r="AM39" s="3" t="str" cm="1">
        <f t="array" ref="AM39">CheckVaRAdditivity(AI39,AD39,X39)</f>
        <v>Subadditive</v>
      </c>
    </row>
    <row r="40" spans="1:39" x14ac:dyDescent="0.3">
      <c r="A40" s="2">
        <v>151.494339</v>
      </c>
      <c r="B40" s="3">
        <f t="shared" si="1"/>
        <v>8.5206335421186587E-3</v>
      </c>
      <c r="D40" s="2">
        <v>281.23159800000002</v>
      </c>
      <c r="E40" s="3">
        <f t="shared" si="2"/>
        <v>-1.3179666318160253E-2</v>
      </c>
      <c r="G40" s="3">
        <f t="shared" si="7"/>
        <v>8.4164186631107505E-3</v>
      </c>
      <c r="I40" s="5">
        <f t="shared" si="3"/>
        <v>29</v>
      </c>
      <c r="J40" s="3" cm="1">
        <f t="array" ref="J40">TwoAssetsVaR($N$6,$P$8,J$11,$I40)*$N$3</f>
        <v>127664.47024193054</v>
      </c>
      <c r="K40" s="3" cm="1">
        <f t="array" ref="K40">TwoAssetsVaR($N$6,$P$8,K$11,$I40)*$N$3</f>
        <v>208175.61754298297</v>
      </c>
      <c r="L40" s="3" cm="1">
        <f t="array" ref="L40">TwoAssetsVaR($N$6,$P$8,L$11,$I40)*$N$3</f>
        <v>237649.14018207646</v>
      </c>
      <c r="U40" s="5">
        <f t="shared" si="4"/>
        <v>29</v>
      </c>
      <c r="V40" s="3" cm="1">
        <f t="array" ref="V40">TwoAssetsVaR($N$6,$N$8,V$11,$U40)*$N$3</f>
        <v>48101.540563789247</v>
      </c>
      <c r="W40" s="3" cm="1">
        <f t="array" ref="W40">TwoAssetsVaR($N$6,$N$8,W$11,$U40)*$N$3</f>
        <v>95648.247765863183</v>
      </c>
      <c r="X40" s="3" cm="1">
        <f t="array" ref="X40">TwoAssetsVaR($N$6,$N$8,X$11,$U40)*$N$3</f>
        <v>113054.14742215034</v>
      </c>
      <c r="AA40" s="5">
        <f t="shared" si="5"/>
        <v>29</v>
      </c>
      <c r="AB40" s="3" cm="1">
        <f t="array" ref="AB40">SingleAssetVaR($J$3,$J$4,AB$11,$AA40)*$N$3</f>
        <v>104905.49108141888</v>
      </c>
      <c r="AC40" s="3" cm="1">
        <f t="array" ref="AC40">SingleAssetVaR($J$3,$J$4,AC$11,$AA40)*$N$3</f>
        <v>152132.91373073877</v>
      </c>
      <c r="AD40" s="3" cm="1">
        <f t="array" ref="AD40">SingleAssetVaR($J$3,$J$4,AD$11,$AA40)*$N$3</f>
        <v>169421.92969067616</v>
      </c>
      <c r="AF40" s="5">
        <f t="shared" si="6"/>
        <v>29</v>
      </c>
      <c r="AG40" s="3" cm="1">
        <f t="array" ref="AG40">SingleAssetVaR($K$3,$K$4,AG$11,$AF40)*$N$3</f>
        <v>113345.70104969325</v>
      </c>
      <c r="AH40" s="3" cm="1">
        <f t="array" ref="AH40">SingleAssetVaR($K$3,$K$4,AH$11,$AF40)*$N$3</f>
        <v>196628.86526168339</v>
      </c>
      <c r="AI40" s="3" cm="1">
        <f t="array" ref="AI40">SingleAssetVaR($K$3,$K$4,AI$11,$AF40)*$N$3</f>
        <v>227117.16791471667</v>
      </c>
      <c r="AK40" s="3" t="str" cm="1">
        <f t="array" ref="AK40">CheckVaRAdditivity(AG40,AB40,V40)</f>
        <v>Subadditive</v>
      </c>
      <c r="AL40" s="3" t="str" cm="1">
        <f t="array" ref="AL40">CheckVaRAdditivity(AH40,AC40,W40)</f>
        <v>Subadditive</v>
      </c>
      <c r="AM40" s="3" t="str" cm="1">
        <f t="array" ref="AM40">CheckVaRAdditivity(AI40,AD40,X40)</f>
        <v>Subadditive</v>
      </c>
    </row>
    <row r="41" spans="1:39" x14ac:dyDescent="0.3">
      <c r="A41" s="2">
        <v>152.57060200000001</v>
      </c>
      <c r="B41" s="3">
        <f t="shared" si="1"/>
        <v>7.1043116667218274E-3</v>
      </c>
      <c r="D41" s="2">
        <v>286.67584199999999</v>
      </c>
      <c r="E41" s="3">
        <f t="shared" si="2"/>
        <v>1.9358578618893205E-2</v>
      </c>
      <c r="G41" s="3">
        <f t="shared" si="7"/>
        <v>1.395629542280067E-4</v>
      </c>
      <c r="I41" s="5">
        <f t="shared" si="3"/>
        <v>30</v>
      </c>
      <c r="J41" s="3" cm="1">
        <f t="array" ref="J41">TwoAssetsVaR($N$6,$P$8,J$11,$I41)*$N$3</f>
        <v>128687.92590977985</v>
      </c>
      <c r="K41" s="3" cm="1">
        <f t="array" ref="K41">TwoAssetsVaR($N$6,$P$8,K$11,$I41)*$N$3</f>
        <v>210575.43183900401</v>
      </c>
      <c r="L41" s="3" cm="1">
        <f t="array" ref="L41">TwoAssetsVaR($N$6,$P$8,L$11,$I41)*$N$3</f>
        <v>240552.81187607051</v>
      </c>
      <c r="U41" s="5">
        <f t="shared" si="4"/>
        <v>30</v>
      </c>
      <c r="V41" s="3" cm="1">
        <f t="array" ref="V41">TwoAssetsVaR($N$6,$N$8,V$11,$U41)*$N$3</f>
        <v>47764.84762593489</v>
      </c>
      <c r="W41" s="3" cm="1">
        <f t="array" ref="W41">TwoAssetsVaR($N$6,$N$8,W$11,$U41)*$N$3</f>
        <v>96124.37793254148</v>
      </c>
      <c r="X41" s="3" cm="1">
        <f t="array" ref="X41">TwoAssetsVaR($N$6,$N$8,X$11,$U41)*$N$3</f>
        <v>113827.83588946301</v>
      </c>
      <c r="AA41" s="5">
        <f t="shared" si="5"/>
        <v>30</v>
      </c>
      <c r="AB41" s="3" cm="1">
        <f t="array" ref="AB41">SingleAssetVaR($J$3,$J$4,AB$11,$AA41)*$N$3</f>
        <v>106540.9542987957</v>
      </c>
      <c r="AC41" s="3" cm="1">
        <f t="array" ref="AC41">SingleAssetVaR($J$3,$J$4,AC$11,$AA41)*$N$3</f>
        <v>154575.74180166371</v>
      </c>
      <c r="AD41" s="3" cm="1">
        <f t="array" ref="AD41">SingleAssetVaR($J$3,$J$4,AD$11,$AA41)*$N$3</f>
        <v>172160.31790559058</v>
      </c>
      <c r="AF41" s="5">
        <f t="shared" si="6"/>
        <v>30</v>
      </c>
      <c r="AG41" s="3" cm="1">
        <f t="array" ref="AG41">SingleAssetVaR($K$3,$K$4,AG$11,$AF41)*$N$3</f>
        <v>113759.0743326606</v>
      </c>
      <c r="AH41" s="3" cm="1">
        <f t="array" ref="AH41">SingleAssetVaR($K$3,$K$4,AH$11,$AF41)*$N$3</f>
        <v>198465.98550997459</v>
      </c>
      <c r="AI41" s="3" cm="1">
        <f t="array" ref="AI41">SingleAssetVaR($K$3,$K$4,AI$11,$AF41)*$N$3</f>
        <v>229475.49348452571</v>
      </c>
      <c r="AK41" s="3" t="str" cm="1">
        <f t="array" ref="AK41">CheckVaRAdditivity(AG41,AB41,V41)</f>
        <v>Subadditive</v>
      </c>
      <c r="AL41" s="3" t="str" cm="1">
        <f t="array" ref="AL41">CheckVaRAdditivity(AH41,AC41,W41)</f>
        <v>Subadditive</v>
      </c>
      <c r="AM41" s="3" t="str" cm="1">
        <f t="array" ref="AM41">CheckVaRAdditivity(AI41,AD41,X41)</f>
        <v>Subadditive</v>
      </c>
    </row>
    <row r="42" spans="1:39" x14ac:dyDescent="0.3">
      <c r="A42" s="2">
        <v>152.43487500000001</v>
      </c>
      <c r="B42" s="3">
        <f t="shared" si="1"/>
        <v>-8.8960126145404348E-4</v>
      </c>
      <c r="D42" s="2">
        <v>285.71682700000002</v>
      </c>
      <c r="E42" s="3">
        <f t="shared" si="2"/>
        <v>-3.3452940900404343E-3</v>
      </c>
      <c r="G42" s="3">
        <f t="shared" si="7"/>
        <v>6.5391962303068818E-3</v>
      </c>
      <c r="I42" s="5">
        <f t="shared" si="3"/>
        <v>31</v>
      </c>
      <c r="J42" s="3" cm="1">
        <f t="array" ref="J42">TwoAssetsVaR($N$6,$P$8,J$11,$I42)*$N$3</f>
        <v>129656.46150986978</v>
      </c>
      <c r="K42" s="3" cm="1">
        <f t="array" ref="K42">TwoAssetsVaR($N$6,$P$8,K$11,$I42)*$N$3</f>
        <v>212897.57163512989</v>
      </c>
      <c r="L42" s="3" cm="1">
        <f t="array" ref="L42">TwoAssetsVaR($N$6,$P$8,L$11,$I42)*$N$3</f>
        <v>243370.47912713446</v>
      </c>
      <c r="U42" s="5">
        <f t="shared" si="4"/>
        <v>31</v>
      </c>
      <c r="V42" s="3" cm="1">
        <f t="array" ref="V42">TwoAssetsVaR($N$6,$N$8,V$11,$U42)*$N$3</f>
        <v>47395.721062814846</v>
      </c>
      <c r="W42" s="3" cm="1">
        <f t="array" ref="W42">TwoAssetsVaR($N$6,$N$8,W$11,$U42)*$N$3</f>
        <v>96554.636604061845</v>
      </c>
      <c r="X42" s="3" cm="1">
        <f t="array" ref="X42">TwoAssetsVaR($N$6,$N$8,X$11,$U42)*$N$3</f>
        <v>114550.73352590123</v>
      </c>
      <c r="AA42" s="5">
        <f t="shared" si="5"/>
        <v>31</v>
      </c>
      <c r="AB42" s="3" cm="1">
        <f t="array" ref="AB42">SingleAssetVaR($J$3,$J$4,AB$11,$AA42)*$N$3</f>
        <v>108144.20168843993</v>
      </c>
      <c r="AC42" s="3" cm="1">
        <f t="array" ref="AC42">SingleAssetVaR($J$3,$J$4,AC$11,$AA42)*$N$3</f>
        <v>156973.00641263806</v>
      </c>
      <c r="AD42" s="3" cm="1">
        <f t="array" ref="AD42">SingleAssetVaR($J$3,$J$4,AD$11,$AA42)*$N$3</f>
        <v>174848.25635904787</v>
      </c>
      <c r="AF42" s="5">
        <f t="shared" si="6"/>
        <v>31</v>
      </c>
      <c r="AG42" s="3" cm="1">
        <f t="array" ref="AG42">SingleAssetVaR($K$3,$K$4,AG$11,$AF42)*$N$3</f>
        <v>114115.63663758255</v>
      </c>
      <c r="AH42" s="3" cm="1">
        <f t="array" ref="AH42">SingleAssetVaR($K$3,$K$4,AH$11,$AF42)*$N$3</f>
        <v>200222.75690786802</v>
      </c>
      <c r="AI42" s="3" cm="1">
        <f t="array" ref="AI42">SingleAssetVaR($K$3,$K$4,AI$11,$AF42)*$N$3</f>
        <v>231744.85345908967</v>
      </c>
      <c r="AK42" s="3" t="str" cm="1">
        <f t="array" ref="AK42">CheckVaRAdditivity(AG42,AB42,V42)</f>
        <v>Subadditive</v>
      </c>
      <c r="AL42" s="3" t="str" cm="1">
        <f t="array" ref="AL42">CheckVaRAdditivity(AH42,AC42,W42)</f>
        <v>Subadditive</v>
      </c>
      <c r="AM42" s="3" t="str" cm="1">
        <f t="array" ref="AM42">CheckVaRAdditivity(AI42,AD42,X42)</f>
        <v>Subadditive</v>
      </c>
    </row>
    <row r="43" spans="1:39" x14ac:dyDescent="0.3">
      <c r="A43" s="2">
        <v>151.562195</v>
      </c>
      <c r="B43" s="3">
        <f t="shared" si="1"/>
        <v>-5.7249366327751612E-3</v>
      </c>
      <c r="D43" s="2">
        <v>294.05798299999998</v>
      </c>
      <c r="E43" s="3">
        <f t="shared" si="2"/>
        <v>2.9193786335867278E-2</v>
      </c>
      <c r="G43" s="3">
        <f t="shared" si="7"/>
        <v>2.5870432058136949E-3</v>
      </c>
      <c r="I43" s="5">
        <f t="shared" si="3"/>
        <v>32</v>
      </c>
      <c r="J43" s="3" cm="1">
        <f t="array" ref="J43">TwoAssetsVaR($N$6,$P$8,J$11,$I43)*$N$3</f>
        <v>130572.71407062234</v>
      </c>
      <c r="K43" s="3" cm="1">
        <f t="array" ref="K43">TwoAssetsVaR($N$6,$P$8,K$11,$I43)*$N$3</f>
        <v>215145.76653098135</v>
      </c>
      <c r="L43" s="3" cm="1">
        <f t="array" ref="L43">TwoAssetsVaR($N$6,$P$8,L$11,$I43)*$N$3</f>
        <v>246106.27150337849</v>
      </c>
      <c r="U43" s="5">
        <f t="shared" si="4"/>
        <v>32</v>
      </c>
      <c r="V43" s="3" cm="1">
        <f t="array" ref="V43">TwoAssetsVaR($N$6,$N$8,V$11,$U43)*$N$3</f>
        <v>46995.718199376861</v>
      </c>
      <c r="W43" s="3" cm="1">
        <f t="array" ref="W43">TwoAssetsVaR($N$6,$N$8,W$11,$U43)*$N$3</f>
        <v>96941.226334816922</v>
      </c>
      <c r="X43" s="3" cm="1">
        <f t="array" ref="X43">TwoAssetsVaR($N$6,$N$8,X$11,$U43)*$N$3</f>
        <v>115225.27909146764</v>
      </c>
      <c r="AA43" s="5">
        <f t="shared" si="5"/>
        <v>32</v>
      </c>
      <c r="AB43" s="3" cm="1">
        <f t="array" ref="AB43">SingleAssetVaR($J$3,$J$4,AB$11,$AA43)*$N$3</f>
        <v>109716.78011758681</v>
      </c>
      <c r="AC43" s="3" cm="1">
        <f t="array" ref="AC43">SingleAssetVaR($J$3,$J$4,AC$11,$AA43)*$N$3</f>
        <v>159326.89532751212</v>
      </c>
      <c r="AD43" s="3" cm="1">
        <f t="array" ref="AD43">SingleAssetVaR($J$3,$J$4,AD$11,$AA43)*$N$3</f>
        <v>177488.16743434564</v>
      </c>
      <c r="AF43" s="5">
        <f t="shared" si="6"/>
        <v>32</v>
      </c>
      <c r="AG43" s="3" cm="1">
        <f t="array" ref="AG43">SingleAssetVaR($K$3,$K$4,AG$11,$AF43)*$N$3</f>
        <v>114418.11578636263</v>
      </c>
      <c r="AH43" s="3" cm="1">
        <f t="array" ref="AH43">SingleAssetVaR($K$3,$K$4,AH$11,$AF43)*$N$3</f>
        <v>201903.03746593811</v>
      </c>
      <c r="AI43" s="3" cm="1">
        <f t="array" ref="AI43">SingleAssetVaR($K$3,$K$4,AI$11,$AF43)*$N$3</f>
        <v>233929.51958847744</v>
      </c>
      <c r="AK43" s="3" t="str" cm="1">
        <f t="array" ref="AK43">CheckVaRAdditivity(AG43,AB43,V43)</f>
        <v>Subadditive</v>
      </c>
      <c r="AL43" s="3" t="str" cm="1">
        <f t="array" ref="AL43">CheckVaRAdditivity(AH43,AC43,W43)</f>
        <v>Subadditive</v>
      </c>
      <c r="AM43" s="3" t="str" cm="1">
        <f t="array" ref="AM43">CheckVaRAdditivity(AI43,AD43,X43)</f>
        <v>Subadditive</v>
      </c>
    </row>
    <row r="44" spans="1:39" x14ac:dyDescent="0.3">
      <c r="A44" s="2">
        <v>148.236389</v>
      </c>
      <c r="B44" s="3">
        <f t="shared" si="1"/>
        <v>-2.1943506426520151E-2</v>
      </c>
      <c r="D44" s="2">
        <v>291.68051100000002</v>
      </c>
      <c r="E44" s="3">
        <f t="shared" si="2"/>
        <v>-8.0850449144240881E-3</v>
      </c>
      <c r="G44" s="3">
        <f t="shared" si="7"/>
        <v>-6.3589184137256213E-3</v>
      </c>
      <c r="I44" s="5">
        <f t="shared" si="3"/>
        <v>33</v>
      </c>
      <c r="J44" s="3" cm="1">
        <f t="array" ref="J44">TwoAssetsVaR($N$6,$P$8,J$11,$I44)*$N$3</f>
        <v>131439.11611005434</v>
      </c>
      <c r="K44" s="3" cm="1">
        <f t="array" ref="K44">TwoAssetsVaR($N$6,$P$8,K$11,$I44)*$N$3</f>
        <v>217323.45688321043</v>
      </c>
      <c r="L44" s="3" cm="1">
        <f t="array" ref="L44">TwoAssetsVaR($N$6,$P$8,L$11,$I44)*$N$3</f>
        <v>248763.998311045</v>
      </c>
      <c r="U44" s="5">
        <f t="shared" si="4"/>
        <v>33</v>
      </c>
      <c r="V44" s="3" cm="1">
        <f t="array" ref="V44">TwoAssetsVaR($N$6,$N$8,V$11,$U44)*$N$3</f>
        <v>46566.275584791911</v>
      </c>
      <c r="W44" s="3" cm="1">
        <f t="array" ref="W44">TwoAssetsVaR($N$6,$N$8,W$11,$U44)*$N$3</f>
        <v>97286.178863713518</v>
      </c>
      <c r="X44" s="3" cm="1">
        <f t="array" ref="X44">TwoAssetsVaR($N$6,$N$8,X$11,$U44)*$N$3</f>
        <v>115853.72221214107</v>
      </c>
      <c r="AA44" s="5">
        <f t="shared" si="5"/>
        <v>33</v>
      </c>
      <c r="AB44" s="3" cm="1">
        <f t="array" ref="AB44">SingleAssetVaR($J$3,$J$4,AB$11,$AA44)*$N$3</f>
        <v>111260.1164887253</v>
      </c>
      <c r="AC44" s="3" cm="1">
        <f t="array" ref="AC44">SingleAssetVaR($J$3,$J$4,AC$11,$AA44)*$N$3</f>
        <v>161639.42664170626</v>
      </c>
      <c r="AD44" s="3" cm="1">
        <f t="array" ref="AD44">SingleAssetVaR($J$3,$J$4,AD$11,$AA44)*$N$3</f>
        <v>180082.2856508262</v>
      </c>
      <c r="AF44" s="5">
        <f t="shared" si="6"/>
        <v>33</v>
      </c>
      <c r="AG44" s="3" cm="1">
        <f t="array" ref="AG44">SingleAssetVaR($K$3,$K$4,AG$11,$AF44)*$N$3</f>
        <v>114669.02804916022</v>
      </c>
      <c r="AH44" s="3" cm="1">
        <f t="array" ref="AH44">SingleAssetVaR($K$3,$K$4,AH$11,$AF44)*$N$3</f>
        <v>203510.3859930902</v>
      </c>
      <c r="AI44" s="3" cm="1">
        <f t="array" ref="AI44">SingleAssetVaR($K$3,$K$4,AI$11,$AF44)*$N$3</f>
        <v>236033.43233420228</v>
      </c>
      <c r="AK44" s="3" t="str" cm="1">
        <f t="array" ref="AK44">CheckVaRAdditivity(AG44,AB44,V44)</f>
        <v>Subadditive</v>
      </c>
      <c r="AL44" s="3" t="str" cm="1">
        <f t="array" ref="AL44">CheckVaRAdditivity(AH44,AC44,W44)</f>
        <v>Subadditive</v>
      </c>
      <c r="AM44" s="3" t="str" cm="1">
        <f t="array" ref="AM44">CheckVaRAdditivity(AI44,AD44,X44)</f>
        <v>Subadditive</v>
      </c>
    </row>
    <row r="45" spans="1:39" x14ac:dyDescent="0.3">
      <c r="A45" s="2">
        <v>149.535675</v>
      </c>
      <c r="B45" s="3">
        <f t="shared" si="1"/>
        <v>8.7649598642071287E-3</v>
      </c>
      <c r="D45" s="2">
        <v>290.22207600000002</v>
      </c>
      <c r="E45" s="3">
        <f t="shared" si="2"/>
        <v>-5.0001112347201303E-3</v>
      </c>
      <c r="G45" s="3">
        <f t="shared" si="7"/>
        <v>-8.1204286036219084E-3</v>
      </c>
      <c r="I45" s="5">
        <f t="shared" si="3"/>
        <v>34</v>
      </c>
      <c r="J45" s="3" cm="1">
        <f t="array" ref="J45">TwoAssetsVaR($N$6,$P$8,J$11,$I45)*$N$3</f>
        <v>132257.91717477611</v>
      </c>
      <c r="K45" s="3" cm="1">
        <f t="array" ref="K45">TwoAssetsVaR($N$6,$P$8,K$11,$I45)*$N$3</f>
        <v>219433.82426851706</v>
      </c>
      <c r="L45" s="3" cm="1">
        <f t="array" ref="L45">TwoAssetsVaR($N$6,$P$8,L$11,$I45)*$N$3</f>
        <v>251347.18232443059</v>
      </c>
      <c r="U45" s="5">
        <f t="shared" si="4"/>
        <v>34</v>
      </c>
      <c r="V45" s="3" cm="1">
        <f t="array" ref="V45">TwoAssetsVaR($N$6,$N$8,V$11,$U45)*$N$3</f>
        <v>46108.721712537037</v>
      </c>
      <c r="W45" s="3" cm="1">
        <f t="array" ref="W45">TwoAssetsVaR($N$6,$N$8,W$11,$U45)*$N$3</f>
        <v>97591.373104428421</v>
      </c>
      <c r="X45" s="3" cm="1">
        <f t="array" ref="X45">TwoAssetsVaR($N$6,$N$8,X$11,$U45)*$N$3</f>
        <v>116438.14329943758</v>
      </c>
      <c r="AA45" s="5">
        <f t="shared" si="5"/>
        <v>34</v>
      </c>
      <c r="AB45" s="3" cm="1">
        <f t="array" ref="AB45">SingleAssetVaR($J$3,$J$4,AB$11,$AA45)*$N$3</f>
        <v>112775.53037426373</v>
      </c>
      <c r="AC45" s="3" cm="1">
        <f t="array" ref="AC45">SingleAssetVaR($J$3,$J$4,AC$11,$AA45)*$N$3</f>
        <v>163912.46665165958</v>
      </c>
      <c r="AD45" s="3" cm="1">
        <f t="array" ref="AD45">SingleAssetVaR($J$3,$J$4,AD$11,$AA45)*$N$3</f>
        <v>182632.67744967414</v>
      </c>
      <c r="AF45" s="5">
        <f t="shared" si="6"/>
        <v>34</v>
      </c>
      <c r="AG45" s="3" cm="1">
        <f t="array" ref="AG45">SingleAssetVaR($K$3,$K$4,AG$11,$AF45)*$N$3</f>
        <v>114870.70042498145</v>
      </c>
      <c r="AH45" s="3" cm="1">
        <f t="array" ref="AH45">SingleAssetVaR($K$3,$K$4,AH$11,$AF45)*$N$3</f>
        <v>205048.09360842593</v>
      </c>
      <c r="AI45" s="3" cm="1">
        <f t="array" ref="AI45">SingleAssetVaR($K$3,$K$4,AI$11,$AF45)*$N$3</f>
        <v>238060.23576047228</v>
      </c>
      <c r="AK45" s="3" t="str" cm="1">
        <f t="array" ref="AK45">CheckVaRAdditivity(AG45,AB45,V45)</f>
        <v>Subadditive</v>
      </c>
      <c r="AL45" s="3" t="str" cm="1">
        <f t="array" ref="AL45">CheckVaRAdditivity(AH45,AC45,W45)</f>
        <v>Subadditive</v>
      </c>
      <c r="AM45" s="3" t="str" cm="1">
        <f t="array" ref="AM45">CheckVaRAdditivity(AI45,AD45,X45)</f>
        <v>Subadditive</v>
      </c>
    </row>
    <row r="46" spans="1:39" x14ac:dyDescent="0.3">
      <c r="A46" s="2">
        <v>150.53439299999999</v>
      </c>
      <c r="B46" s="3">
        <f t="shared" si="1"/>
        <v>6.678794207469199E-3</v>
      </c>
      <c r="D46" s="2">
        <v>293.78829999999999</v>
      </c>
      <c r="E46" s="3">
        <f t="shared" si="2"/>
        <v>1.2287914307387068E-2</v>
      </c>
      <c r="G46" s="3">
        <f t="shared" si="7"/>
        <v>-9.7618859678252207E-3</v>
      </c>
      <c r="I46" s="5">
        <f t="shared" si="3"/>
        <v>35</v>
      </c>
      <c r="J46" s="3" cm="1">
        <f t="array" ref="J46">TwoAssetsVaR($N$6,$P$8,J$11,$I46)*$N$3</f>
        <v>133031.20254726813</v>
      </c>
      <c r="K46" s="3" cm="1">
        <f t="array" ref="K46">TwoAssetsVaR($N$6,$P$8,K$11,$I46)*$N$3</f>
        <v>221479.81794170779</v>
      </c>
      <c r="L46" s="3" cm="1">
        <f t="array" ref="L46">TwoAssetsVaR($N$6,$P$8,L$11,$I46)*$N$3</f>
        <v>253859.08908135045</v>
      </c>
      <c r="U46" s="5">
        <f t="shared" si="4"/>
        <v>35</v>
      </c>
      <c r="V46" s="3" cm="1">
        <f t="array" ref="V46">TwoAssetsVaR($N$6,$N$8,V$11,$U46)*$N$3</f>
        <v>45624.288068174887</v>
      </c>
      <c r="W46" s="3" cm="1">
        <f t="array" ref="W46">TwoAssetsVaR($N$6,$N$8,W$11,$U46)*$N$3</f>
        <v>97858.550770493835</v>
      </c>
      <c r="X46" s="3" cm="1">
        <f t="array" ref="X46">TwoAssetsVaR($N$6,$N$8,X$11,$U46)*$N$3</f>
        <v>116980.47085115612</v>
      </c>
      <c r="AA46" s="5">
        <f t="shared" si="5"/>
        <v>35</v>
      </c>
      <c r="AB46" s="3" cm="1">
        <f t="array" ref="AB46">SingleAssetVaR($J$3,$J$4,AB$11,$AA46)*$N$3</f>
        <v>114264.24499012125</v>
      </c>
      <c r="AC46" s="3" cm="1">
        <f t="array" ref="AC46">SingleAssetVaR($J$3,$J$4,AC$11,$AA46)*$N$3</f>
        <v>166147.74537498955</v>
      </c>
      <c r="AD46" s="3" cm="1">
        <f t="array" ref="AD46">SingleAssetVaR($J$3,$J$4,AD$11,$AA46)*$N$3</f>
        <v>185141.25837848443</v>
      </c>
      <c r="AF46" s="5">
        <f t="shared" si="6"/>
        <v>35</v>
      </c>
      <c r="AG46" s="3" cm="1">
        <f t="array" ref="AG46">SingleAssetVaR($K$3,$K$4,AG$11,$AF46)*$N$3</f>
        <v>115025.2899930516</v>
      </c>
      <c r="AH46" s="3" cm="1">
        <f t="array" ref="AH46">SingleAssetVaR($K$3,$K$4,AH$11,$AF46)*$N$3</f>
        <v>206519.21111025804</v>
      </c>
      <c r="AI46" s="3" cm="1">
        <f t="array" ref="AI46">SingleAssetVaR($K$3,$K$4,AI$11,$AF46)*$N$3</f>
        <v>240013.30783830411</v>
      </c>
      <c r="AK46" s="3" t="str" cm="1">
        <f t="array" ref="AK46">CheckVaRAdditivity(AG46,AB46,V46)</f>
        <v>Subadditive</v>
      </c>
      <c r="AL46" s="3" t="str" cm="1">
        <f t="array" ref="AL46">CheckVaRAdditivity(AH46,AC46,W46)</f>
        <v>Subadditive</v>
      </c>
      <c r="AM46" s="3" t="str" cm="1">
        <f t="array" ref="AM46">CheckVaRAdditivity(AI46,AD46,X46)</f>
        <v>Subadditive</v>
      </c>
    </row>
    <row r="47" spans="1:39" x14ac:dyDescent="0.3">
      <c r="A47" s="2">
        <v>153.317215</v>
      </c>
      <c r="B47" s="3">
        <f t="shared" si="1"/>
        <v>1.8486287050694189E-2</v>
      </c>
      <c r="D47" s="2">
        <v>297.97384599999998</v>
      </c>
      <c r="E47" s="3">
        <f t="shared" si="2"/>
        <v>1.4246809692557491E-2</v>
      </c>
      <c r="G47" s="3">
        <f t="shared" si="7"/>
        <v>6.9051955539735765E-3</v>
      </c>
      <c r="I47" s="5">
        <f t="shared" si="3"/>
        <v>36</v>
      </c>
      <c r="J47" s="3" cm="1">
        <f t="array" ref="J47">TwoAssetsVaR($N$6,$P$8,J$11,$I47)*$N$3</f>
        <v>133760.90956357907</v>
      </c>
      <c r="K47" s="3" cm="1">
        <f t="array" ref="K47">TwoAssetsVaR($N$6,$P$8,K$11,$I47)*$N$3</f>
        <v>223464.1779141273</v>
      </c>
      <c r="L47" s="3" cm="1">
        <f t="array" ref="L47">TwoAssetsVaR($N$6,$P$8,L$11,$I47)*$N$3</f>
        <v>256302.75243654006</v>
      </c>
      <c r="U47" s="5">
        <f t="shared" si="4"/>
        <v>36</v>
      </c>
      <c r="V47" s="3" cm="1">
        <f t="array" ref="V47">TwoAssetsVaR($N$6,$N$8,V$11,$U47)*$N$3</f>
        <v>45114.118765942418</v>
      </c>
      <c r="W47" s="3" cm="1">
        <f t="array" ref="W47">TwoAssetsVaR($N$6,$N$8,W$11,$U47)*$N$3</f>
        <v>98089.330004508724</v>
      </c>
      <c r="X47" s="3" cm="1">
        <f t="array" ref="X47">TwoAssetsVaR($N$6,$N$8,X$11,$U47)*$N$3</f>
        <v>117482.49654220921</v>
      </c>
      <c r="AA47" s="5">
        <f t="shared" si="5"/>
        <v>36</v>
      </c>
      <c r="AB47" s="3" cm="1">
        <f t="array" ref="AB47">SingleAssetVaR($J$3,$J$4,AB$11,$AA47)*$N$3</f>
        <v>115727.3967676052</v>
      </c>
      <c r="AC47" s="3" cm="1">
        <f t="array" ref="AC47">SingleAssetVaR($J$3,$J$4,AC$11,$AA47)*$N$3</f>
        <v>168346.87008818131</v>
      </c>
      <c r="AD47" s="3" cm="1">
        <f t="array" ref="AD47">SingleAssetVaR($J$3,$J$4,AD$11,$AA47)*$N$3</f>
        <v>187609.80808075541</v>
      </c>
      <c r="AF47" s="5">
        <f t="shared" si="6"/>
        <v>36</v>
      </c>
      <c r="AG47" s="3" cm="1">
        <f t="array" ref="AG47">SingleAssetVaR($K$3,$K$4,AG$11,$AF47)*$N$3</f>
        <v>115134.8007923353</v>
      </c>
      <c r="AH47" s="3" cm="1">
        <f t="array" ref="AH47">SingleAssetVaR($K$3,$K$4,AH$11,$AF47)*$N$3</f>
        <v>207926.572849138</v>
      </c>
      <c r="AI47" s="3" cm="1">
        <f t="array" ref="AI47">SingleAssetVaR($K$3,$K$4,AI$11,$AF47)*$N$3</f>
        <v>241895.78687873398</v>
      </c>
      <c r="AK47" s="3" t="str" cm="1">
        <f t="array" ref="AK47">CheckVaRAdditivity(AG47,AB47,V47)</f>
        <v>Subadditive</v>
      </c>
      <c r="AL47" s="3" t="str" cm="1">
        <f t="array" ref="AL47">CheckVaRAdditivity(AH47,AC47,W47)</f>
        <v>Subadditive</v>
      </c>
      <c r="AM47" s="3" t="str" cm="1">
        <f t="array" ref="AM47">CheckVaRAdditivity(AI47,AD47,X47)</f>
        <v>Subadditive</v>
      </c>
    </row>
    <row r="48" spans="1:39" x14ac:dyDescent="0.3">
      <c r="A48" s="2">
        <v>154.79106100000001</v>
      </c>
      <c r="B48" s="3">
        <f t="shared" si="1"/>
        <v>9.6130496500344657E-3</v>
      </c>
      <c r="D48" s="2">
        <v>309.01211499999999</v>
      </c>
      <c r="E48" s="3">
        <f t="shared" si="2"/>
        <v>3.7044422348396361E-2</v>
      </c>
      <c r="G48" s="3">
        <f t="shared" si="7"/>
        <v>-1.6350486673865354E-3</v>
      </c>
      <c r="I48" s="5">
        <f t="shared" si="3"/>
        <v>37</v>
      </c>
      <c r="J48" s="3" cm="1">
        <f t="array" ref="J48">TwoAssetsVaR($N$6,$P$8,J$11,$I48)*$N$3</f>
        <v>134448.84190424596</v>
      </c>
      <c r="K48" s="3" cm="1">
        <f t="array" ref="K48">TwoAssetsVaR($N$6,$P$8,K$11,$I48)*$N$3</f>
        <v>225389.45516557945</v>
      </c>
      <c r="L48" s="3" cm="1">
        <f t="array" ref="L48">TwoAssetsVaR($N$6,$P$8,L$11,$I48)*$N$3</f>
        <v>258680.99694113579</v>
      </c>
      <c r="U48" s="5">
        <f t="shared" si="4"/>
        <v>37</v>
      </c>
      <c r="V48" s="3" cm="1">
        <f t="array" ref="V48">TwoAssetsVaR($N$6,$N$8,V$11,$U48)*$N$3</f>
        <v>44579.27898840441</v>
      </c>
      <c r="W48" s="3" cm="1">
        <f t="array" ref="W48">TwoAssetsVaR($N$6,$N$8,W$11,$U48)*$N$3</f>
        <v>98285.217314501802</v>
      </c>
      <c r="X48" s="3" cm="1">
        <f t="array" ref="X48">TwoAssetsVaR($N$6,$N$8,X$11,$U48)*$N$3</f>
        <v>117945.88844106141</v>
      </c>
      <c r="AA48" s="5">
        <f t="shared" si="5"/>
        <v>37</v>
      </c>
      <c r="AB48" s="3" cm="1">
        <f t="array" ref="AB48">SingleAssetVaR($J$3,$J$4,AB$11,$AA48)*$N$3</f>
        <v>117166.04373639102</v>
      </c>
      <c r="AC48" s="3" cm="1">
        <f t="array" ref="AC48">SingleAssetVaR($J$3,$J$4,AC$11,$AA48)*$N$3</f>
        <v>170511.33718279554</v>
      </c>
      <c r="AD48" s="3" cm="1">
        <f t="array" ref="AD48">SingleAssetVaR($J$3,$J$4,AD$11,$AA48)*$N$3</f>
        <v>190039.98342357686</v>
      </c>
      <c r="AF48" s="5">
        <f t="shared" si="6"/>
        <v>37</v>
      </c>
      <c r="AG48" s="3" cm="1">
        <f t="array" ref="AG48">SingleAssetVaR($K$3,$K$4,AG$11,$AF48)*$N$3</f>
        <v>115201.09860449615</v>
      </c>
      <c r="AH48" s="3" cm="1">
        <f t="array" ref="AH48">SingleAssetVaR($K$3,$K$4,AH$11,$AF48)*$N$3</f>
        <v>209272.81763567831</v>
      </c>
      <c r="AI48" s="3" cm="1">
        <f t="array" ref="AI48">SingleAssetVaR($K$3,$K$4,AI$11,$AF48)*$N$3</f>
        <v>243710.59468282945</v>
      </c>
      <c r="AK48" s="3" t="str" cm="1">
        <f t="array" ref="AK48">CheckVaRAdditivity(AG48,AB48,V48)</f>
        <v>Subadditive</v>
      </c>
      <c r="AL48" s="3" t="str" cm="1">
        <f t="array" ref="AL48">CheckVaRAdditivity(AH48,AC48,W48)</f>
        <v>Subadditive</v>
      </c>
      <c r="AM48" s="3" t="str" cm="1">
        <f t="array" ref="AM48">CheckVaRAdditivity(AI48,AD48,X48)</f>
        <v>Subadditive</v>
      </c>
    </row>
    <row r="49" spans="1:39" x14ac:dyDescent="0.3">
      <c r="A49" s="2">
        <v>152.725739</v>
      </c>
      <c r="B49" s="3">
        <f t="shared" si="1"/>
        <v>-1.3342643862361074E-2</v>
      </c>
      <c r="D49" s="2">
        <v>313.07781999999997</v>
      </c>
      <c r="E49" s="3">
        <f t="shared" si="2"/>
        <v>1.3157105507012176E-2</v>
      </c>
      <c r="G49" s="3">
        <f t="shared" si="7"/>
        <v>6.0944082866469726E-3</v>
      </c>
      <c r="I49" s="5">
        <f t="shared" si="3"/>
        <v>38</v>
      </c>
      <c r="J49" s="3" cm="1">
        <f t="array" ref="J49">TwoAssetsVaR($N$6,$P$8,J$11,$I49)*$N$3</f>
        <v>135096.68215788135</v>
      </c>
      <c r="K49" s="3" cm="1">
        <f t="array" ref="K49">TwoAssetsVaR($N$6,$P$8,K$11,$I49)*$N$3</f>
        <v>227258.02941324853</v>
      </c>
      <c r="L49" s="3" cm="1">
        <f t="array" ref="L49">TwoAssetsVaR($N$6,$P$8,L$11,$I49)*$N$3</f>
        <v>260996.45751716543</v>
      </c>
      <c r="U49" s="5">
        <f t="shared" si="4"/>
        <v>38</v>
      </c>
      <c r="V49" s="3" cm="1">
        <f t="array" ref="V49">TwoAssetsVaR($N$6,$N$8,V$11,$U49)*$N$3</f>
        <v>44020.762406012545</v>
      </c>
      <c r="W49" s="3" cm="1">
        <f t="array" ref="W49">TwoAssetsVaR($N$6,$N$8,W$11,$U49)*$N$3</f>
        <v>98447.618067555508</v>
      </c>
      <c r="X49" s="3" cm="1">
        <f t="array" ref="X49">TwoAssetsVaR($N$6,$N$8,X$11,$U49)*$N$3</f>
        <v>118372.20262870718</v>
      </c>
      <c r="AA49" s="5">
        <f t="shared" si="5"/>
        <v>38</v>
      </c>
      <c r="AB49" s="3" cm="1">
        <f t="array" ref="AB49">SingleAssetVaR($J$3,$J$4,AB$11,$AA49)*$N$3</f>
        <v>118581.17289425741</v>
      </c>
      <c r="AC49" s="3" cm="1">
        <f t="array" ref="AC49">SingleAssetVaR($J$3,$J$4,AC$11,$AA49)*$N$3</f>
        <v>172642.54258862603</v>
      </c>
      <c r="AD49" s="3" cm="1">
        <f t="array" ref="AD49">SingleAssetVaR($J$3,$J$4,AD$11,$AA49)*$N$3</f>
        <v>192433.33003858387</v>
      </c>
      <c r="AF49" s="5">
        <f t="shared" si="6"/>
        <v>38</v>
      </c>
      <c r="AG49" s="3" cm="1">
        <f t="array" ref="AG49">SingleAssetVaR($K$3,$K$4,AG$11,$AF49)*$N$3</f>
        <v>115225.92395005106</v>
      </c>
      <c r="AH49" s="3" cm="1">
        <f t="array" ref="AH49">SingleAssetVaR($K$3,$K$4,AH$11,$AF49)*$N$3</f>
        <v>210560.40712126106</v>
      </c>
      <c r="AI49" s="3" cm="1">
        <f t="array" ref="AI49">SingleAssetVaR($K$3,$K$4,AI$11,$AF49)*$N$3</f>
        <v>245460.45689357631</v>
      </c>
      <c r="AK49" s="3" t="str" cm="1">
        <f t="array" ref="AK49">CheckVaRAdditivity(AG49,AB49,V49)</f>
        <v>Subadditive</v>
      </c>
      <c r="AL49" s="3" t="str" cm="1">
        <f t="array" ref="AL49">CheckVaRAdditivity(AH49,AC49,W49)</f>
        <v>Subadditive</v>
      </c>
      <c r="AM49" s="3" t="str" cm="1">
        <f t="array" ref="AM49">CheckVaRAdditivity(AI49,AD49,X49)</f>
        <v>Subadditive</v>
      </c>
    </row>
    <row r="50" spans="1:39" x14ac:dyDescent="0.3">
      <c r="A50" s="2">
        <v>148.91511499999999</v>
      </c>
      <c r="B50" s="3">
        <f t="shared" si="1"/>
        <v>-2.495076484782973E-2</v>
      </c>
      <c r="D50" s="2">
        <v>308.54263300000002</v>
      </c>
      <c r="E50" s="3">
        <f t="shared" si="2"/>
        <v>-1.4485813782656181E-2</v>
      </c>
      <c r="G50" s="3">
        <f t="shared" si="7"/>
        <v>6.5406102607885094E-3</v>
      </c>
      <c r="I50" s="5">
        <f t="shared" si="3"/>
        <v>39</v>
      </c>
      <c r="J50" s="3" cm="1">
        <f t="array" ref="J50">TwoAssetsVaR($N$6,$P$8,J$11,$I50)*$N$3</f>
        <v>135706.00290595207</v>
      </c>
      <c r="K50" s="3" cm="1">
        <f t="array" ref="K50">TwoAssetsVaR($N$6,$P$8,K$11,$I50)*$N$3</f>
        <v>229072.12478911344</v>
      </c>
      <c r="L50" s="3" cm="1">
        <f t="array" ref="L50">TwoAssetsVaR($N$6,$P$8,L$11,$I50)*$N$3</f>
        <v>263251.59681623412</v>
      </c>
      <c r="U50" s="5">
        <f t="shared" si="4"/>
        <v>39</v>
      </c>
      <c r="V50" s="3" cm="1">
        <f t="array" ref="V50">TwoAssetsVaR($N$6,$N$8,V$11,$U50)*$N$3</f>
        <v>43439.49772333834</v>
      </c>
      <c r="W50" s="3" cm="1">
        <f t="array" ref="W50">TwoAssetsVaR($N$6,$N$8,W$11,$U50)*$N$3</f>
        <v>98577.84574826817</v>
      </c>
      <c r="X50" s="3" cm="1">
        <f t="array" ref="X50">TwoAssetsVaR($N$6,$N$8,X$11,$U50)*$N$3</f>
        <v>118762.89345002588</v>
      </c>
      <c r="AA50" s="5">
        <f t="shared" si="5"/>
        <v>39</v>
      </c>
      <c r="AB50" s="3" cm="1">
        <f t="array" ref="AB50">SingleAssetVaR($J$3,$J$4,AB$11,$AA50)*$N$3</f>
        <v>119973.70670936044</v>
      </c>
      <c r="AC50" s="3" cm="1">
        <f t="array" ref="AC50">SingleAssetVaR($J$3,$J$4,AC$11,$AA50)*$N$3</f>
        <v>174741.79096998973</v>
      </c>
      <c r="AD50" s="3" cm="1">
        <f t="array" ref="AD50">SingleAssetVaR($J$3,$J$4,AD$11,$AA50)*$N$3</f>
        <v>194791.29250447272</v>
      </c>
      <c r="AF50" s="5">
        <f t="shared" si="6"/>
        <v>39</v>
      </c>
      <c r="AG50" s="3" cm="1">
        <f t="array" ref="AG50">SingleAssetVaR($K$3,$K$4,AG$11,$AF50)*$N$3</f>
        <v>115210.90355480058</v>
      </c>
      <c r="AH50" s="3" cm="1">
        <f t="array" ref="AH50">SingleAssetVaR($K$3,$K$4,AH$11,$AF50)*$N$3</f>
        <v>211791.64201522947</v>
      </c>
      <c r="AI50" s="3" cm="1">
        <f t="array" ref="AI50">SingleAssetVaR($K$3,$K$4,AI$11,$AF50)*$N$3</f>
        <v>247147.92095222839</v>
      </c>
      <c r="AK50" s="3" t="str" cm="1">
        <f t="array" ref="AK50">CheckVaRAdditivity(AG50,AB50,V50)</f>
        <v>Subadditive</v>
      </c>
      <c r="AL50" s="3" t="str" cm="1">
        <f t="array" ref="AL50">CheckVaRAdditivity(AH50,AC50,W50)</f>
        <v>Subadditive</v>
      </c>
      <c r="AM50" s="3" t="str" cm="1">
        <f t="array" ref="AM50">CheckVaRAdditivity(AI50,AD50,X50)</f>
        <v>Subadditive</v>
      </c>
    </row>
    <row r="51" spans="1:39" x14ac:dyDescent="0.3">
      <c r="A51" s="2">
        <v>148.77937299999999</v>
      </c>
      <c r="B51" s="3">
        <f t="shared" si="1"/>
        <v>-9.1153943640975182E-4</v>
      </c>
      <c r="D51" s="2">
        <v>310.29077100000001</v>
      </c>
      <c r="E51" s="3">
        <f t="shared" si="2"/>
        <v>5.6657907628602589E-3</v>
      </c>
      <c r="G51" s="3">
        <f t="shared" si="7"/>
        <v>-1.4423809607883387E-2</v>
      </c>
      <c r="I51" s="5">
        <f t="shared" si="3"/>
        <v>40</v>
      </c>
      <c r="J51" s="3" cm="1">
        <f t="array" ref="J51">TwoAssetsVaR($N$6,$P$8,J$11,$I51)*$N$3</f>
        <v>136278.27653608841</v>
      </c>
      <c r="K51" s="3" cm="1">
        <f t="array" ref="K51">TwoAssetsVaR($N$6,$P$8,K$11,$I51)*$N$3</f>
        <v>230833.82371909768</v>
      </c>
      <c r="L51" s="3" cm="1">
        <f t="array" ref="L51">TwoAssetsVaR($N$6,$P$8,L$11,$I51)*$N$3</f>
        <v>265448.72058709781</v>
      </c>
      <c r="U51" s="5">
        <f t="shared" si="4"/>
        <v>40</v>
      </c>
      <c r="V51" s="3" cm="1">
        <f t="array" ref="V51">TwoAssetsVaR($N$6,$N$8,V$11,$U51)*$N$3</f>
        <v>42836.354474426334</v>
      </c>
      <c r="W51" s="3" cm="1">
        <f t="array" ref="W51">TwoAssetsVaR($N$6,$N$8,W$11,$U51)*$N$3</f>
        <v>98677.130155232706</v>
      </c>
      <c r="X51" s="3" cm="1">
        <f t="array" ref="X51">TwoAssetsVaR($N$6,$N$8,X$11,$U51)*$N$3</f>
        <v>119119.32258926441</v>
      </c>
      <c r="AA51" s="5">
        <f t="shared" si="5"/>
        <v>40</v>
      </c>
      <c r="AB51" s="3" cm="1">
        <f t="array" ref="AB51">SingleAssetVaR($J$3,$J$4,AB$11,$AA51)*$N$3</f>
        <v>121344.50887666953</v>
      </c>
      <c r="AC51" s="3" cm="1">
        <f t="array" ref="AC51">SingleAssetVaR($J$3,$J$4,AC$11,$AA51)*$N$3</f>
        <v>176810.30386716416</v>
      </c>
      <c r="AD51" s="3" cm="1">
        <f t="array" ref="AD51">SingleAssetVaR($J$3,$J$4,AD$11,$AA51)*$N$3</f>
        <v>197115.22336153945</v>
      </c>
      <c r="AF51" s="5">
        <f t="shared" si="6"/>
        <v>40</v>
      </c>
      <c r="AG51" s="3" cm="1">
        <f t="array" ref="AG51">SingleAssetVaR($K$3,$K$4,AG$11,$AF51)*$N$3</f>
        <v>115157.56050101219</v>
      </c>
      <c r="AH51" s="3" cm="1">
        <f t="array" ref="AH51">SingleAssetVaR($K$3,$K$4,AH$11,$AF51)*$N$3</f>
        <v>212968.67644190008</v>
      </c>
      <c r="AI51" s="3" cm="1">
        <f t="array" ref="AI51">SingleAssetVaR($K$3,$K$4,AI$11,$AF51)*$N$3</f>
        <v>248775.37199498995</v>
      </c>
      <c r="AK51" s="3" t="str" cm="1">
        <f t="array" ref="AK51">CheckVaRAdditivity(AG51,AB51,V51)</f>
        <v>Subadditive</v>
      </c>
      <c r="AL51" s="3" t="str" cm="1">
        <f t="array" ref="AL51">CheckVaRAdditivity(AH51,AC51,W51)</f>
        <v>Subadditive</v>
      </c>
      <c r="AM51" s="3" t="str" cm="1">
        <f t="array" ref="AM51">CheckVaRAdditivity(AI51,AD51,X51)</f>
        <v>Subadditive</v>
      </c>
    </row>
    <row r="52" spans="1:39" x14ac:dyDescent="0.3">
      <c r="A52" s="2">
        <v>149.07995600000001</v>
      </c>
      <c r="B52" s="3">
        <f t="shared" si="1"/>
        <v>2.0203271054248721E-3</v>
      </c>
      <c r="D52" s="2">
        <v>311.71923800000002</v>
      </c>
      <c r="E52" s="3">
        <f t="shared" si="2"/>
        <v>4.6036399838653656E-3</v>
      </c>
      <c r="G52" s="3">
        <f t="shared" si="7"/>
        <v>1.4123258515460903E-2</v>
      </c>
      <c r="I52" s="5">
        <f t="shared" si="3"/>
        <v>41</v>
      </c>
      <c r="J52" s="3" cm="1">
        <f t="array" ref="J52">TwoAssetsVaR($N$6,$P$8,J$11,$I52)*$N$3</f>
        <v>136814.88395775892</v>
      </c>
      <c r="K52" s="3" cm="1">
        <f t="array" ref="K52">TwoAssetsVaR($N$6,$P$8,K$11,$I52)*$N$3</f>
        <v>232545.07924981529</v>
      </c>
      <c r="L52" s="3" cm="1">
        <f t="array" ref="L52">TwoAssetsVaR($N$6,$P$8,L$11,$I52)*$N$3</f>
        <v>267589.99132434966</v>
      </c>
      <c r="U52" s="5">
        <f t="shared" si="4"/>
        <v>41</v>
      </c>
      <c r="V52" s="3" cm="1">
        <f t="array" ref="V52">TwoAssetsVaR($N$6,$N$8,V$11,$U52)*$N$3</f>
        <v>42212.148169927845</v>
      </c>
      <c r="W52" s="3" cm="1">
        <f t="array" ref="W52">TwoAssetsVaR($N$6,$N$8,W$11,$U52)*$N$3</f>
        <v>98746.624680726003</v>
      </c>
      <c r="X52" s="3" cm="1">
        <f t="array" ref="X52">TwoAssetsVaR($N$6,$N$8,X$11,$U52)*$N$3</f>
        <v>119442.76713041293</v>
      </c>
      <c r="AA52" s="5">
        <f t="shared" si="5"/>
        <v>41</v>
      </c>
      <c r="AB52" s="3" cm="1">
        <f t="array" ref="AB52">SingleAssetVaR($J$3,$J$4,AB$11,$AA52)*$N$3</f>
        <v>122694.38943053778</v>
      </c>
      <c r="AC52" s="3" cm="1">
        <f t="array" ref="AC52">SingleAssetVaR($J$3,$J$4,AC$11,$AA52)*$N$3</f>
        <v>178849.22692719311</v>
      </c>
      <c r="AD52" s="3" cm="1">
        <f t="array" ref="AD52">SingleAssetVaR($J$3,$J$4,AD$11,$AA52)*$N$3</f>
        <v>199406.39111792934</v>
      </c>
      <c r="AF52" s="5">
        <f t="shared" si="6"/>
        <v>41</v>
      </c>
      <c r="AG52" s="3" cm="1">
        <f t="array" ref="AG52">SingleAssetVaR($K$3,$K$4,AG$11,$AF52)*$N$3</f>
        <v>115067.32324317814</v>
      </c>
      <c r="AH52" s="3" cm="1">
        <f t="array" ref="AH52">SingleAssetVaR($K$3,$K$4,AH$11,$AF52)*$N$3</f>
        <v>214093.5306917211</v>
      </c>
      <c r="AI52" s="3" cm="1">
        <f t="array" ref="AI52">SingleAssetVaR($K$3,$K$4,AI$11,$AF52)*$N$3</f>
        <v>250345.0469716294</v>
      </c>
      <c r="AK52" s="3" t="str" cm="1">
        <f t="array" ref="AK52">CheckVaRAdditivity(AG52,AB52,V52)</f>
        <v>Subadditive</v>
      </c>
      <c r="AL52" s="3" t="str" cm="1">
        <f t="array" ref="AL52">CheckVaRAdditivity(AH52,AC52,W52)</f>
        <v>Subadditive</v>
      </c>
      <c r="AM52" s="3" t="str" cm="1">
        <f t="array" ref="AM52">CheckVaRAdditivity(AI52,AD52,X52)</f>
        <v>Subadditive</v>
      </c>
    </row>
    <row r="53" spans="1:39" x14ac:dyDescent="0.3">
      <c r="A53" s="2">
        <v>149.99139400000001</v>
      </c>
      <c r="B53" s="3">
        <f t="shared" si="1"/>
        <v>6.1137528106059002E-3</v>
      </c>
      <c r="D53" s="2">
        <v>315.67507899999998</v>
      </c>
      <c r="E53" s="3">
        <f t="shared" si="2"/>
        <v>1.2690397376115631E-2</v>
      </c>
      <c r="G53" s="3">
        <f t="shared" si="7"/>
        <v>1.6193129803431668E-3</v>
      </c>
      <c r="I53" s="5">
        <f t="shared" si="3"/>
        <v>42</v>
      </c>
      <c r="J53" s="3" cm="1">
        <f t="array" ref="J53">TwoAssetsVaR($N$6,$P$8,J$11,$I53)*$N$3</f>
        <v>137317.12236673731</v>
      </c>
      <c r="K53" s="3" cm="1">
        <f t="array" ref="K53">TwoAssetsVaR($N$6,$P$8,K$11,$I53)*$N$3</f>
        <v>234207.72603000392</v>
      </c>
      <c r="L53" s="3" cm="1">
        <f t="array" ref="L53">TwoAssetsVaR($N$6,$P$8,L$11,$I53)*$N$3</f>
        <v>269677.44042752055</v>
      </c>
      <c r="U53" s="5">
        <f t="shared" si="4"/>
        <v>42</v>
      </c>
      <c r="V53" s="3" cm="1">
        <f t="array" ref="V53">TwoAssetsVaR($N$6,$N$8,V$11,$U53)*$N$3</f>
        <v>41567.644882488763</v>
      </c>
      <c r="W53" s="3" cm="1">
        <f t="array" ref="W53">TwoAssetsVaR($N$6,$N$8,W$11,$U53)*$N$3</f>
        <v>98787.412795910466</v>
      </c>
      <c r="X53" s="3" cm="1">
        <f t="array" ref="X53">TwoAssetsVaR($N$6,$N$8,X$11,$U53)*$N$3</f>
        <v>119734.42673788994</v>
      </c>
      <c r="AA53" s="5">
        <f t="shared" si="5"/>
        <v>42</v>
      </c>
      <c r="AB53" s="3" cm="1">
        <f t="array" ref="AB53">SingleAssetVaR($J$3,$J$4,AB$11,$AA53)*$N$3</f>
        <v>124024.10929929762</v>
      </c>
      <c r="AC53" s="3" cm="1">
        <f t="array" ref="AC53">SingleAssetVaR($J$3,$J$4,AC$11,$AA53)*$N$3</f>
        <v>180859.63634553831</v>
      </c>
      <c r="AD53" s="3" cm="1">
        <f t="array" ref="AD53">SingleAssetVaR($J$3,$J$4,AD$11,$AA53)*$N$3</f>
        <v>201665.98738210197</v>
      </c>
      <c r="AF53" s="5">
        <f t="shared" si="6"/>
        <v>42</v>
      </c>
      <c r="AG53" s="3" cm="1">
        <f t="array" ref="AG53">SingleAssetVaR($K$3,$K$4,AG$11,$AF53)*$N$3</f>
        <v>114941.53363981431</v>
      </c>
      <c r="AH53" s="3" cm="1">
        <f t="array" ref="AH53">SingleAssetVaR($K$3,$K$4,AH$11,$AF53)*$N$3</f>
        <v>215168.10258079873</v>
      </c>
      <c r="AI53" s="3" cm="1">
        <f t="array" ref="AI53">SingleAssetVaR($K$3,$K$4,AI$11,$AF53)*$N$3</f>
        <v>251859.04722322038</v>
      </c>
      <c r="AK53" s="3" t="str" cm="1">
        <f t="array" ref="AK53">CheckVaRAdditivity(AG53,AB53,V53)</f>
        <v>Subadditive</v>
      </c>
      <c r="AL53" s="3" t="str" cm="1">
        <f t="array" ref="AL53">CheckVaRAdditivity(AH53,AC53,W53)</f>
        <v>Subadditive</v>
      </c>
      <c r="AM53" s="3" t="str" cm="1">
        <f t="array" ref="AM53">CheckVaRAdditivity(AI53,AD53,X53)</f>
        <v>Subadditive</v>
      </c>
    </row>
    <row r="54" spans="1:39" x14ac:dyDescent="0.3">
      <c r="A54" s="2">
        <v>151.64944499999999</v>
      </c>
      <c r="B54" s="3">
        <f t="shared" si="1"/>
        <v>1.1054307555805314E-2</v>
      </c>
      <c r="D54" s="2">
        <v>302.199341</v>
      </c>
      <c r="E54" s="3">
        <f t="shared" si="2"/>
        <v>-4.2688634283987871E-2</v>
      </c>
      <c r="G54" s="3">
        <f t="shared" si="7"/>
        <v>1.3368160976013782E-2</v>
      </c>
      <c r="I54" s="5">
        <f t="shared" si="3"/>
        <v>43</v>
      </c>
      <c r="J54" s="3" cm="1">
        <f t="array" ref="J54">TwoAssetsVaR($N$6,$P$8,J$11,$I54)*$N$3</f>
        <v>137786.21218224757</v>
      </c>
      <c r="K54" s="3" cm="1">
        <f t="array" ref="K54">TwoAssetsVaR($N$6,$P$8,K$11,$I54)*$N$3</f>
        <v>235823.4901218618</v>
      </c>
      <c r="L54" s="3" cm="1">
        <f t="array" ref="L54">TwoAssetsVaR($N$6,$P$8,L$11,$I54)*$N$3</f>
        <v>271712.97906460037</v>
      </c>
      <c r="U54" s="5">
        <f t="shared" si="4"/>
        <v>43</v>
      </c>
      <c r="V54" s="3" cm="1">
        <f t="array" ref="V54">TwoAssetsVaR($N$6,$N$8,V$11,$U54)*$N$3</f>
        <v>40903.565343553782</v>
      </c>
      <c r="W54" s="3" cm="1">
        <f t="array" ref="W54">TwoAssetsVaR($N$6,$N$8,W$11,$U54)*$N$3</f>
        <v>98800.513845022288</v>
      </c>
      <c r="X54" s="3" cm="1">
        <f t="array" ref="X54">TwoAssetsVaR($N$6,$N$8,X$11,$U54)*$N$3</f>
        <v>119995.4300721092</v>
      </c>
      <c r="AA54" s="5">
        <f t="shared" si="5"/>
        <v>43</v>
      </c>
      <c r="AB54" s="3" cm="1">
        <f t="array" ref="AB54">SingleAssetVaR($J$3,$J$4,AB$11,$AA54)*$N$3</f>
        <v>125334.3843745546</v>
      </c>
      <c r="AC54" s="3" cm="1">
        <f t="array" ref="AC54">SingleAssetVaR($J$3,$J$4,AC$11,$AA54)*$N$3</f>
        <v>182842.54462135912</v>
      </c>
      <c r="AD54" s="3" cm="1">
        <f t="array" ref="AD54">SingleAssetVaR($J$3,$J$4,AD$11,$AA54)*$N$3</f>
        <v>203895.13323531684</v>
      </c>
      <c r="AF54" s="5">
        <f t="shared" si="6"/>
        <v>43</v>
      </c>
      <c r="AG54" s="3" cm="1">
        <f t="array" ref="AG54">SingleAssetVaR($K$3,$K$4,AG$11,$AF54)*$N$3</f>
        <v>114781.45412945317</v>
      </c>
      <c r="AH54" s="3" cm="1">
        <f t="array" ref="AH54">SingleAssetVaR($K$3,$K$4,AH$11,$AF54)*$N$3</f>
        <v>216194.17760004118</v>
      </c>
      <c r="AI54" s="3" cm="1">
        <f t="array" ref="AI54">SingleAssetVaR($K$3,$K$4,AI$11,$AF54)*$N$3</f>
        <v>253319.34971969662</v>
      </c>
      <c r="AK54" s="3" t="str" cm="1">
        <f t="array" ref="AK54">CheckVaRAdditivity(AG54,AB54,V54)</f>
        <v>Subadditive</v>
      </c>
      <c r="AL54" s="3" t="str" cm="1">
        <f t="array" ref="AL54">CheckVaRAdditivity(AH54,AC54,W54)</f>
        <v>Subadditive</v>
      </c>
      <c r="AM54" s="3" t="str" cm="1">
        <f t="array" ref="AM54">CheckVaRAdditivity(AI54,AD54,X54)</f>
        <v>Subadditive</v>
      </c>
    </row>
    <row r="55" spans="1:39" x14ac:dyDescent="0.3">
      <c r="A55" s="2">
        <v>153.86991900000001</v>
      </c>
      <c r="B55" s="3">
        <f t="shared" si="1"/>
        <v>1.4642150520234508E-2</v>
      </c>
      <c r="D55" s="2">
        <v>293.94812000000002</v>
      </c>
      <c r="E55" s="3">
        <f t="shared" si="2"/>
        <v>-2.7303901367541322E-2</v>
      </c>
      <c r="G55" s="3">
        <f t="shared" si="7"/>
        <v>-2.1540678660881492E-2</v>
      </c>
      <c r="I55" s="5">
        <f t="shared" si="3"/>
        <v>44</v>
      </c>
      <c r="J55" s="3" cm="1">
        <f t="array" ref="J55">TwoAssetsVaR($N$6,$P$8,J$11,$I55)*$N$3</f>
        <v>138223.30326204476</v>
      </c>
      <c r="K55" s="3" cm="1">
        <f t="array" ref="K55">TwoAssetsVaR($N$6,$P$8,K$11,$I55)*$N$3</f>
        <v>237393.99779115513</v>
      </c>
      <c r="L55" s="3" cm="1">
        <f t="array" ref="L55">TwoAssetsVaR($N$6,$P$8,L$11,$I55)*$N$3</f>
        <v>273698.40790481091</v>
      </c>
      <c r="U55" s="5">
        <f t="shared" si="4"/>
        <v>44</v>
      </c>
      <c r="V55" s="3" cm="1">
        <f t="array" ref="V55">TwoAssetsVaR($N$6,$N$8,V$11,$U55)*$N$3</f>
        <v>40220.588613747866</v>
      </c>
      <c r="W55" s="3" cm="1">
        <f t="array" ref="W55">TwoAssetsVaR($N$6,$N$8,W$11,$U55)*$N$3</f>
        <v>98786.888236462211</v>
      </c>
      <c r="X55" s="3" cm="1">
        <f t="array" ref="X55">TwoAssetsVaR($N$6,$N$8,X$11,$U55)*$N$3</f>
        <v>120226.84053727159</v>
      </c>
      <c r="AA55" s="5">
        <f t="shared" si="5"/>
        <v>44</v>
      </c>
      <c r="AB55" s="3" cm="1">
        <f t="array" ref="AB55">SingleAssetVaR($J$3,$J$4,AB$11,$AA55)*$N$3</f>
        <v>126625.88915692136</v>
      </c>
      <c r="AC55" s="3" cm="1">
        <f t="array" ref="AC55">SingleAssetVaR($J$3,$J$4,AC$11,$AA55)*$N$3</f>
        <v>184798.90571374376</v>
      </c>
      <c r="AD55" s="3" cm="1">
        <f t="array" ref="AD55">SingleAssetVaR($J$3,$J$4,AD$11,$AA55)*$N$3</f>
        <v>206094.88494082718</v>
      </c>
      <c r="AF55" s="5">
        <f t="shared" si="6"/>
        <v>44</v>
      </c>
      <c r="AG55" s="3" cm="1">
        <f t="array" ref="AG55">SingleAssetVaR($K$3,$K$4,AG$11,$AF55)*$N$3</f>
        <v>114588.27415971084</v>
      </c>
      <c r="AH55" s="3" cm="1">
        <f t="array" ref="AH55">SingleAssetVaR($K$3,$K$4,AH$11,$AF55)*$N$3</f>
        <v>217173.43800791062</v>
      </c>
      <c r="AI55" s="3" cm="1">
        <f t="array" ref="AI55">SingleAssetVaR($K$3,$K$4,AI$11,$AF55)*$N$3</f>
        <v>254727.81712772607</v>
      </c>
      <c r="AK55" s="3" t="str" cm="1">
        <f t="array" ref="AK55">CheckVaRAdditivity(AG55,AB55,V55)</f>
        <v>Subadditive</v>
      </c>
      <c r="AL55" s="3" t="str" cm="1">
        <f t="array" ref="AL55">CheckVaRAdditivity(AH55,AC55,W55)</f>
        <v>Subadditive</v>
      </c>
      <c r="AM55" s="3" t="str" cm="1">
        <f t="array" ref="AM55">CheckVaRAdditivity(AI55,AD55,X55)</f>
        <v>Subadditive</v>
      </c>
    </row>
    <row r="56" spans="1:39" x14ac:dyDescent="0.3">
      <c r="A56" s="2">
        <v>156.90484599999999</v>
      </c>
      <c r="B56" s="3">
        <f t="shared" si="1"/>
        <v>1.9723978667981115E-2</v>
      </c>
      <c r="D56" s="2">
        <v>291.30090300000001</v>
      </c>
      <c r="E56" s="3">
        <f t="shared" si="2"/>
        <v>-9.0057286299365068E-3</v>
      </c>
      <c r="G56" s="3">
        <f t="shared" si="7"/>
        <v>-7.4520259038438801E-4</v>
      </c>
      <c r="I56" s="5">
        <f t="shared" si="3"/>
        <v>45</v>
      </c>
      <c r="J56" s="3" cm="1">
        <f t="array" ref="J56">TwoAssetsVaR($N$6,$P$8,J$11,$I56)*$N$3</f>
        <v>138629.48048521965</v>
      </c>
      <c r="K56" s="3" cm="1">
        <f t="array" ref="K56">TwoAssetsVaR($N$6,$P$8,K$11,$I56)*$N$3</f>
        <v>238920.78340308528</v>
      </c>
      <c r="L56" s="3" cm="1">
        <f t="array" ref="L56">TwoAssetsVaR($N$6,$P$8,L$11,$I56)*$N$3</f>
        <v>275635.42586123908</v>
      </c>
      <c r="U56" s="5">
        <f t="shared" si="4"/>
        <v>45</v>
      </c>
      <c r="V56" s="3" cm="1">
        <f t="array" ref="V56">TwoAssetsVaR($N$6,$N$8,V$11,$U56)*$N$3</f>
        <v>39519.355379860433</v>
      </c>
      <c r="W56" s="3" cm="1">
        <f t="array" ref="W56">TwoAssetsVaR($N$6,$N$8,W$11,$U56)*$N$3</f>
        <v>98747.44210578299</v>
      </c>
      <c r="X56" s="3" cm="1">
        <f t="array" ref="X56">TwoAssetsVaR($N$6,$N$8,X$11,$U56)*$N$3</f>
        <v>120429.66144441922</v>
      </c>
      <c r="AA56" s="5">
        <f t="shared" si="5"/>
        <v>45</v>
      </c>
      <c r="AB56" s="3" cm="1">
        <f t="array" ref="AB56">SingleAssetVaR($J$3,$J$4,AB$11,$AA56)*$N$3</f>
        <v>127899.26003086225</v>
      </c>
      <c r="AC56" s="3" cm="1">
        <f t="array" ref="AC56">SingleAssetVaR($J$3,$J$4,AC$11,$AA56)*$N$3</f>
        <v>186729.61967338462</v>
      </c>
      <c r="AD56" s="3" cm="1">
        <f t="array" ref="AD56">SingleAssetVaR($J$3,$J$4,AD$11,$AA56)*$N$3</f>
        <v>208266.23907226417</v>
      </c>
      <c r="AF56" s="5">
        <f t="shared" si="6"/>
        <v>45</v>
      </c>
      <c r="AG56" s="3" cm="1">
        <f t="array" ref="AG56">SingleAssetVaR($K$3,$K$4,AG$11,$AF56)*$N$3</f>
        <v>114363.11596230933</v>
      </c>
      <c r="AH56" s="3" cm="1">
        <f t="array" ref="AH56">SingleAssetVaR($K$3,$K$4,AH$11,$AF56)*$N$3</f>
        <v>218107.4709981475</v>
      </c>
      <c r="AI56" s="3" cm="1">
        <f t="array" ref="AI56">SingleAssetVaR($K$3,$K$4,AI$11,$AF56)*$N$3</f>
        <v>256086.20685435558</v>
      </c>
      <c r="AK56" s="3" t="str" cm="1">
        <f t="array" ref="AK56">CheckVaRAdditivity(AG56,AB56,V56)</f>
        <v>Subadditive</v>
      </c>
      <c r="AL56" s="3" t="str" cm="1">
        <f t="array" ref="AL56">CheckVaRAdditivity(AH56,AC56,W56)</f>
        <v>Subadditive</v>
      </c>
      <c r="AM56" s="3" t="str" cm="1">
        <f t="array" ref="AM56">CheckVaRAdditivity(AI56,AD56,X56)</f>
        <v>Subadditive</v>
      </c>
    </row>
    <row r="57" spans="1:39" x14ac:dyDescent="0.3">
      <c r="A57" s="2">
        <v>157.62235999999999</v>
      </c>
      <c r="B57" s="3">
        <f t="shared" si="1"/>
        <v>4.572924407956108E-3</v>
      </c>
      <c r="D57" s="2">
        <v>294.15789799999999</v>
      </c>
      <c r="E57" s="3">
        <f t="shared" si="2"/>
        <v>9.8077107574224831E-3</v>
      </c>
      <c r="G57" s="3">
        <f t="shared" si="7"/>
        <v>5.991290136475356E-3</v>
      </c>
      <c r="I57" s="5">
        <f t="shared" si="3"/>
        <v>46</v>
      </c>
      <c r="J57" s="3" cm="1">
        <f t="array" ref="J57">TwoAssetsVaR($N$6,$P$8,J$11,$I57)*$N$3</f>
        <v>139005.7687796106</v>
      </c>
      <c r="K57" s="3" cm="1">
        <f t="array" ref="K57">TwoAssetsVaR($N$6,$P$8,K$11,$I57)*$N$3</f>
        <v>240405.2965326531</v>
      </c>
      <c r="L57" s="3" cm="1">
        <f t="array" ref="L57">TwoAssetsVaR($N$6,$P$8,L$11,$I57)*$N$3</f>
        <v>277525.63796372869</v>
      </c>
      <c r="U57" s="5">
        <f t="shared" si="4"/>
        <v>46</v>
      </c>
      <c r="V57" s="3" cm="1">
        <f t="array" ref="V57">TwoAssetsVaR($N$6,$N$8,V$11,$U57)*$N$3</f>
        <v>38800.470923836569</v>
      </c>
      <c r="W57" s="3" cm="1">
        <f t="array" ref="W57">TwoAssetsVaR($N$6,$N$8,W$11,$U57)*$N$3</f>
        <v>98683.031514790389</v>
      </c>
      <c r="X57" s="3" cm="1">
        <f t="array" ref="X57">TwoAssetsVaR($N$6,$N$8,X$11,$U57)*$N$3</f>
        <v>120604.84066085498</v>
      </c>
      <c r="AA57" s="5">
        <f t="shared" si="5"/>
        <v>46</v>
      </c>
      <c r="AB57" s="3" cm="1">
        <f t="array" ref="AB57">SingleAssetVaR($J$3,$J$4,AB$11,$AA57)*$N$3</f>
        <v>129155.09821374688</v>
      </c>
      <c r="AC57" s="3" cm="1">
        <f t="array" ref="AC57">SingleAssetVaR($J$3,$J$4,AC$11,$AA57)*$N$3</f>
        <v>188635.53681348081</v>
      </c>
      <c r="AD57" s="3" cm="1">
        <f t="array" ref="AD57">SingleAssetVaR($J$3,$J$4,AD$11,$AA57)*$N$3</f>
        <v>210410.13713183385</v>
      </c>
      <c r="AF57" s="5">
        <f t="shared" si="6"/>
        <v>46</v>
      </c>
      <c r="AG57" s="3" cm="1">
        <f t="array" ref="AG57">SingleAssetVaR($K$3,$K$4,AG$11,$AF57)*$N$3</f>
        <v>114107.03975358293</v>
      </c>
      <c r="AH57" s="3" cm="1">
        <f t="array" ref="AH57">SingleAssetVaR($K$3,$K$4,AH$11,$AF57)*$N$3</f>
        <v>218997.77605494604</v>
      </c>
      <c r="AI57" s="3" cm="1">
        <f t="array" ref="AI57">SingleAssetVaR($K$3,$K$4,AI$11,$AF57)*$N$3</f>
        <v>257396.17919096735</v>
      </c>
      <c r="AK57" s="3" t="str" cm="1">
        <f t="array" ref="AK57">CheckVaRAdditivity(AG57,AB57,V57)</f>
        <v>Subadditive</v>
      </c>
      <c r="AL57" s="3" t="str" cm="1">
        <f t="array" ref="AL57">CheckVaRAdditivity(AH57,AC57,W57)</f>
        <v>Subadditive</v>
      </c>
      <c r="AM57" s="3" t="str" cm="1">
        <f t="array" ref="AM57">CheckVaRAdditivity(AI57,AD57,X57)</f>
        <v>Subadditive</v>
      </c>
    </row>
    <row r="58" spans="1:39" x14ac:dyDescent="0.3">
      <c r="A58" s="2">
        <v>156.43942300000001</v>
      </c>
      <c r="B58" s="3">
        <f t="shared" si="1"/>
        <v>-7.5048806527194577E-3</v>
      </c>
      <c r="D58" s="2">
        <v>298.25357100000002</v>
      </c>
      <c r="E58" s="3">
        <f t="shared" si="2"/>
        <v>1.392338274051725E-2</v>
      </c>
      <c r="G58" s="3">
        <f t="shared" si="7"/>
        <v>1.1211445448516089E-2</v>
      </c>
      <c r="I58" s="5">
        <f t="shared" si="3"/>
        <v>47</v>
      </c>
      <c r="J58" s="3" cm="1">
        <f t="array" ref="J58">TwoAssetsVaR($N$6,$P$8,J$11,$I58)*$N$3</f>
        <v>139353.13765989669</v>
      </c>
      <c r="K58" s="3" cm="1">
        <f t="array" ref="K58">TwoAssetsVaR($N$6,$P$8,K$11,$I58)*$N$3</f>
        <v>241848.9083829709</v>
      </c>
      <c r="L58" s="3" cm="1">
        <f t="array" ref="L58">TwoAssetsVaR($N$6,$P$8,L$11,$I58)*$N$3</f>
        <v>279370.56246550276</v>
      </c>
      <c r="U58" s="5">
        <f t="shared" si="4"/>
        <v>47</v>
      </c>
      <c r="V58" s="3" cm="1">
        <f t="array" ref="V58">TwoAssetsVaR($N$6,$N$8,V$11,$U58)*$N$3</f>
        <v>38064.507802795531</v>
      </c>
      <c r="W58" s="3" cm="1">
        <f t="array" ref="W58">TwoAssetsVaR($N$6,$N$8,W$11,$U58)*$N$3</f>
        <v>98594.466241944567</v>
      </c>
      <c r="X58" s="3" cm="1">
        <f t="array" ref="X58">TwoAssetsVaR($N$6,$N$8,X$11,$U58)*$N$3</f>
        <v>120753.27480703287</v>
      </c>
      <c r="AA58" s="5">
        <f t="shared" si="5"/>
        <v>47</v>
      </c>
      <c r="AB58" s="3" cm="1">
        <f t="array" ref="AB58">SingleAssetVaR($J$3,$J$4,AB$11,$AA58)*$N$3</f>
        <v>130393.97241787221</v>
      </c>
      <c r="AC58" s="3" cm="1">
        <f t="array" ref="AC58">SingleAssetVaR($J$3,$J$4,AC$11,$AA58)*$N$3</f>
        <v>190517.4614746868</v>
      </c>
      <c r="AD58" s="3" cm="1">
        <f t="array" ref="AD58">SingleAssetVaR($J$3,$J$4,AD$11,$AA58)*$N$3</f>
        <v>212527.46971902528</v>
      </c>
      <c r="AF58" s="5">
        <f t="shared" si="6"/>
        <v>47</v>
      </c>
      <c r="AG58" s="3" cm="1">
        <f t="array" ref="AG58">SingleAssetVaR($K$3,$K$4,AG$11,$AF58)*$N$3</f>
        <v>113821.04842881908</v>
      </c>
      <c r="AH58" s="3" cm="1">
        <f t="array" ref="AH58">SingleAssetVaR($K$3,$K$4,AH$11,$AF58)*$N$3</f>
        <v>219845.77159224983</v>
      </c>
      <c r="AI58" s="3" cm="1">
        <f t="array" ref="AI58">SingleAssetVaR($K$3,$K$4,AI$11,$AF58)*$N$3</f>
        <v>258659.30466458437</v>
      </c>
      <c r="AK58" s="3" t="str" cm="1">
        <f t="array" ref="AK58">CheckVaRAdditivity(AG58,AB58,V58)</f>
        <v>Subadditive</v>
      </c>
      <c r="AL58" s="3" t="str" cm="1">
        <f t="array" ref="AL58">CheckVaRAdditivity(AH58,AC58,W58)</f>
        <v>Subadditive</v>
      </c>
      <c r="AM58" s="3" t="str" cm="1">
        <f t="array" ref="AM58">CheckVaRAdditivity(AI58,AD58,X58)</f>
        <v>Subadditive</v>
      </c>
    </row>
    <row r="59" spans="1:39" x14ac:dyDescent="0.3">
      <c r="A59" s="2">
        <v>154.81044</v>
      </c>
      <c r="B59" s="3">
        <f t="shared" si="1"/>
        <v>-1.0412867605629083E-2</v>
      </c>
      <c r="D59" s="2">
        <v>311.37960800000002</v>
      </c>
      <c r="E59" s="3">
        <f t="shared" si="2"/>
        <v>4.4009655797214227E-2</v>
      </c>
      <c r="G59" s="3">
        <f t="shared" si="7"/>
        <v>-1.2988287890513385E-3</v>
      </c>
      <c r="I59" s="5">
        <f t="shared" si="3"/>
        <v>48</v>
      </c>
      <c r="J59" s="3" cm="1">
        <f t="array" ref="J59">TwoAssetsVaR($N$6,$P$8,J$11,$I59)*$N$3</f>
        <v>139672.50533335083</v>
      </c>
      <c r="K59" s="3" cm="1">
        <f t="array" ref="K59">TwoAssetsVaR($N$6,$P$8,K$11,$I59)*$N$3</f>
        <v>243252.91759210732</v>
      </c>
      <c r="L59" s="3" cm="1">
        <f t="array" ref="L59">TwoAssetsVaR($N$6,$P$8,L$11,$I59)*$N$3</f>
        <v>281171.63727274444</v>
      </c>
      <c r="U59" s="5">
        <f t="shared" si="4"/>
        <v>48</v>
      </c>
      <c r="V59" s="3" cm="1">
        <f t="array" ref="V59">TwoAssetsVaR($N$6,$N$8,V$11,$U59)*$N$3</f>
        <v>37312.008273726889</v>
      </c>
      <c r="W59" s="3" cm="1">
        <f t="array" ref="W59">TwoAssetsVaR($N$6,$N$8,W$11,$U59)*$N$3</f>
        <v>98482.51321165399</v>
      </c>
      <c r="X59" s="3" cm="1">
        <f t="array" ref="X59">TwoAssetsVaR($N$6,$N$8,X$11,$U59)*$N$3</f>
        <v>120875.81305361519</v>
      </c>
      <c r="AA59" s="5">
        <f t="shared" si="5"/>
        <v>48</v>
      </c>
      <c r="AB59" s="3" cm="1">
        <f t="array" ref="AB59">SingleAssetVaR($J$3,$J$4,AB$11,$AA59)*$N$3</f>
        <v>131616.4212588761</v>
      </c>
      <c r="AC59" s="3" cm="1">
        <f t="array" ref="AC59">SingleAssetVaR($J$3,$J$4,AC$11,$AA59)*$N$3</f>
        <v>192376.15543137799</v>
      </c>
      <c r="AD59" s="3" cm="1">
        <f t="array" ref="AD59">SingleAssetVaR($J$3,$J$4,AD$11,$AA59)*$N$3</f>
        <v>214619.08030216946</v>
      </c>
      <c r="AF59" s="5">
        <f t="shared" si="6"/>
        <v>48</v>
      </c>
      <c r="AG59" s="3" cm="1">
        <f t="array" ref="AG59">SingleAssetVaR($K$3,$K$4,AG$11,$AF59)*$N$3</f>
        <v>113506.09180937383</v>
      </c>
      <c r="AH59" s="3" cm="1">
        <f t="array" ref="AH59">SingleAssetVaR($K$3,$K$4,AH$11,$AF59)*$N$3</f>
        <v>220652.80096052872</v>
      </c>
      <c r="AI59" s="3" cm="1">
        <f t="array" ref="AI59">SingleAssetVaR($K$3,$K$4,AI$11,$AF59)*$N$3</f>
        <v>259877.07068882315</v>
      </c>
      <c r="AK59" s="3" t="str" cm="1">
        <f t="array" ref="AK59">CheckVaRAdditivity(AG59,AB59,V59)</f>
        <v>Subadditive</v>
      </c>
      <c r="AL59" s="3" t="str" cm="1">
        <f t="array" ref="AL59">CheckVaRAdditivity(AH59,AC59,W59)</f>
        <v>Subadditive</v>
      </c>
      <c r="AM59" s="3" t="str" cm="1">
        <f t="array" ref="AM59">CheckVaRAdditivity(AI59,AD59,X59)</f>
        <v>Subadditive</v>
      </c>
    </row>
    <row r="60" spans="1:39" x14ac:dyDescent="0.3">
      <c r="A60" s="2">
        <v>154.044434</v>
      </c>
      <c r="B60" s="3">
        <f t="shared" si="1"/>
        <v>-4.9480254690833798E-3</v>
      </c>
      <c r="D60" s="2">
        <v>325.13504</v>
      </c>
      <c r="E60" s="3">
        <f t="shared" si="2"/>
        <v>4.4175763751362881E-2</v>
      </c>
      <c r="G60" s="3">
        <f t="shared" si="7"/>
        <v>3.0753903929010345E-3</v>
      </c>
      <c r="I60" s="5">
        <f t="shared" si="3"/>
        <v>49</v>
      </c>
      <c r="J60" s="3" cm="1">
        <f t="array" ref="J60">TwoAssetsVaR($N$6,$P$8,J$11,$I60)*$N$3</f>
        <v>139964.74242255522</v>
      </c>
      <c r="K60" s="3" cm="1">
        <f t="array" ref="K60">TwoAssetsVaR($N$6,$P$8,K$11,$I60)*$N$3</f>
        <v>244618.55549819479</v>
      </c>
      <c r="L60" s="3" cm="1">
        <f t="array" ref="L60">TwoAssetsVaR($N$6,$P$8,L$11,$I60)*$N$3</f>
        <v>282930.22577434301</v>
      </c>
      <c r="U60" s="5">
        <f t="shared" si="4"/>
        <v>49</v>
      </c>
      <c r="V60" s="3" cm="1">
        <f t="array" ref="V60">TwoAssetsVaR($N$6,$N$8,V$11,$U60)*$N$3</f>
        <v>36543.4864919791</v>
      </c>
      <c r="W60" s="3" cm="1">
        <f t="array" ref="W60">TwoAssetsVaR($N$6,$N$8,W$11,$U60)*$N$3</f>
        <v>98347.899603639802</v>
      </c>
      <c r="X60" s="3" cm="1">
        <f t="array" ref="X60">TwoAssetsVaR($N$6,$N$8,X$11,$U60)*$N$3</f>
        <v>120973.26056429035</v>
      </c>
      <c r="AA60" s="5">
        <f t="shared" si="5"/>
        <v>49</v>
      </c>
      <c r="AB60" s="3" cm="1">
        <f t="array" ref="AB60">SingleAssetVaR($J$3,$J$4,AB$11,$AA60)*$N$3</f>
        <v>132822.95543946294</v>
      </c>
      <c r="AC60" s="3" cm="1">
        <f t="array" ref="AC60">SingleAssetVaR($J$3,$J$4,AC$11,$AA60)*$N$3</f>
        <v>194212.34098013505</v>
      </c>
      <c r="AD60" s="3" cm="1">
        <f t="array" ref="AD60">SingleAssetVaR($J$3,$J$4,AD$11,$AA60)*$N$3</f>
        <v>216685.76863813819</v>
      </c>
      <c r="AF60" s="5">
        <f t="shared" si="6"/>
        <v>49</v>
      </c>
      <c r="AG60" s="3" cm="1">
        <f t="array" ref="AG60">SingleAssetVaR($K$3,$K$4,AG$11,$AF60)*$N$3</f>
        <v>113163.07049356068</v>
      </c>
      <c r="AH60" s="3" cm="1">
        <f t="array" ref="AH60">SingleAssetVaR($K$3,$K$4,AH$11,$AF60)*$N$3</f>
        <v>221420.13789316386</v>
      </c>
      <c r="AI60" s="3" cm="1">
        <f t="array" ref="AI60">SingleAssetVaR($K$3,$K$4,AI$11,$AF60)*$N$3</f>
        <v>261050.88759435914</v>
      </c>
      <c r="AK60" s="3" t="str" cm="1">
        <f t="array" ref="AK60">CheckVaRAdditivity(AG60,AB60,V60)</f>
        <v>Subadditive</v>
      </c>
      <c r="AL60" s="3" t="str" cm="1">
        <f t="array" ref="AL60">CheckVaRAdditivity(AH60,AC60,W60)</f>
        <v>Subadditive</v>
      </c>
      <c r="AM60" s="3" t="str" cm="1">
        <f t="array" ref="AM60">CheckVaRAdditivity(AI60,AD60,X60)</f>
        <v>Subadditive</v>
      </c>
    </row>
    <row r="61" spans="1:39" x14ac:dyDescent="0.3">
      <c r="A61" s="2">
        <v>158.68895000000001</v>
      </c>
      <c r="B61" s="3">
        <f t="shared" si="1"/>
        <v>3.0150495408357372E-2</v>
      </c>
      <c r="D61" s="2">
        <v>318.26232900000002</v>
      </c>
      <c r="E61" s="3">
        <f t="shared" si="2"/>
        <v>-2.1138020066985033E-2</v>
      </c>
      <c r="G61" s="3">
        <f t="shared" si="7"/>
        <v>1.7097629793904116E-2</v>
      </c>
      <c r="I61" s="5">
        <f t="shared" si="3"/>
        <v>50</v>
      </c>
      <c r="J61" s="3" cm="1">
        <f t="array" ref="J61">TwoAssetsVaR($N$6,$P$8,J$11,$I61)*$N$3</f>
        <v>140230.67534786786</v>
      </c>
      <c r="K61" s="3" cm="1">
        <f t="array" ref="K61">TwoAssetsVaR($N$6,$P$8,K$11,$I61)*$N$3</f>
        <v>245946.99092331663</v>
      </c>
      <c r="L61" s="3" cm="1">
        <f t="array" ref="L61">TwoAssetsVaR($N$6,$P$8,L$11,$I61)*$N$3</f>
        <v>284647.62213881302</v>
      </c>
      <c r="U61" s="5">
        <f t="shared" si="4"/>
        <v>50</v>
      </c>
      <c r="V61" s="3" cm="1">
        <f t="array" ref="V61">TwoAssetsVaR($N$6,$N$8,V$11,$U61)*$N$3</f>
        <v>35759.430508811005</v>
      </c>
      <c r="W61" s="3" cm="1">
        <f t="array" ref="W61">TwoAssetsVaR($N$6,$N$8,W$11,$U61)*$N$3</f>
        <v>98191.315678111088</v>
      </c>
      <c r="X61" s="3" cm="1">
        <f t="array" ref="X61">TwoAssetsVaR($N$6,$N$8,X$11,$U61)*$N$3</f>
        <v>121046.38162392448</v>
      </c>
      <c r="AA61" s="5">
        <f t="shared" si="5"/>
        <v>50</v>
      </c>
      <c r="AB61" s="3" cm="1">
        <f t="array" ref="AB61">SingleAssetVaR($J$3,$J$4,AB$11,$AA61)*$N$3</f>
        <v>134014.0597335409</v>
      </c>
      <c r="AC61" s="3" cm="1">
        <f t="array" ref="AC61">SingleAssetVaR($J$3,$J$4,AC$11,$AA61)*$N$3</f>
        <v>196026.70374594751</v>
      </c>
      <c r="AD61" s="3" cm="1">
        <f t="array" ref="AD61">SingleAssetVaR($J$3,$J$4,AD$11,$AA61)*$N$3</f>
        <v>218728.29387948941</v>
      </c>
      <c r="AF61" s="5">
        <f t="shared" si="6"/>
        <v>50</v>
      </c>
      <c r="AG61" s="3" cm="1">
        <f t="array" ref="AG61">SingleAssetVaR($K$3,$K$4,AG$11,$AF61)*$N$3</f>
        <v>112792.83935557636</v>
      </c>
      <c r="AH61" s="3" cm="1">
        <f t="array" ref="AH61">SingleAssetVaR($K$3,$K$4,AH$11,$AF61)*$N$3</f>
        <v>222148.99145504567</v>
      </c>
      <c r="AI61" s="3" cm="1">
        <f t="array" ref="AI61">SingleAssetVaR($K$3,$K$4,AI$11,$AF61)*$N$3</f>
        <v>262182.09410821984</v>
      </c>
      <c r="AK61" s="3" t="str" cm="1">
        <f t="array" ref="AK61">CheckVaRAdditivity(AG61,AB61,V61)</f>
        <v>Subadditive</v>
      </c>
      <c r="AL61" s="3" t="str" cm="1">
        <f t="array" ref="AL61">CheckVaRAdditivity(AH61,AC61,W61)</f>
        <v>Subadditive</v>
      </c>
      <c r="AM61" s="3" t="str" cm="1">
        <f t="array" ref="AM61">CheckVaRAdditivity(AI61,AD61,X61)</f>
        <v>Subadditive</v>
      </c>
    </row>
    <row r="62" spans="1:39" x14ac:dyDescent="0.3">
      <c r="A62" s="2">
        <v>157.37025499999999</v>
      </c>
      <c r="B62" s="3">
        <f t="shared" si="1"/>
        <v>-8.3099358840046482E-3</v>
      </c>
      <c r="D62" s="2">
        <v>322.36795000000001</v>
      </c>
      <c r="E62" s="3">
        <f t="shared" si="2"/>
        <v>1.2900116117732504E-2</v>
      </c>
      <c r="G62" s="3">
        <f t="shared" si="7"/>
        <v>1.5766957731431622E-2</v>
      </c>
      <c r="I62" s="5">
        <f t="shared" si="3"/>
        <v>51</v>
      </c>
      <c r="J62" s="3" cm="1">
        <f t="array" ref="J62">TwoAssetsVaR($N$6,$P$8,J$11,$I62)*$N$3</f>
        <v>140471.08940689609</v>
      </c>
      <c r="K62" s="3" cm="1">
        <f t="array" ref="K62">TwoAssetsVaR($N$6,$P$8,K$11,$I62)*$N$3</f>
        <v>247239.33452886494</v>
      </c>
      <c r="L62" s="3" cm="1">
        <f t="array" ref="L62">TwoAssetsVaR($N$6,$P$8,L$11,$I62)*$N$3</f>
        <v>286325.05613672856</v>
      </c>
      <c r="U62" s="5">
        <f t="shared" si="4"/>
        <v>51</v>
      </c>
      <c r="V62" s="3" cm="1">
        <f t="array" ref="V62">TwoAssetsVaR($N$6,$N$8,V$11,$U62)*$N$3</f>
        <v>34960.304090007208</v>
      </c>
      <c r="W62" s="3" cm="1">
        <f t="array" ref="W62">TwoAssetsVaR($N$6,$N$8,W$11,$U62)*$N$3</f>
        <v>98013.417347867246</v>
      </c>
      <c r="X62" s="3" cm="1">
        <f t="array" ref="X62">TwoAssetsVaR($N$6,$N$8,X$11,$U62)*$N$3</f>
        <v>121095.90248650056</v>
      </c>
      <c r="AA62" s="5">
        <f t="shared" si="5"/>
        <v>51</v>
      </c>
      <c r="AB62" s="3" cm="1">
        <f t="array" ref="AB62">SingleAssetVaR($J$3,$J$4,AB$11,$AA62)*$N$3</f>
        <v>135190.19479262535</v>
      </c>
      <c r="AC62" s="3" cm="1">
        <f t="array" ref="AC62">SingleAssetVaR($J$3,$J$4,AC$11,$AA62)*$N$3</f>
        <v>197819.89523704437</v>
      </c>
      <c r="AD62" s="3" cm="1">
        <f t="array" ref="AD62">SingleAssetVaR($J$3,$J$4,AD$11,$AA62)*$N$3</f>
        <v>220747.37740328221</v>
      </c>
      <c r="AF62" s="5">
        <f t="shared" si="6"/>
        <v>51</v>
      </c>
      <c r="AG62" s="3" cm="1">
        <f t="array" ref="AG62">SingleAssetVaR($K$3,$K$4,AG$11,$AF62)*$N$3</f>
        <v>112396.2107310015</v>
      </c>
      <c r="AH62" s="3" cm="1">
        <f t="array" ref="AH62">SingleAssetVaR($K$3,$K$4,AH$11,$AF62)*$N$3</f>
        <v>222840.510547888</v>
      </c>
      <c r="AI62" s="3" cm="1">
        <f t="array" ref="AI62">SingleAssetVaR($K$3,$K$4,AI$11,$AF62)*$N$3</f>
        <v>263271.96234225685</v>
      </c>
      <c r="AK62" s="3" t="str" cm="1">
        <f t="array" ref="AK62">CheckVaRAdditivity(AG62,AB62,V62)</f>
        <v>Subadditive</v>
      </c>
      <c r="AL62" s="3" t="str" cm="1">
        <f t="array" ref="AL62">CheckVaRAdditivity(AH62,AC62,W62)</f>
        <v>Subadditive</v>
      </c>
      <c r="AM62" s="3" t="str" cm="1">
        <f t="array" ref="AM62">CheckVaRAdditivity(AI62,AD62,X62)</f>
        <v>Subadditive</v>
      </c>
    </row>
    <row r="63" spans="1:39" x14ac:dyDescent="0.3">
      <c r="A63" s="2">
        <v>154.878311</v>
      </c>
      <c r="B63" s="3">
        <f t="shared" si="1"/>
        <v>-1.5834911114555858E-2</v>
      </c>
      <c r="D63" s="2">
        <v>313.97686800000002</v>
      </c>
      <c r="E63" s="3">
        <f t="shared" si="2"/>
        <v>-2.6029516892110343E-2</v>
      </c>
      <c r="G63" s="3">
        <f t="shared" si="7"/>
        <v>3.1390906531224587E-3</v>
      </c>
      <c r="I63" s="5">
        <f t="shared" si="3"/>
        <v>52</v>
      </c>
      <c r="J63" s="3" cm="1">
        <f t="array" ref="J63">TwoAssetsVaR($N$6,$P$8,J$11,$I63)*$N$3</f>
        <v>140686.73158350246</v>
      </c>
      <c r="K63" s="3" cm="1">
        <f t="array" ref="K63">TwoAssetsVaR($N$6,$P$8,K$11,$I63)*$N$3</f>
        <v>248496.64278837165</v>
      </c>
      <c r="L63" s="3" cm="1">
        <f t="array" ref="L63">TwoAssetsVaR($N$6,$P$8,L$11,$I63)*$N$3</f>
        <v>287963.69753960648</v>
      </c>
      <c r="U63" s="5">
        <f t="shared" si="4"/>
        <v>52</v>
      </c>
      <c r="V63" s="3" cm="1">
        <f t="array" ref="V63">TwoAssetsVaR($N$6,$N$8,V$11,$U63)*$N$3</f>
        <v>34146.548374766389</v>
      </c>
      <c r="W63" s="3" cm="1">
        <f t="array" ref="W63">TwoAssetsVaR($N$6,$N$8,W$11,$U63)*$N$3</f>
        <v>97814.828524495417</v>
      </c>
      <c r="X63" s="3" cm="1">
        <f t="array" ref="X63">TwoAssetsVaR($N$6,$N$8,X$11,$U63)*$N$3</f>
        <v>121122.5139729259</v>
      </c>
      <c r="AA63" s="5">
        <f t="shared" si="5"/>
        <v>52</v>
      </c>
      <c r="AB63" s="3" cm="1">
        <f t="array" ref="AB63">SingleAssetVaR($J$3,$J$4,AB$11,$AA63)*$N$3</f>
        <v>136351.79879358714</v>
      </c>
      <c r="AC63" s="3" cm="1">
        <f t="array" ref="AC63">SingleAssetVaR($J$3,$J$4,AC$11,$AA63)*$N$3</f>
        <v>199592.53517533597</v>
      </c>
      <c r="AD63" s="3" cm="1">
        <f t="array" ref="AD63">SingleAssetVaR($J$3,$J$4,AD$11,$AA63)*$N$3</f>
        <v>222743.70539143909</v>
      </c>
      <c r="AF63" s="5">
        <f t="shared" si="6"/>
        <v>52</v>
      </c>
      <c r="AG63" s="3" cm="1">
        <f t="array" ref="AG63">SingleAssetVaR($K$3,$K$4,AG$11,$AF63)*$N$3</f>
        <v>111973.95732252105</v>
      </c>
      <c r="AH63" s="3" cm="1">
        <f t="array" ref="AH63">SingleAssetVaR($K$3,$K$4,AH$11,$AF63)*$N$3</f>
        <v>223495.78801984398</v>
      </c>
      <c r="AI63" s="3" cm="1">
        <f t="array" ref="AI63">SingleAssetVaR($K$3,$K$4,AI$11,$AF63)*$N$3</f>
        <v>264321.70234348363</v>
      </c>
      <c r="AK63" s="3" t="str" cm="1">
        <f t="array" ref="AK63">CheckVaRAdditivity(AG63,AB63,V63)</f>
        <v>Subadditive</v>
      </c>
      <c r="AL63" s="3" t="str" cm="1">
        <f t="array" ref="AL63">CheckVaRAdditivity(AH63,AC63,W63)</f>
        <v>Subadditive</v>
      </c>
      <c r="AM63" s="3" t="str" cm="1">
        <f t="array" ref="AM63">CheckVaRAdditivity(AI63,AD63,X63)</f>
        <v>Subadditive</v>
      </c>
    </row>
    <row r="64" spans="1:39" x14ac:dyDescent="0.3">
      <c r="A64" s="2">
        <v>154.82012900000001</v>
      </c>
      <c r="B64" s="3">
        <f t="shared" si="1"/>
        <v>-3.7566267106301258E-4</v>
      </c>
      <c r="D64" s="2">
        <v>312.85806300000002</v>
      </c>
      <c r="E64" s="3">
        <f t="shared" si="2"/>
        <v>-3.5633357550404281E-3</v>
      </c>
      <c r="G64" s="3">
        <f t="shared" si="7"/>
        <v>8.5267094123083302E-3</v>
      </c>
      <c r="I64" s="5">
        <f t="shared" si="3"/>
        <v>53</v>
      </c>
      <c r="J64" s="3" cm="1">
        <f t="array" ref="J64">TwoAssetsVaR($N$6,$P$8,J$11,$I64)*$N$3</f>
        <v>140878.31311482374</v>
      </c>
      <c r="K64" s="3" cm="1">
        <f t="array" ref="K64">TwoAssetsVaR($N$6,$P$8,K$11,$I64)*$N$3</f>
        <v>249719.92161809211</v>
      </c>
      <c r="L64" s="3" cm="1">
        <f t="array" ref="L64">TwoAssetsVaR($N$6,$P$8,L$11,$I64)*$N$3</f>
        <v>289564.66013984085</v>
      </c>
      <c r="U64" s="5">
        <f t="shared" si="4"/>
        <v>53</v>
      </c>
      <c r="V64" s="3" cm="1">
        <f t="array" ref="V64">TwoAssetsVaR($N$6,$N$8,V$11,$U64)*$N$3</f>
        <v>33318.583391681081</v>
      </c>
      <c r="W64" s="3" cm="1">
        <f t="array" ref="W64">TwoAssetsVaR($N$6,$N$8,W$11,$U64)*$N$3</f>
        <v>97596.143262449594</v>
      </c>
      <c r="X64" s="3" cm="1">
        <f t="array" ref="X64">TwoAssetsVaR($N$6,$N$8,X$11,$U64)*$N$3</f>
        <v>121126.87384504579</v>
      </c>
      <c r="AA64" s="5">
        <f t="shared" si="5"/>
        <v>53</v>
      </c>
      <c r="AB64" s="3" cm="1">
        <f t="array" ref="AB64">SingleAssetVaR($J$3,$J$4,AB$11,$AA64)*$N$3</f>
        <v>137499.28894445248</v>
      </c>
      <c r="AC64" s="3" cm="1">
        <f t="array" ref="AC64">SingleAssetVaR($J$3,$J$4,AC$11,$AA64)*$N$3</f>
        <v>201345.21362609556</v>
      </c>
      <c r="AD64" s="3" cm="1">
        <f t="array" ref="AD64">SingleAssetVaR($J$3,$J$4,AD$11,$AA64)*$N$3</f>
        <v>224717.93118881827</v>
      </c>
      <c r="AF64" s="5">
        <f t="shared" si="6"/>
        <v>53</v>
      </c>
      <c r="AG64" s="3" cm="1">
        <f t="array" ref="AG64">SingleAssetVaR($K$3,$K$4,AG$11,$AF64)*$N$3</f>
        <v>111526.81485532635</v>
      </c>
      <c r="AH64" s="3" cm="1">
        <f t="array" ref="AH64">SingleAssetVaR($K$3,$K$4,AH$11,$AF64)*$N$3</f>
        <v>224115.86442109186</v>
      </c>
      <c r="AI64" s="3" cm="1">
        <f t="array" ref="AI64">SingleAssetVaR($K$3,$K$4,AI$11,$AF64)*$N$3</f>
        <v>265332.46625241655</v>
      </c>
      <c r="AK64" s="3" t="str" cm="1">
        <f t="array" ref="AK64">CheckVaRAdditivity(AG64,AB64,V64)</f>
        <v>Subadditive</v>
      </c>
      <c r="AL64" s="3" t="str" cm="1">
        <f t="array" ref="AL64">CheckVaRAdditivity(AH64,AC64,W64)</f>
        <v>Subadditive</v>
      </c>
      <c r="AM64" s="3" t="str" cm="1">
        <f t="array" ref="AM64">CheckVaRAdditivity(AI64,AD64,X64)</f>
        <v>Subadditive</v>
      </c>
    </row>
    <row r="65" spans="1:39" x14ac:dyDescent="0.3">
      <c r="A65" s="2">
        <v>154.471069</v>
      </c>
      <c r="B65" s="3">
        <f t="shared" si="1"/>
        <v>-2.2546163877696329E-3</v>
      </c>
      <c r="D65" s="2">
        <v>310.400665</v>
      </c>
      <c r="E65" s="3">
        <f t="shared" si="2"/>
        <v>-7.8546737023044589E-3</v>
      </c>
      <c r="G65" s="3">
        <f t="shared" si="7"/>
        <v>2.2911094950261082E-3</v>
      </c>
      <c r="I65" s="5">
        <f t="shared" si="3"/>
        <v>54</v>
      </c>
      <c r="J65" s="3" cm="1">
        <f t="array" ref="J65">TwoAssetsVaR($N$6,$P$8,J$11,$I65)*$N$3</f>
        <v>141046.51184130282</v>
      </c>
      <c r="K65" s="3" cm="1">
        <f t="array" ref="K65">TwoAssetsVaR($N$6,$P$8,K$11,$I65)*$N$3</f>
        <v>250910.1297007002</v>
      </c>
      <c r="L65" s="3" cm="1">
        <f t="array" ref="L65">TwoAssetsVaR($N$6,$P$8,L$11,$I65)*$N$3</f>
        <v>291129.00543083571</v>
      </c>
      <c r="U65" s="5">
        <f t="shared" si="4"/>
        <v>54</v>
      </c>
      <c r="V65" s="3" cm="1">
        <f t="array" ref="V65">TwoAssetsVaR($N$6,$N$8,V$11,$U65)*$N$3</f>
        <v>32476.809446574203</v>
      </c>
      <c r="W65" s="3" cm="1">
        <f t="array" ref="W65">TwoAssetsVaR($N$6,$N$8,W$11,$U65)*$N$3</f>
        <v>97357.927721894375</v>
      </c>
      <c r="X65" s="3" cm="1">
        <f t="array" ref="X65">TwoAssetsVaR($N$6,$N$8,X$11,$U65)*$N$3</f>
        <v>121109.60897898598</v>
      </c>
      <c r="AA65" s="5">
        <f t="shared" si="5"/>
        <v>54</v>
      </c>
      <c r="AB65" s="3" cm="1">
        <f t="array" ref="AB65">SingleAssetVaR($J$3,$J$4,AB$11,$AA65)*$N$3</f>
        <v>138633.06286291991</v>
      </c>
      <c r="AC65" s="3" cm="1">
        <f t="array" ref="AC65">SingleAssetVaR($J$3,$J$4,AC$11,$AA65)*$N$3</f>
        <v>203078.49294762203</v>
      </c>
      <c r="AD65" s="3" cm="1">
        <f t="array" ref="AD65">SingleAssetVaR($J$3,$J$4,AD$11,$AA65)*$N$3</f>
        <v>226670.6774619614</v>
      </c>
      <c r="AF65" s="5">
        <f t="shared" si="6"/>
        <v>54</v>
      </c>
      <c r="AG65" s="3" cm="1">
        <f t="array" ref="AG65">SingleAssetVaR($K$3,$K$4,AG$11,$AF65)*$N$3</f>
        <v>111055.48450805928</v>
      </c>
      <c r="AH65" s="3" cm="1">
        <f t="array" ref="AH65">SingleAssetVaR($K$3,$K$4,AH$11,$AF65)*$N$3</f>
        <v>224701.73144196579</v>
      </c>
      <c r="AI65" s="3" cm="1">
        <f t="array" ref="AI65">SingleAssetVaR($K$3,$K$4,AI$11,$AF65)*$N$3</f>
        <v>266305.35210991662</v>
      </c>
      <c r="AK65" s="3" t="str" cm="1">
        <f t="array" ref="AK65">CheckVaRAdditivity(AG65,AB65,V65)</f>
        <v>Subadditive</v>
      </c>
      <c r="AL65" s="3" t="str" cm="1">
        <f t="array" ref="AL65">CheckVaRAdditivity(AH65,AC65,W65)</f>
        <v>Subadditive</v>
      </c>
      <c r="AM65" s="3" t="str" cm="1">
        <f t="array" ref="AM65">CheckVaRAdditivity(AI65,AD65,X65)</f>
        <v>Subadditive</v>
      </c>
    </row>
    <row r="66" spans="1:39" x14ac:dyDescent="0.3">
      <c r="A66" s="2">
        <v>155.03346300000001</v>
      </c>
      <c r="B66" s="3">
        <f t="shared" si="1"/>
        <v>3.6407723701323762E-3</v>
      </c>
      <c r="D66" s="2">
        <v>316.22448700000001</v>
      </c>
      <c r="E66" s="3">
        <f t="shared" si="2"/>
        <v>1.8762272948094384E-2</v>
      </c>
      <c r="G66" s="3">
        <f t="shared" si="7"/>
        <v>-2.1357641057233152E-2</v>
      </c>
      <c r="I66" s="5">
        <f t="shared" si="3"/>
        <v>55</v>
      </c>
      <c r="J66" s="3" cm="1">
        <f t="array" ref="J66">TwoAssetsVaR($N$6,$P$8,J$11,$I66)*$N$3</f>
        <v>141191.97436174034</v>
      </c>
      <c r="K66" s="3" cm="1">
        <f t="array" ref="K66">TwoAssetsVaR($N$6,$P$8,K$11,$I66)*$N$3</f>
        <v>252068.18153321903</v>
      </c>
      <c r="L66" s="3" cm="1">
        <f t="array" ref="L66">TwoAssetsVaR($N$6,$P$8,L$11,$I66)*$N$3</f>
        <v>292657.74598180159</v>
      </c>
      <c r="U66" s="5">
        <f t="shared" si="4"/>
        <v>55</v>
      </c>
      <c r="V66" s="3" cm="1">
        <f t="array" ref="V66">TwoAssetsVaR($N$6,$N$8,V$11,$U66)*$N$3</f>
        <v>31621.608395187246</v>
      </c>
      <c r="W66" s="3" cm="1">
        <f t="array" ref="W66">TwoAssetsVaR($N$6,$N$8,W$11,$U66)*$N$3</f>
        <v>97100.721968692029</v>
      </c>
      <c r="X66" s="3" cm="1">
        <f t="array" ref="X66">TwoAssetsVaR($N$6,$N$8,X$11,$U66)*$N$3</f>
        <v>121071.31735817343</v>
      </c>
      <c r="AA66" s="5">
        <f t="shared" si="5"/>
        <v>55</v>
      </c>
      <c r="AB66" s="3" cm="1">
        <f t="array" ref="AB66">SingleAssetVaR($J$3,$J$4,AB$11,$AA66)*$N$3</f>
        <v>139753.49984050199</v>
      </c>
      <c r="AC66" s="3" cm="1">
        <f t="array" ref="AC66">SingleAssetVaR($J$3,$J$4,AC$11,$AA66)*$N$3</f>
        <v>204792.90957913984</v>
      </c>
      <c r="AD66" s="3" cm="1">
        <f t="array" ref="AD66">SingleAssetVaR($J$3,$J$4,AD$11,$AA66)*$N$3</f>
        <v>228602.53817873081</v>
      </c>
      <c r="AF66" s="5">
        <f t="shared" si="6"/>
        <v>55</v>
      </c>
      <c r="AG66" s="3" cm="1">
        <f t="array" ref="AG66">SingleAssetVaR($K$3,$K$4,AG$11,$AF66)*$N$3</f>
        <v>110560.63514206265</v>
      </c>
      <c r="AH66" s="3" cm="1">
        <f t="array" ref="AH66">SingleAssetVaR($K$3,$K$4,AH$11,$AF66)*$N$3</f>
        <v>225254.33506582698</v>
      </c>
      <c r="AI66" s="3" cm="1">
        <f t="array" ref="AI66">SingleAssetVaR($K$3,$K$4,AI$11,$AF66)*$N$3</f>
        <v>267241.40734818002</v>
      </c>
      <c r="AK66" s="3" t="str" cm="1">
        <f t="array" ref="AK66">CheckVaRAdditivity(AG66,AB66,V66)</f>
        <v>Subadditive</v>
      </c>
      <c r="AL66" s="3" t="str" cm="1">
        <f t="array" ref="AL66">CheckVaRAdditivity(AH66,AC66,W66)</f>
        <v>Subadditive</v>
      </c>
      <c r="AM66" s="3" t="str" cm="1">
        <f t="array" ref="AM66">CheckVaRAdditivity(AI66,AD66,X66)</f>
        <v>Subadditive</v>
      </c>
    </row>
    <row r="67" spans="1:39" x14ac:dyDescent="0.3">
      <c r="A67" s="2">
        <v>154.800735</v>
      </c>
      <c r="B67" s="3">
        <f t="shared" si="1"/>
        <v>-1.5011468846568221E-3</v>
      </c>
      <c r="D67" s="2">
        <v>312.30865499999999</v>
      </c>
      <c r="E67" s="3">
        <f t="shared" si="2"/>
        <v>-1.2383076456694585E-2</v>
      </c>
      <c r="G67" s="3">
        <f t="shared" si="7"/>
        <v>7.5066253207833524E-3</v>
      </c>
      <c r="I67" s="5">
        <f t="shared" si="3"/>
        <v>56</v>
      </c>
      <c r="J67" s="3" cm="1">
        <f t="array" ref="J67">TwoAssetsVaR($N$6,$P$8,J$11,$I67)*$N$3</f>
        <v>141315.31801278013</v>
      </c>
      <c r="K67" s="3" cm="1">
        <f t="array" ref="K67">TwoAssetsVaR($N$6,$P$8,K$11,$I67)*$N$3</f>
        <v>253194.95022664472</v>
      </c>
      <c r="L67" s="3" cm="1">
        <f t="array" ref="L67">TwoAssetsVaR($N$6,$P$8,L$11,$I67)*$N$3</f>
        <v>294151.84853761544</v>
      </c>
      <c r="U67" s="5">
        <f t="shared" si="4"/>
        <v>56</v>
      </c>
      <c r="V67" s="3" cm="1">
        <f t="array" ref="V67">TwoAssetsVaR($N$6,$N$8,V$11,$U67)*$N$3</f>
        <v>30753.344812186293</v>
      </c>
      <c r="W67" s="3" cm="1">
        <f t="array" ref="W67">TwoAssetsVaR($N$6,$N$8,W$11,$U67)*$N$3</f>
        <v>96825.04162775015</v>
      </c>
      <c r="X67" s="3" cm="1">
        <f t="array" ref="X67">TwoAssetsVaR($N$6,$N$8,X$11,$U67)*$N$3</f>
        <v>121012.56990399153</v>
      </c>
      <c r="AA67" s="5">
        <f t="shared" si="5"/>
        <v>56</v>
      </c>
      <c r="AB67" s="3" cm="1">
        <f t="array" ref="AB67">SingleAssetVaR($J$3,$J$4,AB$11,$AA67)*$N$3</f>
        <v>140860.96200368143</v>
      </c>
      <c r="AC67" s="3" cm="1">
        <f t="array" ref="AC67">SingleAssetVaR($J$3,$J$4,AC$11,$AA67)*$N$3</f>
        <v>206488.97568304406</v>
      </c>
      <c r="AD67" s="3" cm="1">
        <f t="array" ref="AD67">SingleAssetVaR($J$3,$J$4,AD$11,$AA67)*$N$3</f>
        <v>230514.08042667183</v>
      </c>
      <c r="AF67" s="5">
        <f t="shared" si="6"/>
        <v>56</v>
      </c>
      <c r="AG67" s="3" cm="1">
        <f t="array" ref="AG67">SingleAssetVaR($K$3,$K$4,AG$11,$AF67)*$N$3</f>
        <v>110042.90534901961</v>
      </c>
      <c r="AH67" s="3" cm="1">
        <f t="array" ref="AH67">SingleAssetVaR($K$3,$K$4,AH$11,$AF67)*$N$3</f>
        <v>225774.57846507951</v>
      </c>
      <c r="AI67" s="3" cm="1">
        <f t="array" ref="AI67">SingleAssetVaR($K$3,$K$4,AI$11,$AF67)*$N$3</f>
        <v>268141.63199732703</v>
      </c>
      <c r="AK67" s="3" t="str" cm="1">
        <f t="array" ref="AK67">CheckVaRAdditivity(AG67,AB67,V67)</f>
        <v>Subadditive</v>
      </c>
      <c r="AL67" s="3" t="str" cm="1">
        <f t="array" ref="AL67">CheckVaRAdditivity(AH67,AC67,W67)</f>
        <v>Subadditive</v>
      </c>
      <c r="AM67" s="3" t="str" cm="1">
        <f t="array" ref="AM67">CheckVaRAdditivity(AI67,AD67,X67)</f>
        <v>Subadditive</v>
      </c>
    </row>
    <row r="68" spans="1:39" x14ac:dyDescent="0.3">
      <c r="A68" s="2">
        <v>155.00436400000001</v>
      </c>
      <c r="B68" s="3">
        <f t="shared" si="1"/>
        <v>1.3154265708105746E-3</v>
      </c>
      <c r="D68" s="2">
        <v>304.886505</v>
      </c>
      <c r="E68" s="3">
        <f t="shared" si="2"/>
        <v>-2.3765431668872541E-2</v>
      </c>
      <c r="G68" s="3">
        <f t="shared" si="7"/>
        <v>0.11629511114620897</v>
      </c>
      <c r="I68" s="5">
        <f t="shared" si="3"/>
        <v>57</v>
      </c>
      <c r="J68" s="3" cm="1">
        <f t="array" ref="J68">TwoAssetsVaR($N$6,$P$8,J$11,$I68)*$N$3</f>
        <v>141417.13268999974</v>
      </c>
      <c r="K68" s="3" cm="1">
        <f t="array" ref="K68">TwoAssetsVaR($N$6,$P$8,K$11,$I68)*$N$3</f>
        <v>254291.27008155</v>
      </c>
      <c r="L68" s="3" cm="1">
        <f t="array" ref="L68">TwoAssetsVaR($N$6,$P$8,L$11,$I68)*$N$3</f>
        <v>295612.23687063612</v>
      </c>
      <c r="U68" s="5">
        <f t="shared" si="4"/>
        <v>57</v>
      </c>
      <c r="V68" s="3" cm="1">
        <f t="array" ref="V68">TwoAssetsVaR($N$6,$N$8,V$11,$U68)*$N$3</f>
        <v>29872.367066626452</v>
      </c>
      <c r="W68" s="3" cm="1">
        <f t="array" ref="W68">TwoAssetsVaR($N$6,$N$8,W$11,$U68)*$N$3</f>
        <v>96531.379404071457</v>
      </c>
      <c r="X68" s="3" cm="1">
        <f t="array" ref="X68">TwoAssetsVaR($N$6,$N$8,X$11,$U68)*$N$3</f>
        <v>120933.91215995002</v>
      </c>
      <c r="AA68" s="5">
        <f t="shared" si="5"/>
        <v>57</v>
      </c>
      <c r="AB68" s="3" cm="1">
        <f t="array" ref="AB68">SingleAssetVaR($J$3,$J$4,AB$11,$AA68)*$N$3</f>
        <v>141955.79538215345</v>
      </c>
      <c r="AC68" s="3" cm="1">
        <f t="array" ref="AC68">SingleAssetVaR($J$3,$J$4,AC$11,$AA68)*$N$3</f>
        <v>208167.1806557361</v>
      </c>
      <c r="AD68" s="3" cm="1">
        <f t="array" ref="AD68">SingleAssetVaR($J$3,$J$4,AD$11,$AA68)*$N$3</f>
        <v>232405.846085873</v>
      </c>
      <c r="AF68" s="5">
        <f t="shared" si="6"/>
        <v>57</v>
      </c>
      <c r="AG68" s="3" cm="1">
        <f t="array" ref="AG68">SingleAssetVaR($K$3,$K$4,AG$11,$AF68)*$N$3</f>
        <v>109502.90533474529</v>
      </c>
      <c r="AH68" s="3" cm="1">
        <f t="array" ref="AH68">SingleAssetVaR($K$3,$K$4,AH$11,$AF68)*$N$3</f>
        <v>226263.32466545253</v>
      </c>
      <c r="AI68" s="3" cm="1">
        <f t="array" ref="AI68">SingleAssetVaR($K$3,$K$4,AI$11,$AF68)*$N$3</f>
        <v>269006.98163540679</v>
      </c>
      <c r="AK68" s="3" t="str" cm="1">
        <f t="array" ref="AK68">CheckVaRAdditivity(AG68,AB68,V68)</f>
        <v>Subadditive</v>
      </c>
      <c r="AL68" s="3" t="str" cm="1">
        <f t="array" ref="AL68">CheckVaRAdditivity(AH68,AC68,W68)</f>
        <v>Subadditive</v>
      </c>
      <c r="AM68" s="3" t="str" cm="1">
        <f t="array" ref="AM68">CheckVaRAdditivity(AI68,AD68,X68)</f>
        <v>Subadditive</v>
      </c>
    </row>
    <row r="69" spans="1:39" x14ac:dyDescent="0.3">
      <c r="A69" s="2">
        <v>155.94490099999999</v>
      </c>
      <c r="B69" s="3">
        <f t="shared" si="1"/>
        <v>6.0678098069547109E-3</v>
      </c>
      <c r="D69" s="2">
        <v>305.415955</v>
      </c>
      <c r="E69" s="3">
        <f t="shared" si="2"/>
        <v>1.7365478344146361E-3</v>
      </c>
      <c r="G69" s="3">
        <f t="shared" ref="G69:G100" si="8">(B191+E191)/2</f>
        <v>-1.6104728186189594E-2</v>
      </c>
      <c r="I69" s="5">
        <f t="shared" si="3"/>
        <v>58</v>
      </c>
      <c r="J69" s="3" cm="1">
        <f t="array" ref="J69">TwoAssetsVaR($N$6,$P$8,J$11,$I69)*$N$3</f>
        <v>141497.9825258276</v>
      </c>
      <c r="K69" s="3" cm="1">
        <f t="array" ref="K69">TwoAssetsVaR($N$6,$P$8,K$11,$I69)*$N$3</f>
        <v>255357.93896119396</v>
      </c>
      <c r="L69" s="3" cm="1">
        <f t="array" ref="L69">TwoAssetsVaR($N$6,$P$8,L$11,$I69)*$N$3</f>
        <v>297039.79440831044</v>
      </c>
      <c r="U69" s="5">
        <f t="shared" si="4"/>
        <v>58</v>
      </c>
      <c r="V69" s="3" cm="1">
        <f t="array" ref="V69">TwoAssetsVaR($N$6,$N$8,V$11,$U69)*$N$3</f>
        <v>28979.008312863352</v>
      </c>
      <c r="W69" s="3" cm="1">
        <f t="array" ref="W69">TwoAssetsVaR($N$6,$N$8,W$11,$U69)*$N$3</f>
        <v>96220.206484218827</v>
      </c>
      <c r="X69" s="3" cm="1">
        <f t="array" ref="X69">TwoAssetsVaR($N$6,$N$8,X$11,$U69)*$N$3</f>
        <v>120835.86584344532</v>
      </c>
      <c r="AA69" s="5">
        <f t="shared" si="5"/>
        <v>58</v>
      </c>
      <c r="AB69" s="3" cm="1">
        <f t="array" ref="AB69">SingleAssetVaR($J$3,$J$4,AB$11,$AA69)*$N$3</f>
        <v>143038.33089308324</v>
      </c>
      <c r="AC69" s="3" cm="1">
        <f t="array" ref="AC69">SingleAssetVaR($J$3,$J$4,AC$11,$AA69)*$N$3</f>
        <v>209827.9925196777</v>
      </c>
      <c r="AD69" s="3" cm="1">
        <f t="array" ref="AD69">SingleAssetVaR($J$3,$J$4,AD$11,$AA69)*$N$3</f>
        <v>234278.35337030605</v>
      </c>
      <c r="AF69" s="5">
        <f t="shared" si="6"/>
        <v>58</v>
      </c>
      <c r="AG69" s="3" cm="1">
        <f t="array" ref="AG69">SingleAssetVaR($K$3,$K$4,AG$11,$AF69)*$N$3</f>
        <v>108941.21865487455</v>
      </c>
      <c r="AH69" s="3" cm="1">
        <f t="array" ref="AH69">SingleAssetVaR($K$3,$K$4,AH$11,$AF69)*$N$3</f>
        <v>226721.3990008166</v>
      </c>
      <c r="AI69" s="3" cm="1">
        <f t="array" ref="AI69">SingleAssetVaR($K$3,$K$4,AI$11,$AF69)*$N$3</f>
        <v>269838.37010647188</v>
      </c>
      <c r="AK69" s="3" t="str" cm="1">
        <f t="array" ref="AK69">CheckVaRAdditivity(AG69,AB69,V69)</f>
        <v>Subadditive</v>
      </c>
      <c r="AL69" s="3" t="str" cm="1">
        <f t="array" ref="AL69">CheckVaRAdditivity(AH69,AC69,W69)</f>
        <v>Subadditive</v>
      </c>
      <c r="AM69" s="3" t="str" cm="1">
        <f t="array" ref="AM69">CheckVaRAdditivity(AI69,AD69,X69)</f>
        <v>Subadditive</v>
      </c>
    </row>
    <row r="70" spans="1:39" x14ac:dyDescent="0.3">
      <c r="A70" s="2">
        <v>159.164063</v>
      </c>
      <c r="B70" s="3">
        <f t="shared" ref="B70:B133" si="9">(A70-A69)/A69</f>
        <v>2.0642944907830054E-2</v>
      </c>
      <c r="D70" s="2">
        <v>301.320313</v>
      </c>
      <c r="E70" s="3">
        <f t="shared" ref="E70:E133" si="10">(D70-D69)/D69</f>
        <v>-1.3410045981389538E-2</v>
      </c>
      <c r="G70" s="3">
        <f t="shared" si="8"/>
        <v>-5.0387519031512293E-3</v>
      </c>
      <c r="I70" s="5">
        <f t="shared" si="3"/>
        <v>59</v>
      </c>
      <c r="J70" s="3" cm="1">
        <f t="array" ref="J70">TwoAssetsVaR($N$6,$P$8,J$11,$I70)*$N$3</f>
        <v>141558.40743780829</v>
      </c>
      <c r="K70" s="3" cm="1">
        <f t="array" ref="K70">TwoAssetsVaR($N$6,$P$8,K$11,$I70)*$N$3</f>
        <v>256395.7204812633</v>
      </c>
      <c r="L70" s="3" cm="1">
        <f t="array" ref="L70">TwoAssetsVaR($N$6,$P$8,L$11,$I70)*$N$3</f>
        <v>298435.3666577462</v>
      </c>
      <c r="U70" s="5">
        <f t="shared" si="4"/>
        <v>59</v>
      </c>
      <c r="V70" s="3" cm="1">
        <f t="array" ref="V70">TwoAssetsVaR($N$6,$N$8,V$11,$U70)*$N$3</f>
        <v>28073.587404897469</v>
      </c>
      <c r="W70" s="3" cm="1">
        <f t="array" ref="W70">TwoAssetsVaR($N$6,$N$8,W$11,$U70)*$N$3</f>
        <v>95891.973829489973</v>
      </c>
      <c r="X70" s="3" cm="1">
        <f t="array" ref="X70">TwoAssetsVaR($N$6,$N$8,X$11,$U70)*$N$3</f>
        <v>120718.93027761759</v>
      </c>
      <c r="AA70" s="5">
        <f t="shared" si="5"/>
        <v>59</v>
      </c>
      <c r="AB70" s="3" cm="1">
        <f t="array" ref="AB70">SingleAssetVaR($J$3,$J$4,AB$11,$AA70)*$N$3</f>
        <v>144108.88524931026</v>
      </c>
      <c r="AC70" s="3" cm="1">
        <f t="array" ref="AC70">SingleAssetVaR($J$3,$J$4,AC$11,$AA70)*$N$3</f>
        <v>211471.85920788173</v>
      </c>
      <c r="AD70" s="3" cm="1">
        <f t="array" ref="AD70">SingleAssetVaR($J$3,$J$4,AD$11,$AA70)*$N$3</f>
        <v>236132.09825006794</v>
      </c>
      <c r="AF70" s="5">
        <f t="shared" si="6"/>
        <v>59</v>
      </c>
      <c r="AG70" s="3" cm="1">
        <f t="array" ref="AG70">SingleAssetVaR($K$3,$K$4,AG$11,$AF70)*$N$3</f>
        <v>108358.40381643437</v>
      </c>
      <c r="AH70" s="3" cm="1">
        <f t="array" ref="AH70">SingleAssetVaR($K$3,$K$4,AH$11,$AF70)*$N$3</f>
        <v>227149.59137831829</v>
      </c>
      <c r="AI70" s="3" cm="1">
        <f t="array" ref="AI70">SingleAssetVaR($K$3,$K$4,AI$11,$AF70)*$N$3</f>
        <v>270636.67202862987</v>
      </c>
      <c r="AK70" s="3" t="str" cm="1">
        <f t="array" ref="AK70">CheckVaRAdditivity(AG70,AB70,V70)</f>
        <v>Subadditive</v>
      </c>
      <c r="AL70" s="3" t="str" cm="1">
        <f t="array" ref="AL70">CheckVaRAdditivity(AH70,AC70,W70)</f>
        <v>Subadditive</v>
      </c>
      <c r="AM70" s="3" t="str" cm="1">
        <f t="array" ref="AM70">CheckVaRAdditivity(AI70,AD70,X70)</f>
        <v>Subadditive</v>
      </c>
    </row>
    <row r="71" spans="1:39" x14ac:dyDescent="0.3">
      <c r="A71" s="2">
        <v>159.04771400000001</v>
      </c>
      <c r="B71" s="3">
        <f t="shared" si="9"/>
        <v>-7.3100043946468859E-4</v>
      </c>
      <c r="D71" s="2">
        <v>305.86547899999999</v>
      </c>
      <c r="E71" s="3">
        <f t="shared" si="10"/>
        <v>1.5084167259576672E-2</v>
      </c>
      <c r="G71" s="3">
        <f t="shared" si="8"/>
        <v>1.5628723784607501E-2</v>
      </c>
      <c r="I71" s="5">
        <f t="shared" si="3"/>
        <v>60</v>
      </c>
      <c r="J71" s="3" cm="1">
        <f t="array" ref="J71">TwoAssetsVaR($N$6,$P$8,J$11,$I71)*$N$3</f>
        <v>141598.92455925368</v>
      </c>
      <c r="K71" s="3" cm="1">
        <f t="array" ref="K71">TwoAssetsVaR($N$6,$P$8,K$11,$I71)*$N$3</f>
        <v>257405.34603326971</v>
      </c>
      <c r="L71" s="3" cm="1">
        <f t="array" ref="L71">TwoAssetsVaR($N$6,$P$8,L$11,$I71)*$N$3</f>
        <v>299799.76344610157</v>
      </c>
      <c r="U71" s="5">
        <f t="shared" si="4"/>
        <v>60</v>
      </c>
      <c r="V71" s="3" cm="1">
        <f t="array" ref="V71">TwoAssetsVaR($N$6,$N$8,V$11,$U71)*$N$3</f>
        <v>27156.409741260464</v>
      </c>
      <c r="W71" s="3" cm="1">
        <f t="array" ref="W71">TwoAssetsVaR($N$6,$N$8,W$11,$U71)*$N$3</f>
        <v>95547.113370856256</v>
      </c>
      <c r="X71" s="3" cm="1">
        <f t="array" ref="X71">TwoAssetsVaR($N$6,$N$8,X$11,$U71)*$N$3</f>
        <v>120583.58371443654</v>
      </c>
      <c r="AA71" s="5">
        <f t="shared" si="5"/>
        <v>60</v>
      </c>
      <c r="AB71" s="3" cm="1">
        <f t="array" ref="AB71">SingleAssetVaR($J$3,$J$4,AB$11,$AA71)*$N$3</f>
        <v>145167.76179856091</v>
      </c>
      <c r="AC71" s="3" cm="1">
        <f t="array" ref="AC71">SingleAssetVaR($J$3,$J$4,AC$11,$AA71)*$N$3</f>
        <v>213099.2097508265</v>
      </c>
      <c r="AD71" s="3" cm="1">
        <f t="array" ref="AD71">SingleAssetVaR($J$3,$J$4,AD$11,$AA71)*$N$3</f>
        <v>237967.55576558172</v>
      </c>
      <c r="AF71" s="5">
        <f t="shared" si="6"/>
        <v>60</v>
      </c>
      <c r="AG71" s="3" cm="1">
        <f t="array" ref="AG71">SingleAssetVaR($K$3,$K$4,AG$11,$AF71)*$N$3</f>
        <v>107754.99575775285</v>
      </c>
      <c r="AH71" s="3" cm="1">
        <f t="array" ref="AH71">SingleAssetVaR($K$3,$K$4,AH$11,$AF71)*$N$3</f>
        <v>227548.65837144342</v>
      </c>
      <c r="AI71" s="3" cm="1">
        <f t="array" ref="AI71">SingleAssetVaR($K$3,$K$4,AI$11,$AF71)*$N$3</f>
        <v>271402.72511157021</v>
      </c>
      <c r="AK71" s="3" t="str" cm="1">
        <f t="array" ref="AK71">CheckVaRAdditivity(AG71,AB71,V71)</f>
        <v>Subadditive</v>
      </c>
      <c r="AL71" s="3" t="str" cm="1">
        <f t="array" ref="AL71">CheckVaRAdditivity(AH71,AC71,W71)</f>
        <v>Subadditive</v>
      </c>
      <c r="AM71" s="3" t="str" cm="1">
        <f t="array" ref="AM71">CheckVaRAdditivity(AI71,AD71,X71)</f>
        <v>Subadditive</v>
      </c>
    </row>
    <row r="72" spans="1:39" x14ac:dyDescent="0.3">
      <c r="A72" s="2">
        <v>154.403198</v>
      </c>
      <c r="B72" s="3">
        <f t="shared" si="9"/>
        <v>-2.920202927280055E-2</v>
      </c>
      <c r="D72" s="2">
        <v>301.629974</v>
      </c>
      <c r="E72" s="3">
        <f t="shared" si="10"/>
        <v>-1.3847607169817255E-2</v>
      </c>
      <c r="G72" s="3">
        <f t="shared" si="8"/>
        <v>6.7798102492137189E-3</v>
      </c>
      <c r="I72" s="5">
        <f t="shared" si="3"/>
        <v>61</v>
      </c>
      <c r="J72" s="3" cm="1">
        <f t="array" ref="J72">TwoAssetsVaR($N$6,$P$8,J$11,$I72)*$N$3</f>
        <v>141620.02956301978</v>
      </c>
      <c r="K72" s="3" cm="1">
        <f t="array" ref="K72">TwoAssetsVaR($N$6,$P$8,K$11,$I72)*$N$3</f>
        <v>258387.51665679261</v>
      </c>
      <c r="L72" s="3" cm="1">
        <f t="array" ref="L72">TwoAssetsVaR($N$6,$P$8,L$11,$I72)*$N$3</f>
        <v>301133.76099361101</v>
      </c>
      <c r="U72" s="5">
        <f t="shared" si="4"/>
        <v>61</v>
      </c>
      <c r="V72" s="3" cm="1">
        <f t="array" ref="V72">TwoAssetsVaR($N$6,$N$8,V$11,$U72)*$N$3</f>
        <v>26227.768046785332</v>
      </c>
      <c r="W72" s="3" cm="1">
        <f t="array" ref="W72">TwoAssetsVaR($N$6,$N$8,W$11,$U72)*$N$3</f>
        <v>95186.03911463519</v>
      </c>
      <c r="X72" s="3" cm="1">
        <f t="array" ref="X72">TwoAssetsVaR($N$6,$N$8,X$11,$U72)*$N$3</f>
        <v>120430.28455894832</v>
      </c>
      <c r="AA72" s="5">
        <f t="shared" si="5"/>
        <v>61</v>
      </c>
      <c r="AB72" s="3" cm="1">
        <f t="array" ref="AB72">SingleAssetVaR($J$3,$J$4,AB$11,$AA72)*$N$3</f>
        <v>146215.25129996933</v>
      </c>
      <c r="AC72" s="3" cm="1">
        <f t="array" ref="AC72">SingleAssetVaR($J$3,$J$4,AC$11,$AA72)*$N$3</f>
        <v>214710.45537470403</v>
      </c>
      <c r="AD72" s="3" cm="1">
        <f t="array" ref="AD72">SingleAssetVaR($J$3,$J$4,AD$11,$AA72)*$N$3</f>
        <v>239785.18124362273</v>
      </c>
      <c r="AF72" s="5">
        <f t="shared" si="6"/>
        <v>61</v>
      </c>
      <c r="AG72" s="3" cm="1">
        <f t="array" ref="AG72">SingleAssetVaR($K$3,$K$4,AG$11,$AF72)*$N$3</f>
        <v>107131.50721781408</v>
      </c>
      <c r="AH72" s="3" cm="1">
        <f t="array" ref="AH72">SingleAssetVaR($K$3,$K$4,AH$11,$AF72)*$N$3</f>
        <v>227919.32515672204</v>
      </c>
      <c r="AI72" s="3" cm="1">
        <f t="array" ref="AI72">SingleAssetVaR($K$3,$K$4,AI$11,$AF72)*$N$3</f>
        <v>272137.33230096457</v>
      </c>
      <c r="AK72" s="3" t="str" cm="1">
        <f t="array" ref="AK72">CheckVaRAdditivity(AG72,AB72,V72)</f>
        <v>Subadditive</v>
      </c>
      <c r="AL72" s="3" t="str" cm="1">
        <f t="array" ref="AL72">CheckVaRAdditivity(AH72,AC72,W72)</f>
        <v>Subadditive</v>
      </c>
      <c r="AM72" s="3" t="str" cm="1">
        <f t="array" ref="AM72">CheckVaRAdditivity(AI72,AD72,X72)</f>
        <v>Subadditive</v>
      </c>
    </row>
    <row r="73" spans="1:39" x14ac:dyDescent="0.3">
      <c r="A73" s="2">
        <v>153.81173699999999</v>
      </c>
      <c r="B73" s="3">
        <f t="shared" si="9"/>
        <v>-3.8306266169435789E-3</v>
      </c>
      <c r="D73" s="2">
        <v>293.97808800000001</v>
      </c>
      <c r="E73" s="3">
        <f t="shared" si="10"/>
        <v>-2.5368453600702133E-2</v>
      </c>
      <c r="G73" s="3">
        <f t="shared" si="8"/>
        <v>-1.1812079718794782E-2</v>
      </c>
      <c r="I73" s="5">
        <f t="shared" si="3"/>
        <v>62</v>
      </c>
      <c r="J73" s="3" cm="1">
        <f t="array" ref="J73">TwoAssetsVaR($N$6,$P$8,J$11,$I73)*$N$3</f>
        <v>141622.19788800803</v>
      </c>
      <c r="K73" s="3" cm="1">
        <f t="array" ref="K73">TwoAssetsVaR($N$6,$P$8,K$11,$I73)*$N$3</f>
        <v>259342.90477414324</v>
      </c>
      <c r="L73" s="3" cm="1">
        <f t="array" ref="L73">TwoAssetsVaR($N$6,$P$8,L$11,$I73)*$N$3</f>
        <v>302438.10383427684</v>
      </c>
      <c r="U73" s="5">
        <f t="shared" si="4"/>
        <v>62</v>
      </c>
      <c r="V73" s="3" cm="1">
        <f t="array" ref="V73">TwoAssetsVaR($N$6,$N$8,V$11,$U73)*$N$3</f>
        <v>25287.943096929903</v>
      </c>
      <c r="W73" s="3" cm="1">
        <f t="array" ref="W73">TwoAssetsVaR($N$6,$N$8,W$11,$U73)*$N$3</f>
        <v>94809.148166914922</v>
      </c>
      <c r="X73" s="3" cm="1">
        <f t="array" ref="X73">TwoAssetsVaR($N$6,$N$8,X$11,$U73)*$N$3</f>
        <v>120259.4725035609</v>
      </c>
      <c r="AA73" s="5">
        <f t="shared" si="5"/>
        <v>62</v>
      </c>
      <c r="AB73" s="3" cm="1">
        <f t="array" ref="AB73">SingleAssetVaR($J$3,$J$4,AB$11,$AA73)*$N$3</f>
        <v>147251.6326435362</v>
      </c>
      <c r="AC73" s="3" cm="1">
        <f t="array" ref="AC73">SingleAssetVaR($J$3,$J$4,AC$11,$AA73)*$N$3</f>
        <v>216305.99051896462</v>
      </c>
      <c r="AD73" s="3" cm="1">
        <f t="array" ref="AD73">SingleAssetVaR($J$3,$J$4,AD$11,$AA73)*$N$3</f>
        <v>241585.41142398628</v>
      </c>
      <c r="AF73" s="5">
        <f t="shared" si="6"/>
        <v>62</v>
      </c>
      <c r="AG73" s="3" cm="1">
        <f t="array" ref="AG73">SingleAssetVaR($K$3,$K$4,AG$11,$AF73)*$N$3</f>
        <v>106488.43000498763</v>
      </c>
      <c r="AH73" s="3" cm="1">
        <f t="array" ref="AH73">SingleAssetVaR($K$3,$K$4,AH$11,$AF73)*$N$3</f>
        <v>228262.28730811659</v>
      </c>
      <c r="AI73" s="3" cm="1">
        <f t="array" ref="AI73">SingleAssetVaR($K$3,$K$4,AI$11,$AF73)*$N$3</f>
        <v>272841.2637652884</v>
      </c>
      <c r="AK73" s="3" t="str" cm="1">
        <f t="array" ref="AK73">CheckVaRAdditivity(AG73,AB73,V73)</f>
        <v>Subadditive</v>
      </c>
      <c r="AL73" s="3" t="str" cm="1">
        <f t="array" ref="AL73">CheckVaRAdditivity(AH73,AC73,W73)</f>
        <v>Subadditive</v>
      </c>
      <c r="AM73" s="3" t="str" cm="1">
        <f t="array" ref="AM73">CheckVaRAdditivity(AI73,AD73,X73)</f>
        <v>Subadditive</v>
      </c>
    </row>
    <row r="74" spans="1:39" x14ac:dyDescent="0.3">
      <c r="A74" s="2">
        <v>156.38635300000001</v>
      </c>
      <c r="B74" s="3">
        <f t="shared" si="9"/>
        <v>1.6738748617083885E-2</v>
      </c>
      <c r="D74" s="2">
        <v>284.78784200000001</v>
      </c>
      <c r="E74" s="3">
        <f t="shared" si="10"/>
        <v>-3.1261670087465845E-2</v>
      </c>
      <c r="G74" s="3">
        <f t="shared" si="8"/>
        <v>4.286650929681347E-3</v>
      </c>
      <c r="I74" s="5">
        <f t="shared" si="3"/>
        <v>63</v>
      </c>
      <c r="J74" s="3" cm="1">
        <f t="array" ref="J74">TwoAssetsVaR($N$6,$P$8,J$11,$I74)*$N$3</f>
        <v>141605.88587698719</v>
      </c>
      <c r="K74" s="3" cm="1">
        <f t="array" ref="K74">TwoAssetsVaR($N$6,$P$8,K$11,$I74)*$N$3</f>
        <v>260272.15579960804</v>
      </c>
      <c r="L74" s="3" cm="1">
        <f t="array" ref="L74">TwoAssetsVaR($N$6,$P$8,L$11,$I74)*$N$3</f>
        <v>303713.50659769092</v>
      </c>
      <c r="U74" s="5">
        <f t="shared" si="4"/>
        <v>63</v>
      </c>
      <c r="V74" s="3" cm="1">
        <f t="array" ref="V74">TwoAssetsVaR($N$6,$N$8,V$11,$U74)*$N$3</f>
        <v>24337.204389729337</v>
      </c>
      <c r="W74" s="3" cm="1">
        <f t="array" ref="W74">TwoAssetsVaR($N$6,$N$8,W$11,$U74)*$N$3</f>
        <v>94416.821683909569</v>
      </c>
      <c r="X74" s="3" cm="1">
        <f t="array" ref="X74">TwoAssetsVaR($N$6,$N$8,X$11,$U74)*$N$3</f>
        <v>120071.56958031705</v>
      </c>
      <c r="AA74" s="5">
        <f t="shared" si="5"/>
        <v>63</v>
      </c>
      <c r="AB74" s="3" cm="1">
        <f t="array" ref="AB74">SingleAssetVaR($J$3,$J$4,AB$11,$AA74)*$N$3</f>
        <v>148277.17351756987</v>
      </c>
      <c r="AC74" s="3" cm="1">
        <f t="array" ref="AC74">SingleAssetVaR($J$3,$J$4,AC$11,$AA74)*$N$3</f>
        <v>217886.1937802911</v>
      </c>
      <c r="AD74" s="3" cm="1">
        <f t="array" ref="AD74">SingleAssetVaR($J$3,$J$4,AD$11,$AA74)*$N$3</f>
        <v>243368.66550469556</v>
      </c>
      <c r="AF74" s="5">
        <f t="shared" si="6"/>
        <v>63</v>
      </c>
      <c r="AG74" s="3" cm="1">
        <f t="array" ref="AG74">SingleAssetVaR($K$3,$K$4,AG$11,$AF74)*$N$3</f>
        <v>105826.23617402652</v>
      </c>
      <c r="AH74" s="3" cm="1">
        <f t="array" ref="AH74">SingleAssetVaR($K$3,$K$4,AH$11,$AF74)*$N$3</f>
        <v>228578.21246167275</v>
      </c>
      <c r="AI74" s="3" cm="1">
        <f t="array" ref="AI74">SingleAssetVaR($K$3,$K$4,AI$11,$AF74)*$N$3</f>
        <v>273515.25873899128</v>
      </c>
      <c r="AK74" s="3" t="str" cm="1">
        <f t="array" ref="AK74">CheckVaRAdditivity(AG74,AB74,V74)</f>
        <v>Subadditive</v>
      </c>
      <c r="AL74" s="3" t="str" cm="1">
        <f t="array" ref="AL74">CheckVaRAdditivity(AH74,AC74,W74)</f>
        <v>Subadditive</v>
      </c>
      <c r="AM74" s="3" t="str" cm="1">
        <f t="array" ref="AM74">CheckVaRAdditivity(AI74,AD74,X74)</f>
        <v>Subadditive</v>
      </c>
    </row>
    <row r="75" spans="1:39" x14ac:dyDescent="0.3">
      <c r="A75" s="2">
        <v>157.51213100000001</v>
      </c>
      <c r="B75" s="3">
        <f t="shared" si="9"/>
        <v>7.1986971906685283E-3</v>
      </c>
      <c r="D75" s="2">
        <v>282.94979899999998</v>
      </c>
      <c r="E75" s="3">
        <f t="shared" si="10"/>
        <v>-6.454078190599258E-3</v>
      </c>
      <c r="G75" s="3">
        <f t="shared" si="8"/>
        <v>-1.4228177992165336E-2</v>
      </c>
      <c r="I75" s="5">
        <f t="shared" si="3"/>
        <v>64</v>
      </c>
      <c r="J75" s="3" cm="1">
        <f t="array" ref="J75">TwoAssetsVaR($N$6,$P$8,J$11,$I75)*$N$3</f>
        <v>141571.53183344938</v>
      </c>
      <c r="K75" s="3" cm="1">
        <f t="array" ref="K75">TwoAssetsVaR($N$6,$P$8,K$11,$I75)*$N$3</f>
        <v>261175.88963418032</v>
      </c>
      <c r="L75" s="3" cm="1">
        <f t="array" ref="L75">TwoAssetsVaR($N$6,$P$8,L$11,$I75)*$N$3</f>
        <v>304960.65566406399</v>
      </c>
      <c r="U75" s="5">
        <f t="shared" si="4"/>
        <v>64</v>
      </c>
      <c r="V75" s="3" cm="1">
        <f t="array" ref="V75">TwoAssetsVaR($N$6,$N$8,V$11,$U75)*$N$3</f>
        <v>23375.810769933792</v>
      </c>
      <c r="W75" s="3" cm="1">
        <f t="array" ref="W75">TwoAssetsVaR($N$6,$N$8,W$11,$U75)*$N$3</f>
        <v>94009.425754688884</v>
      </c>
      <c r="X75" s="3" cm="1">
        <f t="array" ref="X75">TwoAssetsVaR($N$6,$N$8,X$11,$U75)*$N$3</f>
        <v>119866.98113828951</v>
      </c>
      <c r="AA75" s="5">
        <f t="shared" si="5"/>
        <v>64</v>
      </c>
      <c r="AB75" s="3" cm="1">
        <f t="array" ref="AB75">SingleAssetVaR($J$3,$J$4,AB$11,$AA75)*$N$3</f>
        <v>149292.13102863211</v>
      </c>
      <c r="AC75" s="3" cm="1">
        <f t="array" ref="AC75">SingleAssetVaR($J$3,$J$4,AC$11,$AA75)*$N$3</f>
        <v>219451.42878940026</v>
      </c>
      <c r="AD75" s="3" cm="1">
        <f t="array" ref="AD75">SingleAssetVaR($J$3,$J$4,AD$11,$AA75)*$N$3</f>
        <v>245135.34611283246</v>
      </c>
      <c r="AF75" s="5">
        <f t="shared" si="6"/>
        <v>64</v>
      </c>
      <c r="AG75" s="3" cm="1">
        <f t="array" ref="AG75">SingleAssetVaR($K$3,$K$4,AG$11,$AF75)*$N$3</f>
        <v>105145.37911931069</v>
      </c>
      <c r="AH75" s="3" cm="1">
        <f t="array" ref="AH75">SingleAssetVaR($K$3,$K$4,AH$11,$AF75)*$N$3</f>
        <v>228867.74186171431</v>
      </c>
      <c r="AI75" s="3" cm="1">
        <f t="array" ref="AI75">SingleAssetVaR($K$3,$K$4,AI$11,$AF75)*$N$3</f>
        <v>274160.02723450895</v>
      </c>
      <c r="AK75" s="3" t="str" cm="1">
        <f t="array" ref="AK75">CheckVaRAdditivity(AG75,AB75,V75)</f>
        <v>Subadditive</v>
      </c>
      <c r="AL75" s="3" t="str" cm="1">
        <f t="array" ref="AL75">CheckVaRAdditivity(AH75,AC75,W75)</f>
        <v>Subadditive</v>
      </c>
      <c r="AM75" s="3" t="str" cm="1">
        <f t="array" ref="AM75">CheckVaRAdditivity(AI75,AD75,X75)</f>
        <v>Subadditive</v>
      </c>
    </row>
    <row r="76" spans="1:39" x14ac:dyDescent="0.3">
      <c r="A76" s="2">
        <v>156.98350500000001</v>
      </c>
      <c r="B76" s="3">
        <f t="shared" si="9"/>
        <v>-3.3560970615019023E-3</v>
      </c>
      <c r="D76" s="2">
        <v>289.59274299999998</v>
      </c>
      <c r="E76" s="3">
        <f t="shared" si="10"/>
        <v>2.347746499017658E-2</v>
      </c>
      <c r="G76" s="3">
        <f t="shared" si="8"/>
        <v>1.566180946786757E-2</v>
      </c>
      <c r="I76" s="5">
        <f t="shared" si="3"/>
        <v>65</v>
      </c>
      <c r="J76" s="3" cm="1">
        <f t="array" ref="J76">TwoAssetsVaR($N$6,$P$8,J$11,$I76)*$N$3</f>
        <v>141519.55700443196</v>
      </c>
      <c r="K76" s="3" cm="1">
        <f t="array" ref="K76">TwoAssetsVaR($N$6,$P$8,K$11,$I76)*$N$3</f>
        <v>262054.70205558391</v>
      </c>
      <c r="L76" s="3" cm="1">
        <f t="array" ref="L76">TwoAssetsVaR($N$6,$P$8,L$11,$I76)*$N$3</f>
        <v>306180.21070331748</v>
      </c>
      <c r="U76" s="5">
        <f t="shared" si="4"/>
        <v>65</v>
      </c>
      <c r="V76" s="3" cm="1">
        <f t="array" ref="V76">TwoAssetsVaR($N$6,$N$8,V$11,$U76)*$N$3</f>
        <v>22404.011009424183</v>
      </c>
      <c r="W76" s="3" cm="1">
        <f t="array" ref="W76">TwoAssetsVaR($N$6,$N$8,W$11,$U76)*$N$3</f>
        <v>93587.312222071472</v>
      </c>
      <c r="X76" s="3" cm="1">
        <f t="array" ref="X76">TwoAssetsVaR($N$6,$N$8,X$11,$U76)*$N$3</f>
        <v>119646.09675250809</v>
      </c>
      <c r="AA76" s="5">
        <f t="shared" si="5"/>
        <v>65</v>
      </c>
      <c r="AB76" s="3" cm="1">
        <f t="array" ref="AB76">SingleAssetVaR($J$3,$J$4,AB$11,$AA76)*$N$3</f>
        <v>150296.75227805664</v>
      </c>
      <c r="AC76" s="3" cm="1">
        <f t="array" ref="AC76">SingleAssetVaR($J$3,$J$4,AC$11,$AA76)*$N$3</f>
        <v>221002.0450264239</v>
      </c>
      <c r="AD76" s="3" cm="1">
        <f t="array" ref="AD76">SingleAssetVaR($J$3,$J$4,AD$11,$AA76)*$N$3</f>
        <v>246885.84020736147</v>
      </c>
      <c r="AF76" s="5">
        <f t="shared" si="6"/>
        <v>65</v>
      </c>
      <c r="AG76" s="3" cm="1">
        <f t="array" ref="AG76">SingleAssetVaR($K$3,$K$4,AG$11,$AF76)*$N$3</f>
        <v>104446.29459150783</v>
      </c>
      <c r="AH76" s="3" cm="1">
        <f t="array" ref="AH76">SingleAssetVaR($K$3,$K$4,AH$11,$AF76)*$N$3</f>
        <v>229131.49179872626</v>
      </c>
      <c r="AI76" s="3" cm="1">
        <f t="array" ref="AI76">SingleAssetVaR($K$3,$K$4,AI$11,$AF76)*$N$3</f>
        <v>274776.25163434655</v>
      </c>
      <c r="AK76" s="3" t="str" cm="1">
        <f t="array" ref="AK76">CheckVaRAdditivity(AG76,AB76,V76)</f>
        <v>Subadditive</v>
      </c>
      <c r="AL76" s="3" t="str" cm="1">
        <f t="array" ref="AL76">CheckVaRAdditivity(AH76,AC76,W76)</f>
        <v>Subadditive</v>
      </c>
      <c r="AM76" s="3" t="str" cm="1">
        <f t="array" ref="AM76">CheckVaRAdditivity(AI76,AD76,X76)</f>
        <v>Subadditive</v>
      </c>
    </row>
    <row r="77" spans="1:39" x14ac:dyDescent="0.3">
      <c r="A77" s="2">
        <v>155.691284</v>
      </c>
      <c r="B77" s="3">
        <f t="shared" si="9"/>
        <v>-8.2315718457172428E-3</v>
      </c>
      <c r="D77" s="2">
        <v>287.29519699999997</v>
      </c>
      <c r="E77" s="3">
        <f t="shared" si="10"/>
        <v>-7.9337140019424147E-3</v>
      </c>
      <c r="G77" s="3">
        <f t="shared" si="8"/>
        <v>2.8360566012086169E-2</v>
      </c>
      <c r="I77" s="5">
        <f t="shared" si="3"/>
        <v>66</v>
      </c>
      <c r="J77" s="3" cm="1">
        <f t="array" ref="J77">TwoAssetsVaR($N$6,$P$8,J$11,$I77)*$N$3</f>
        <v>141450.3664955477</v>
      </c>
      <c r="K77" s="3" cm="1">
        <f t="array" ref="K77">TwoAssetsVaR($N$6,$P$8,K$11,$I77)*$N$3</f>
        <v>262909.16601241758</v>
      </c>
      <c r="L77" s="3" cm="1">
        <f t="array" ref="L77">TwoAssetsVaR($N$6,$P$8,L$11,$I77)*$N$3</f>
        <v>307372.80610801443</v>
      </c>
      <c r="U77" s="5">
        <f t="shared" si="4"/>
        <v>66</v>
      </c>
      <c r="V77" s="3" cm="1">
        <f t="array" ref="V77">TwoAssetsVaR($N$6,$N$8,V$11,$U77)*$N$3</f>
        <v>21422.044347592746</v>
      </c>
      <c r="W77" s="3" cm="1">
        <f t="array" ref="W77">TwoAssetsVaR($N$6,$N$8,W$11,$U77)*$N$3</f>
        <v>93150.819446895301</v>
      </c>
      <c r="X77" s="3" cm="1">
        <f t="array" ref="X77">TwoAssetsVaR($N$6,$N$8,X$11,$U77)*$N$3</f>
        <v>119409.29107019189</v>
      </c>
      <c r="AA77" s="5">
        <f t="shared" si="5"/>
        <v>66</v>
      </c>
      <c r="AB77" s="3" cm="1">
        <f t="array" ref="AB77">SingleAssetVaR($J$3,$J$4,AB$11,$AA77)*$N$3</f>
        <v>151291.27489870091</v>
      </c>
      <c r="AC77" s="3" cm="1">
        <f t="array" ref="AC77">SingleAssetVaR($J$3,$J$4,AC$11,$AA77)*$N$3</f>
        <v>222538.37858004717</v>
      </c>
      <c r="AD77" s="3" cm="1">
        <f t="array" ref="AD77">SingleAssetVaR($J$3,$J$4,AD$11,$AA77)*$N$3</f>
        <v>248620.51991967941</v>
      </c>
      <c r="AF77" s="5">
        <f t="shared" si="6"/>
        <v>66</v>
      </c>
      <c r="AG77" s="3" cm="1">
        <f t="array" ref="AG77">SingleAssetVaR($K$3,$K$4,AG$11,$AF77)*$N$3</f>
        <v>103729.40164410794</v>
      </c>
      <c r="AH77" s="3" cm="1">
        <f t="array" ref="AH77">SingleAssetVaR($K$3,$K$4,AH$11,$AF77)*$N$3</f>
        <v>229370.05494805652</v>
      </c>
      <c r="AI77" s="3" cm="1">
        <f t="array" ref="AI77">SingleAssetVaR($K$3,$K$4,AI$11,$AF77)*$N$3</f>
        <v>275364.58817334584</v>
      </c>
      <c r="AK77" s="3" t="str" cm="1">
        <f t="array" ref="AK77">CheckVaRAdditivity(AG77,AB77,V77)</f>
        <v>Subadditive</v>
      </c>
      <c r="AL77" s="3" t="str" cm="1">
        <f t="array" ref="AL77">CheckVaRAdditivity(AH77,AC77,W77)</f>
        <v>Subadditive</v>
      </c>
      <c r="AM77" s="3" t="str" cm="1">
        <f t="array" ref="AM77">CheckVaRAdditivity(AI77,AD77,X77)</f>
        <v>Subadditive</v>
      </c>
    </row>
    <row r="78" spans="1:39" x14ac:dyDescent="0.3">
      <c r="A78" s="2">
        <v>155.89686599999999</v>
      </c>
      <c r="B78" s="3">
        <f t="shared" si="9"/>
        <v>1.3204464291012759E-3</v>
      </c>
      <c r="D78" s="2">
        <v>293.92813100000001</v>
      </c>
      <c r="E78" s="3">
        <f t="shared" si="10"/>
        <v>2.3087521369179156E-2</v>
      </c>
      <c r="G78" s="3">
        <f t="shared" si="8"/>
        <v>-1.0513056457272298E-2</v>
      </c>
      <c r="I78" s="5">
        <f t="shared" ref="I78:I111" si="11">I77+1</f>
        <v>67</v>
      </c>
      <c r="J78" s="3" cm="1">
        <f t="array" ref="J78">TwoAssetsVaR($N$6,$P$8,J$11,$I78)*$N$3</f>
        <v>141364.3501238515</v>
      </c>
      <c r="K78" s="3" cm="1">
        <f t="array" ref="K78">TwoAssetsVaR($N$6,$P$8,K$11,$I78)*$N$3</f>
        <v>263739.83283038117</v>
      </c>
      <c r="L78" s="3" cm="1">
        <f t="array" ref="L78">TwoAssetsVaR($N$6,$P$8,L$11,$I78)*$N$3</f>
        <v>308539.05232894304</v>
      </c>
      <c r="U78" s="5">
        <f t="shared" ref="U78:U111" si="12">U77+1</f>
        <v>67</v>
      </c>
      <c r="V78" s="3" cm="1">
        <f t="array" ref="V78">TwoAssetsVaR($N$6,$N$8,V$11,$U78)*$N$3</f>
        <v>20430.140995012756</v>
      </c>
      <c r="W78" s="3" cm="1">
        <f t="array" ref="W78">TwoAssetsVaR($N$6,$N$8,W$11,$U78)*$N$3</f>
        <v>92700.273020367313</v>
      </c>
      <c r="X78" s="3" cm="1">
        <f t="array" ref="X78">TwoAssetsVaR($N$6,$N$8,X$11,$U78)*$N$3</f>
        <v>119156.92459949241</v>
      </c>
      <c r="AA78" s="5">
        <f t="shared" ref="AA78:AA111" si="13">AA77+1</f>
        <v>67</v>
      </c>
      <c r="AB78" s="3" cm="1">
        <f t="array" ref="AB78">SingleAssetVaR($J$3,$J$4,AB$11,$AA78)*$N$3</f>
        <v>152275.92755523339</v>
      </c>
      <c r="AC78" s="3" cm="1">
        <f t="array" ref="AC78">SingleAssetVaR($J$3,$J$4,AC$11,$AA78)*$N$3</f>
        <v>224060.75285507439</v>
      </c>
      <c r="AD78" s="3" cm="1">
        <f t="array" ref="AD78">SingleAssetVaR($J$3,$J$4,AD$11,$AA78)*$N$3</f>
        <v>250339.74333706166</v>
      </c>
      <c r="AF78" s="5">
        <f t="shared" ref="AF78:AF111" si="14">AF77+1</f>
        <v>67</v>
      </c>
      <c r="AG78" s="3" cm="1">
        <f t="array" ref="AG78">SingleAssetVaR($K$3,$K$4,AG$11,$AF78)*$N$3</f>
        <v>102995.10351565479</v>
      </c>
      <c r="AH78" s="3" cm="1">
        <f t="array" ref="AH78">SingleAssetVaR($K$3,$K$4,AH$11,$AF78)*$N$3</f>
        <v>229584.00161767259</v>
      </c>
      <c r="AI78" s="3" cm="1">
        <f t="array" ref="AI78">SingleAssetVaR($K$3,$K$4,AI$11,$AF78)*$N$3</f>
        <v>275925.66832025285</v>
      </c>
      <c r="AK78" s="3" t="str" cm="1">
        <f t="array" ref="AK78">CheckVaRAdditivity(AG78,AB78,V78)</f>
        <v>Subadditive</v>
      </c>
      <c r="AL78" s="3" t="str" cm="1">
        <f t="array" ref="AL78">CheckVaRAdditivity(AH78,AC78,W78)</f>
        <v>Subadditive</v>
      </c>
      <c r="AM78" s="3" t="str" cm="1">
        <f t="array" ref="AM78">CheckVaRAdditivity(AI78,AD78,X78)</f>
        <v>Subadditive</v>
      </c>
    </row>
    <row r="79" spans="1:39" x14ac:dyDescent="0.3">
      <c r="A79" s="2">
        <v>154.61445599999999</v>
      </c>
      <c r="B79" s="3">
        <f t="shared" si="9"/>
        <v>-8.2260152683248863E-3</v>
      </c>
      <c r="D79" s="2">
        <v>286.44607500000001</v>
      </c>
      <c r="E79" s="3">
        <f t="shared" si="10"/>
        <v>-2.5455392699380651E-2</v>
      </c>
      <c r="G79" s="3">
        <f t="shared" si="8"/>
        <v>-3.6956270333958602E-3</v>
      </c>
      <c r="I79" s="5">
        <f t="shared" si="11"/>
        <v>68</v>
      </c>
      <c r="J79" s="3" cm="1">
        <f t="array" ref="J79">TwoAssetsVaR($N$6,$P$8,J$11,$I79)*$N$3</f>
        <v>141261.88321362875</v>
      </c>
      <c r="K79" s="3" cm="1">
        <f t="array" ref="K79">TwoAssetsVaR($N$6,$P$8,K$11,$I79)*$N$3</f>
        <v>264547.23333777412</v>
      </c>
      <c r="L79" s="3" cm="1">
        <f t="array" ref="L79">TwoAssetsVaR($N$6,$P$8,L$11,$I79)*$N$3</f>
        <v>309679.53712131566</v>
      </c>
      <c r="U79" s="5">
        <f t="shared" si="12"/>
        <v>68</v>
      </c>
      <c r="V79" s="3" cm="1">
        <f t="array" ref="V79">TwoAssetsVaR($N$6,$N$8,V$11,$U79)*$N$3</f>
        <v>19428.522603399568</v>
      </c>
      <c r="W79" s="3" cm="1">
        <f t="array" ref="W79">TwoAssetsVaR($N$6,$N$8,W$11,$U79)*$N$3</f>
        <v>92235.98642873847</v>
      </c>
      <c r="X79" s="3" cm="1">
        <f t="array" ref="X79">TwoAssetsVaR($N$6,$N$8,X$11,$U79)*$N$3</f>
        <v>118889.34444544945</v>
      </c>
      <c r="AA79" s="5">
        <f t="shared" si="13"/>
        <v>68</v>
      </c>
      <c r="AB79" s="3" cm="1">
        <f t="array" ref="AB79">SingleAssetVaR($J$3,$J$4,AB$11,$AA79)*$N$3</f>
        <v>153250.93041093895</v>
      </c>
      <c r="AC79" s="3" cm="1">
        <f t="array" ref="AC79">SingleAssetVaR($J$3,$J$4,AC$11,$AA79)*$N$3</f>
        <v>225569.47923264088</v>
      </c>
      <c r="AD79" s="3" cm="1">
        <f t="array" ref="AD79">SingleAssetVaR($J$3,$J$4,AD$11,$AA79)*$N$3</f>
        <v>252043.85523367638</v>
      </c>
      <c r="AF79" s="5">
        <f t="shared" si="14"/>
        <v>68</v>
      </c>
      <c r="AG79" s="3" cm="1">
        <f t="array" ref="AG79">SingleAssetVaR($K$3,$K$4,AG$11,$AF79)*$N$3</f>
        <v>102243.78845293347</v>
      </c>
      <c r="AH79" s="3" cm="1">
        <f t="array" ref="AH79">SingleAssetVaR($K$3,$K$4,AH$11,$AF79)*$N$3</f>
        <v>229773.88091241178</v>
      </c>
      <c r="AI79" s="3" cm="1">
        <f t="array" ref="AI79">SingleAssetVaR($K$3,$K$4,AI$11,$AF79)*$N$3</f>
        <v>276460.10006682423</v>
      </c>
      <c r="AK79" s="3" t="str" cm="1">
        <f t="array" ref="AK79">CheckVaRAdditivity(AG79,AB79,V79)</f>
        <v>Subadditive</v>
      </c>
      <c r="AL79" s="3" t="str" cm="1">
        <f t="array" ref="AL79">CheckVaRAdditivity(AH79,AC79,W79)</f>
        <v>Subadditive</v>
      </c>
      <c r="AM79" s="3" t="str" cm="1">
        <f t="array" ref="AM79">CheckVaRAdditivity(AI79,AD79,X79)</f>
        <v>Subadditive</v>
      </c>
    </row>
    <row r="80" spans="1:39" x14ac:dyDescent="0.3">
      <c r="A80" s="2">
        <v>155.76960800000001</v>
      </c>
      <c r="B80" s="3">
        <f t="shared" si="9"/>
        <v>7.4711772099758603E-3</v>
      </c>
      <c r="D80" s="2">
        <v>285.19738799999999</v>
      </c>
      <c r="E80" s="3">
        <f t="shared" si="10"/>
        <v>-4.3592393437404163E-3</v>
      </c>
      <c r="G80" s="3">
        <f t="shared" si="8"/>
        <v>1.2588844844809858E-3</v>
      </c>
      <c r="I80" s="5">
        <f t="shared" si="11"/>
        <v>69</v>
      </c>
      <c r="J80" s="3" cm="1">
        <f t="array" ref="J80">TwoAssetsVaR($N$6,$P$8,J$11,$I80)*$N$3</f>
        <v>141143.32733970706</v>
      </c>
      <c r="K80" s="3" cm="1">
        <f t="array" ref="K80">TwoAssetsVaR($N$6,$P$8,K$11,$I80)*$N$3</f>
        <v>265331.87891677493</v>
      </c>
      <c r="L80" s="3" cm="1">
        <f t="array" ref="L80">TwoAssetsVaR($N$6,$P$8,L$11,$I80)*$N$3</f>
        <v>310794.82670878951</v>
      </c>
      <c r="U80" s="5">
        <f t="shared" si="12"/>
        <v>69</v>
      </c>
      <c r="V80" s="3" cm="1">
        <f t="array" ref="V80">TwoAssetsVaR($N$6,$N$8,V$11,$U80)*$N$3</f>
        <v>18417.402704581185</v>
      </c>
      <c r="W80" s="3" cm="1">
        <f t="array" ref="W80">TwoAssetsVaR($N$6,$N$8,W$11,$U80)*$N$3</f>
        <v>91758.261674147987</v>
      </c>
      <c r="X80" s="3" cm="1">
        <f t="array" ref="X80">TwoAssetsVaR($N$6,$N$8,X$11,$U80)*$N$3</f>
        <v>118606.88499741581</v>
      </c>
      <c r="AA80" s="5">
        <f t="shared" si="13"/>
        <v>69</v>
      </c>
      <c r="AB80" s="3" cm="1">
        <f t="array" ref="AB80">SingleAssetVaR($J$3,$J$4,AB$11,$AA80)*$N$3</f>
        <v>154216.49556374157</v>
      </c>
      <c r="AC80" s="3" cm="1">
        <f t="array" ref="AC80">SingleAssetVaR($J$3,$J$4,AC$11,$AA80)*$N$3</f>
        <v>227064.85768688796</v>
      </c>
      <c r="AD80" s="3" cm="1">
        <f t="array" ref="AD80">SingleAssetVaR($J$3,$J$4,AD$11,$AA80)*$N$3</f>
        <v>253733.18775339253</v>
      </c>
      <c r="AF80" s="5">
        <f t="shared" si="14"/>
        <v>69</v>
      </c>
      <c r="AG80" s="3" cm="1">
        <f t="array" ref="AG80">SingleAssetVaR($K$3,$K$4,AG$11,$AF80)*$N$3</f>
        <v>101475.83047987412</v>
      </c>
      <c r="AH80" s="3" cm="1">
        <f t="array" ref="AH80">SingleAssetVaR($K$3,$K$4,AH$11,$AF80)*$N$3</f>
        <v>229940.22182145613</v>
      </c>
      <c r="AI80" s="3" cm="1">
        <f t="array" ref="AI80">SingleAssetVaR($K$3,$K$4,AI$11,$AF80)*$N$3</f>
        <v>276968.46913192497</v>
      </c>
      <c r="AK80" s="3" t="str" cm="1">
        <f t="array" ref="AK80">CheckVaRAdditivity(AG80,AB80,V80)</f>
        <v>Subadditive</v>
      </c>
      <c r="AL80" s="3" t="str" cm="1">
        <f t="array" ref="AL80">CheckVaRAdditivity(AH80,AC80,W80)</f>
        <v>Subadditive</v>
      </c>
      <c r="AM80" s="3" t="str" cm="1">
        <f t="array" ref="AM80">CheckVaRAdditivity(AI80,AD80,X80)</f>
        <v>Subadditive</v>
      </c>
    </row>
    <row r="81" spans="1:39" x14ac:dyDescent="0.3">
      <c r="A81" s="2">
        <v>156.83667</v>
      </c>
      <c r="B81" s="3">
        <f t="shared" si="9"/>
        <v>6.8502579784369289E-3</v>
      </c>
      <c r="D81" s="2">
        <v>289.95236199999999</v>
      </c>
      <c r="E81" s="3">
        <f t="shared" si="10"/>
        <v>1.6672572050344319E-2</v>
      </c>
      <c r="G81" s="3">
        <f t="shared" si="8"/>
        <v>1.9304178075933067E-2</v>
      </c>
      <c r="I81" s="5">
        <f t="shared" si="11"/>
        <v>70</v>
      </c>
      <c r="J81" s="3" cm="1">
        <f t="array" ref="J81">TwoAssetsVaR($N$6,$P$8,J$11,$I81)*$N$3</f>
        <v>141009.03102245767</v>
      </c>
      <c r="K81" s="3" cm="1">
        <f t="array" ref="K81">TwoAssetsVaR($N$6,$P$8,K$11,$I81)*$N$3</f>
        <v>266094.26248639601</v>
      </c>
      <c r="L81" s="3" cm="1">
        <f t="array" ref="L81">TwoAssetsVaR($N$6,$P$8,L$11,$I81)*$N$3</f>
        <v>311885.46687183442</v>
      </c>
      <c r="U81" s="5">
        <f t="shared" si="12"/>
        <v>70</v>
      </c>
      <c r="V81" s="3" cm="1">
        <f t="array" ref="V81">TwoAssetsVaR($N$6,$N$8,V$11,$U81)*$N$3</f>
        <v>17396.98712093876</v>
      </c>
      <c r="W81" s="3" cm="1">
        <f t="array" ref="W81">TwoAssetsVaR($N$6,$N$8,W$11,$U81)*$N$3</f>
        <v>91267.389855117348</v>
      </c>
      <c r="X81" s="3" cm="1">
        <f t="array" ref="X81">TwoAssetsVaR($N$6,$N$8,X$11,$U81)*$N$3</f>
        <v>118309.86857180439</v>
      </c>
      <c r="AA81" s="5">
        <f t="shared" si="13"/>
        <v>70</v>
      </c>
      <c r="AB81" s="3" cm="1">
        <f t="array" ref="AB81">SingleAssetVaR($J$3,$J$4,AB$11,$AA81)*$N$3</f>
        <v>155172.82745388875</v>
      </c>
      <c r="AC81" s="3" cm="1">
        <f t="array" ref="AC81">SingleAssetVaR($J$3,$J$4,AC$11,$AA81)*$N$3</f>
        <v>228547.17736155924</v>
      </c>
      <c r="AD81" s="3" cm="1">
        <f t="array" ref="AD81">SingleAssetVaR($J$3,$J$4,AD$11,$AA81)*$N$3</f>
        <v>255408.06104821144</v>
      </c>
      <c r="AF81" s="5">
        <f t="shared" si="14"/>
        <v>70</v>
      </c>
      <c r="AG81" s="3" cm="1">
        <f t="array" ref="AG81">SingleAssetVaR($K$3,$K$4,AG$11,$AF81)*$N$3</f>
        <v>100691.59011648287</v>
      </c>
      <c r="AH81" s="3" cm="1">
        <f t="array" ref="AH81">SingleAssetVaR($K$3,$K$4,AH$11,$AF81)*$N$3</f>
        <v>230083.5342351303</v>
      </c>
      <c r="AI81" s="3" cm="1">
        <f t="array" ref="AI81">SingleAssetVaR($K$3,$K$4,AI$11,$AF81)*$N$3</f>
        <v>277451.34008736938</v>
      </c>
      <c r="AK81" s="3" t="str" cm="1">
        <f t="array" ref="AK81">CheckVaRAdditivity(AG81,AB81,V81)</f>
        <v>Subadditive</v>
      </c>
      <c r="AL81" s="3" t="str" cm="1">
        <f t="array" ref="AL81">CheckVaRAdditivity(AH81,AC81,W81)</f>
        <v>Subadditive</v>
      </c>
      <c r="AM81" s="3" t="str" cm="1">
        <f t="array" ref="AM81">CheckVaRAdditivity(AI81,AD81,X81)</f>
        <v>Subadditive</v>
      </c>
    </row>
    <row r="82" spans="1:39" x14ac:dyDescent="0.3">
      <c r="A82" s="2">
        <v>156.59193400000001</v>
      </c>
      <c r="B82" s="3">
        <f t="shared" si="9"/>
        <v>-1.5604513918842384E-3</v>
      </c>
      <c r="D82" s="2">
        <v>297.67416400000002</v>
      </c>
      <c r="E82" s="3">
        <f t="shared" si="10"/>
        <v>2.663127814078654E-2</v>
      </c>
      <c r="G82" s="3">
        <f t="shared" si="8"/>
        <v>-4.636886238941134E-3</v>
      </c>
      <c r="I82" s="5">
        <f t="shared" si="11"/>
        <v>71</v>
      </c>
      <c r="J82" s="3" cm="1">
        <f t="array" ref="J82">TwoAssetsVaR($N$6,$P$8,J$11,$I82)*$N$3</f>
        <v>140859.33037827211</v>
      </c>
      <c r="K82" s="3" cm="1">
        <f t="array" ref="K82">TwoAssetsVaR($N$6,$P$8,K$11,$I82)*$N$3</f>
        <v>266834.85942246375</v>
      </c>
      <c r="L82" s="3" cm="1">
        <f t="array" ref="L82">TwoAssetsVaR($N$6,$P$8,L$11,$I82)*$N$3</f>
        <v>312951.98396637425</v>
      </c>
      <c r="U82" s="5">
        <f t="shared" si="12"/>
        <v>71</v>
      </c>
      <c r="V82" s="3" cm="1">
        <f t="array" ref="V82">TwoAssetsVaR($N$6,$N$8,V$11,$U82)*$N$3</f>
        <v>16367.474349552404</v>
      </c>
      <c r="W82" s="3" cm="1">
        <f t="array" ref="W82">TwoAssetsVaR($N$6,$N$8,W$11,$U82)*$N$3</f>
        <v>90763.651709854938</v>
      </c>
      <c r="X82" s="3" cm="1">
        <f t="array" ref="X82">TwoAssetsVaR($N$6,$N$8,X$11,$U82)*$N$3</f>
        <v>117998.60601365764</v>
      </c>
      <c r="AA82" s="5">
        <f t="shared" si="13"/>
        <v>71</v>
      </c>
      <c r="AB82" s="3" cm="1">
        <f t="array" ref="AB82">SingleAssetVaR($J$3,$J$4,AB$11,$AA82)*$N$3</f>
        <v>156120.12324551749</v>
      </c>
      <c r="AC82" s="3" cm="1">
        <f t="array" ref="AC82">SingleAssetVaR($J$3,$J$4,AC$11,$AA82)*$N$3</f>
        <v>230016.71710965617</v>
      </c>
      <c r="AD82" s="3" cm="1">
        <f t="array" ref="AD82">SingleAssetVaR($J$3,$J$4,AD$11,$AA82)*$N$3</f>
        <v>257068.78387579595</v>
      </c>
      <c r="AF82" s="5">
        <f t="shared" si="14"/>
        <v>71</v>
      </c>
      <c r="AG82" s="3" cm="1">
        <f t="array" ref="AG82">SingleAssetVaR($K$3,$K$4,AG$11,$AF82)*$N$3</f>
        <v>99891.41505171411</v>
      </c>
      <c r="AH82" s="3" cm="1">
        <f t="array" ref="AH82">SingleAssetVaR($K$3,$K$4,AH$11,$AF82)*$N$3</f>
        <v>230204.30989655753</v>
      </c>
      <c r="AI82" s="3" cm="1">
        <f t="array" ref="AI82">SingleAssetVaR($K$3,$K$4,AI$11,$AF82)*$N$3</f>
        <v>277909.25741163408</v>
      </c>
      <c r="AK82" s="3" t="str" cm="1">
        <f t="array" ref="AK82">CheckVaRAdditivity(AG82,AB82,V82)</f>
        <v>Subadditive</v>
      </c>
      <c r="AL82" s="3" t="str" cm="1">
        <f t="array" ref="AL82">CheckVaRAdditivity(AH82,AC82,W82)</f>
        <v>Subadditive</v>
      </c>
      <c r="AM82" s="3" t="str" cm="1">
        <f t="array" ref="AM82">CheckVaRAdditivity(AI82,AD82,X82)</f>
        <v>Subadditive</v>
      </c>
    </row>
    <row r="83" spans="1:39" x14ac:dyDescent="0.3">
      <c r="A83" s="2">
        <v>156.80729700000001</v>
      </c>
      <c r="B83" s="3">
        <f t="shared" si="9"/>
        <v>1.3753134947550774E-3</v>
      </c>
      <c r="D83" s="2">
        <v>294.78723100000002</v>
      </c>
      <c r="E83" s="3">
        <f t="shared" si="10"/>
        <v>-9.698298841951225E-3</v>
      </c>
      <c r="G83" s="3">
        <f t="shared" si="8"/>
        <v>-3.0444963421794743E-3</v>
      </c>
      <c r="I83" s="5">
        <f t="shared" si="11"/>
        <v>72</v>
      </c>
      <c r="J83" s="3" cm="1">
        <f t="array" ref="J83">TwoAssetsVaR($N$6,$P$8,J$11,$I83)*$N$3</f>
        <v>140694.54972894941</v>
      </c>
      <c r="K83" s="3" cm="1">
        <f t="array" ref="K83">TwoAssetsVaR($N$6,$P$8,K$11,$I83)*$N$3</f>
        <v>267554.12841948797</v>
      </c>
      <c r="L83" s="3" cm="1">
        <f t="array" ref="L83">TwoAssetsVaR($N$6,$P$8,L$11,$I83)*$N$3</f>
        <v>313994.88587808359</v>
      </c>
      <c r="U83" s="5">
        <f t="shared" si="12"/>
        <v>72</v>
      </c>
      <c r="V83" s="3" cm="1">
        <f t="array" ref="V83">TwoAssetsVaR($N$6,$N$8,V$11,$U83)*$N$3</f>
        <v>15329.055922081136</v>
      </c>
      <c r="W83" s="3" cm="1">
        <f t="array" ref="W83">TwoAssetsVaR($N$6,$N$8,W$11,$U83)*$N$3</f>
        <v>90247.318125241232</v>
      </c>
      <c r="X83" s="3" cm="1">
        <f t="array" ref="X83">TwoAssetsVaR($N$6,$N$8,X$11,$U83)*$N$3</f>
        <v>117673.3972602173</v>
      </c>
      <c r="AA83" s="5">
        <f t="shared" si="13"/>
        <v>72</v>
      </c>
      <c r="AB83" s="3" cm="1">
        <f t="array" ref="AB83">SingleAssetVaR($J$3,$J$4,AB$11,$AA83)*$N$3</f>
        <v>157058.57318411794</v>
      </c>
      <c r="AC83" s="3" cm="1">
        <f t="array" ref="AC83">SingleAssetVaR($J$3,$J$4,AC$11,$AA83)*$N$3</f>
        <v>231473.74599900589</v>
      </c>
      <c r="AD83" s="3" cm="1">
        <f t="array" ref="AD83">SingleAssetVaR($J$3,$J$4,AD$11,$AA83)*$N$3</f>
        <v>258715.65415925617</v>
      </c>
      <c r="AF83" s="5">
        <f t="shared" si="14"/>
        <v>72</v>
      </c>
      <c r="AG83" s="3" cm="1">
        <f t="array" ref="AG83">SingleAssetVaR($K$3,$K$4,AG$11,$AF83)*$N$3</f>
        <v>99075.640773839405</v>
      </c>
      <c r="AH83" s="3" cm="1">
        <f t="array" ref="AH83">SingleAssetVaR($K$3,$K$4,AH$11,$AF83)*$N$3</f>
        <v>230303.0232932026</v>
      </c>
      <c r="AI83" s="3" cm="1">
        <f t="array" ref="AI83">SingleAssetVaR($K$3,$K$4,AI$11,$AF83)*$N$3</f>
        <v>278342.74647701165</v>
      </c>
      <c r="AK83" s="3" t="str" cm="1">
        <f t="array" ref="AK83">CheckVaRAdditivity(AG83,AB83,V83)</f>
        <v>Subadditive</v>
      </c>
      <c r="AL83" s="3" t="str" cm="1">
        <f t="array" ref="AL83">CheckVaRAdditivity(AH83,AC83,W83)</f>
        <v>Subadditive</v>
      </c>
      <c r="AM83" s="3" t="str" cm="1">
        <f t="array" ref="AM83">CheckVaRAdditivity(AI83,AD83,X83)</f>
        <v>Subadditive</v>
      </c>
    </row>
    <row r="84" spans="1:39" x14ac:dyDescent="0.3">
      <c r="A84" s="2">
        <v>157.707932</v>
      </c>
      <c r="B84" s="3">
        <f t="shared" si="9"/>
        <v>5.743578374417066E-3</v>
      </c>
      <c r="D84" s="2">
        <v>295.57641599999999</v>
      </c>
      <c r="E84" s="3">
        <f t="shared" si="10"/>
        <v>2.6771342751951656E-3</v>
      </c>
      <c r="G84" s="3">
        <f t="shared" si="8"/>
        <v>-1.9021101996388942E-3</v>
      </c>
      <c r="I84" s="5">
        <f t="shared" si="11"/>
        <v>73</v>
      </c>
      <c r="J84" s="3" cm="1">
        <f t="array" ref="J84">TwoAssetsVaR($N$6,$P$8,J$11,$I84)*$N$3</f>
        <v>140515.00217312347</v>
      </c>
      <c r="K84" s="3" cm="1">
        <f t="array" ref="K84">TwoAssetsVaR($N$6,$P$8,K$11,$I84)*$N$3</f>
        <v>268252.51229884138</v>
      </c>
      <c r="L84" s="3" cm="1">
        <f t="array" ref="L84">TwoAssetsVaR($N$6,$P$8,L$11,$I84)*$N$3</f>
        <v>315014.6629172386</v>
      </c>
      <c r="U84" s="5">
        <f t="shared" si="12"/>
        <v>73</v>
      </c>
      <c r="V84" s="3" cm="1">
        <f t="array" ref="V84">TwoAssetsVaR($N$6,$N$8,V$11,$U84)*$N$3</f>
        <v>14281.916742225601</v>
      </c>
      <c r="W84" s="3" cm="1">
        <f t="array" ref="W84">TwoAssetsVaR($N$6,$N$8,W$11,$U84)*$N$3</f>
        <v>89718.650614108599</v>
      </c>
      <c r="X84" s="3" cm="1">
        <f t="array" ref="X84">TwoAssetsVaR($N$6,$N$8,X$11,$U84)*$N$3</f>
        <v>117334.53186938849</v>
      </c>
      <c r="AA84" s="5">
        <f t="shared" si="13"/>
        <v>73</v>
      </c>
      <c r="AB84" s="3" cm="1">
        <f t="array" ref="AB84">SingleAssetVaR($J$3,$J$4,AB$11,$AA84)*$N$3</f>
        <v>157988.36093172955</v>
      </c>
      <c r="AC84" s="3" cm="1">
        <f t="array" ref="AC84">SingleAssetVaR($J$3,$J$4,AC$11,$AA84)*$N$3</f>
        <v>232918.52378633592</v>
      </c>
      <c r="AD84" s="3" cm="1">
        <f t="array" ref="AD84">SingleAssetVaR($J$3,$J$4,AD$11,$AA84)*$N$3</f>
        <v>260348.95951206473</v>
      </c>
      <c r="AF84" s="5">
        <f t="shared" si="14"/>
        <v>73</v>
      </c>
      <c r="AG84" s="3" cm="1">
        <f t="array" ref="AG84">SingleAssetVaR($K$3,$K$4,AG$11,$AF84)*$N$3</f>
        <v>98244.591161548989</v>
      </c>
      <c r="AH84" s="3" cm="1">
        <f t="array" ref="AH84">SingleAssetVaR($K$3,$K$4,AH$11,$AF84)*$N$3</f>
        <v>230380.13249287783</v>
      </c>
      <c r="AI84" s="3" cm="1">
        <f t="array" ref="AI84">SingleAssetVaR($K$3,$K$4,AI$11,$AF84)*$N$3</f>
        <v>278752.31447527127</v>
      </c>
      <c r="AK84" s="3" t="str" cm="1">
        <f t="array" ref="AK84">CheckVaRAdditivity(AG84,AB84,V84)</f>
        <v>Subadditive</v>
      </c>
      <c r="AL84" s="3" t="str" cm="1">
        <f t="array" ref="AL84">CheckVaRAdditivity(AH84,AC84,W84)</f>
        <v>Subadditive</v>
      </c>
      <c r="AM84" s="3" t="str" cm="1">
        <f t="array" ref="AM84">CheckVaRAdditivity(AI84,AD84,X84)</f>
        <v>Subadditive</v>
      </c>
    </row>
    <row r="85" spans="1:39" x14ac:dyDescent="0.3">
      <c r="A85" s="2">
        <v>160.84054599999999</v>
      </c>
      <c r="B85" s="3">
        <f t="shared" si="9"/>
        <v>1.9863388989210699E-2</v>
      </c>
      <c r="D85" s="2">
        <v>296.06588699999998</v>
      </c>
      <c r="E85" s="3">
        <f t="shared" si="10"/>
        <v>1.6559880068373941E-3</v>
      </c>
      <c r="G85" s="3">
        <f t="shared" si="8"/>
        <v>-2.519106301040068E-3</v>
      </c>
      <c r="I85" s="5">
        <f t="shared" si="11"/>
        <v>74</v>
      </c>
      <c r="J85" s="3" cm="1">
        <f t="array" ref="J85">TwoAssetsVaR($N$6,$P$8,J$11,$I85)*$N$3</f>
        <v>140320.99012258151</v>
      </c>
      <c r="K85" s="3" cm="1">
        <f t="array" ref="K85">TwoAssetsVaR($N$6,$P$8,K$11,$I85)*$N$3</f>
        <v>268930.43876728584</v>
      </c>
      <c r="L85" s="3" cm="1">
        <f t="array" ref="L85">TwoAssetsVaR($N$6,$P$8,L$11,$I85)*$N$3</f>
        <v>316011.78865858808</v>
      </c>
      <c r="U85" s="5">
        <f t="shared" si="12"/>
        <v>74</v>
      </c>
      <c r="V85" s="3" cm="1">
        <f t="array" ref="V85">TwoAssetsVaR($N$6,$N$8,V$11,$U85)*$N$3</f>
        <v>13226.235402456228</v>
      </c>
      <c r="W85" s="3" cm="1">
        <f t="array" ref="W85">TwoAssetsVaR($N$6,$N$8,W$11,$U85)*$N$3</f>
        <v>89177.901763196147</v>
      </c>
      <c r="X85" s="3" cm="1">
        <f t="array" ref="X85">TwoAssetsVaR($N$6,$N$8,X$11,$U85)*$N$3</f>
        <v>116982.28951573386</v>
      </c>
      <c r="AA85" s="5">
        <f t="shared" si="13"/>
        <v>74</v>
      </c>
      <c r="AB85" s="3" cm="1">
        <f t="array" ref="AB85">SingleAssetVaR($J$3,$J$4,AB$11,$AA85)*$N$3</f>
        <v>158909.66388154283</v>
      </c>
      <c r="AC85" s="3" cm="1">
        <f t="array" ref="AC85">SingleAssetVaR($J$3,$J$4,AC$11,$AA85)*$N$3</f>
        <v>234351.30136222072</v>
      </c>
      <c r="AD85" s="3" cm="1">
        <f t="array" ref="AD85">SingleAssetVaR($J$3,$J$4,AD$11,$AA85)*$N$3</f>
        <v>261968.97773071998</v>
      </c>
      <c r="AF85" s="5">
        <f t="shared" si="14"/>
        <v>74</v>
      </c>
      <c r="AG85" s="3" cm="1">
        <f t="array" ref="AG85">SingleAssetVaR($K$3,$K$4,AG$11,$AF85)*$N$3</f>
        <v>97398.579038736061</v>
      </c>
      <c r="AH85" s="3" cm="1">
        <f t="array" ref="AH85">SingleAssetVaR($K$3,$K$4,AH$11,$AF85)*$N$3</f>
        <v>230436.07992838506</v>
      </c>
      <c r="AI85" s="3" cm="1">
        <f t="array" ref="AI85">SingleAssetVaR($K$3,$K$4,AI$11,$AF85)*$N$3</f>
        <v>279138.45128644712</v>
      </c>
      <c r="AK85" s="3" t="str" cm="1">
        <f t="array" ref="AK85">CheckVaRAdditivity(AG85,AB85,V85)</f>
        <v>Subadditive</v>
      </c>
      <c r="AL85" s="3" t="str" cm="1">
        <f t="array" ref="AL85">CheckVaRAdditivity(AH85,AC85,W85)</f>
        <v>Subadditive</v>
      </c>
      <c r="AM85" s="3" t="str" cm="1">
        <f t="array" ref="AM85">CheckVaRAdditivity(AI85,AD85,X85)</f>
        <v>Subadditive</v>
      </c>
    </row>
    <row r="86" spans="1:39" x14ac:dyDescent="0.3">
      <c r="A86" s="2">
        <v>162.955063</v>
      </c>
      <c r="B86" s="3">
        <f t="shared" si="9"/>
        <v>1.3146666388461566E-2</v>
      </c>
      <c r="D86" s="2">
        <v>299.83187900000001</v>
      </c>
      <c r="E86" s="3">
        <f t="shared" si="10"/>
        <v>1.2720114560175723E-2</v>
      </c>
      <c r="G86" s="3">
        <f t="shared" si="8"/>
        <v>5.2286324331143634E-3</v>
      </c>
      <c r="I86" s="5">
        <f t="shared" si="11"/>
        <v>75</v>
      </c>
      <c r="J86" s="3" cm="1">
        <f t="array" ref="J86">TwoAssetsVaR($N$6,$P$8,J$11,$I86)*$N$3</f>
        <v>140112.80580607345</v>
      </c>
      <c r="K86" s="3" cm="1">
        <f t="array" ref="K86">TwoAssetsVaR($N$6,$P$8,K$11,$I86)*$N$3</f>
        <v>269588.32112951908</v>
      </c>
      <c r="L86" s="3" cm="1">
        <f t="array" ref="L86">TwoAssetsVaR($N$6,$P$8,L$11,$I86)*$N$3</f>
        <v>316986.72073031554</v>
      </c>
      <c r="U86" s="5">
        <f t="shared" si="12"/>
        <v>75</v>
      </c>
      <c r="V86" s="3" cm="1">
        <f t="array" ref="V86">TwoAssetsVaR($N$6,$N$8,V$11,$U86)*$N$3</f>
        <v>12162.184481543505</v>
      </c>
      <c r="W86" s="3" cm="1">
        <f t="array" ref="W86">TwoAssetsVaR($N$6,$N$8,W$11,$U86)*$N$3</f>
        <v>88625.315653952377</v>
      </c>
      <c r="X86" s="3" cm="1">
        <f t="array" ref="X86">TwoAssetsVaR($N$6,$N$8,X$11,$U86)*$N$3</f>
        <v>116616.94045640387</v>
      </c>
      <c r="AA86" s="5">
        <f t="shared" si="13"/>
        <v>75</v>
      </c>
      <c r="AB86" s="3" cm="1">
        <f t="array" ref="AB86">SingleAssetVaR($J$3,$J$4,AB$11,$AA86)*$N$3</f>
        <v>159822.65345343118</v>
      </c>
      <c r="AC86" s="3" cm="1">
        <f t="array" ref="AC86">SingleAssetVaR($J$3,$J$4,AC$11,$AA86)*$N$3</f>
        <v>235772.32116905856</v>
      </c>
      <c r="AD86" s="3" cm="1">
        <f t="array" ref="AD86">SingleAssetVaR($J$3,$J$4,AD$11,$AA86)*$N$3</f>
        <v>263575.9772575479</v>
      </c>
      <c r="AF86" s="5">
        <f t="shared" si="14"/>
        <v>75</v>
      </c>
      <c r="AG86" s="3" cm="1">
        <f t="array" ref="AG86">SingleAssetVaR($K$3,$K$4,AG$11,$AF86)*$N$3</f>
        <v>96537.906695651953</v>
      </c>
      <c r="AH86" s="3" cm="1">
        <f t="array" ref="AH86">SingleAssetVaR($K$3,$K$4,AH$11,$AF86)*$N$3</f>
        <v>230471.29313459559</v>
      </c>
      <c r="AI86" s="3" cm="1">
        <f t="array" ref="AI86">SingleAssetVaR($K$3,$K$4,AI$11,$AF86)*$N$3</f>
        <v>279501.63029496366</v>
      </c>
      <c r="AK86" s="3" t="str" cm="1">
        <f t="array" ref="AK86">CheckVaRAdditivity(AG86,AB86,V86)</f>
        <v>Subadditive</v>
      </c>
      <c r="AL86" s="3" t="str" cm="1">
        <f t="array" ref="AL86">CheckVaRAdditivity(AH86,AC86,W86)</f>
        <v>Subadditive</v>
      </c>
      <c r="AM86" s="3" t="str" cm="1">
        <f t="array" ref="AM86">CheckVaRAdditivity(AI86,AD86,X86)</f>
        <v>Subadditive</v>
      </c>
    </row>
    <row r="87" spans="1:39" x14ac:dyDescent="0.3">
      <c r="A87" s="2">
        <v>163.12148999999999</v>
      </c>
      <c r="B87" s="3">
        <f t="shared" si="9"/>
        <v>1.0213061008113554E-3</v>
      </c>
      <c r="D87" s="2">
        <v>298.852936</v>
      </c>
      <c r="E87" s="3">
        <f t="shared" si="10"/>
        <v>-3.2649730351055005E-3</v>
      </c>
      <c r="G87" s="3">
        <f t="shared" si="8"/>
        <v>1.5046471865816225E-2</v>
      </c>
      <c r="I87" s="5">
        <f t="shared" si="11"/>
        <v>76</v>
      </c>
      <c r="J87" s="3" cm="1">
        <f t="array" ref="J87">TwoAssetsVaR($N$6,$P$8,J$11,$I87)*$N$3</f>
        <v>139890.73174298985</v>
      </c>
      <c r="K87" s="3" cm="1">
        <f t="array" ref="K87">TwoAssetsVaR($N$6,$P$8,K$11,$I87)*$N$3</f>
        <v>270226.55895810656</v>
      </c>
      <c r="L87" s="3" cm="1">
        <f t="array" ref="L87">TwoAssetsVaR($N$6,$P$8,L$11,$I87)*$N$3</f>
        <v>317939.90155581542</v>
      </c>
      <c r="U87" s="5">
        <f t="shared" si="12"/>
        <v>76</v>
      </c>
      <c r="V87" s="3" cm="1">
        <f t="array" ref="V87">TwoAssetsVaR($N$6,$N$8,V$11,$U87)*$N$3</f>
        <v>11089.930824293366</v>
      </c>
      <c r="W87" s="3" cm="1">
        <f t="array" ref="W87">TwoAssetsVaR($N$6,$N$8,W$11,$U87)*$N$3</f>
        <v>88061.128258170284</v>
      </c>
      <c r="X87" s="3" cm="1">
        <f t="array" ref="X87">TwoAssetsVaR($N$6,$N$8,X$11,$U87)*$N$3</f>
        <v>116238.74596920057</v>
      </c>
      <c r="AA87" s="5">
        <f t="shared" si="13"/>
        <v>76</v>
      </c>
      <c r="AB87" s="3" cm="1">
        <f t="array" ref="AB87">SingleAssetVaR($J$3,$J$4,AB$11,$AA87)*$N$3</f>
        <v>160727.49537180818</v>
      </c>
      <c r="AC87" s="3" cm="1">
        <f t="array" ref="AC87">SingleAssetVaR($J$3,$J$4,AC$11,$AA87)*$N$3</f>
        <v>237181.81759405017</v>
      </c>
      <c r="AD87" s="3" cm="1">
        <f t="array" ref="AD87">SingleAssetVaR($J$3,$J$4,AD$11,$AA87)*$N$3</f>
        <v>265170.21761582379</v>
      </c>
      <c r="AF87" s="5">
        <f t="shared" si="14"/>
        <v>76</v>
      </c>
      <c r="AG87" s="3" cm="1">
        <f t="array" ref="AG87">SingleAssetVaR($K$3,$K$4,AG$11,$AF87)*$N$3</f>
        <v>95662.866378893581</v>
      </c>
      <c r="AH87" s="3" cm="1">
        <f t="array" ref="AH87">SingleAssetVaR($K$3,$K$4,AH$11,$AF87)*$N$3</f>
        <v>230486.18544144835</v>
      </c>
      <c r="AI87" s="3" cm="1">
        <f t="array" ref="AI87">SingleAssetVaR($K$3,$K$4,AI$11,$AF87)*$N$3</f>
        <v>279842.3091569526</v>
      </c>
      <c r="AK87" s="3" t="str" cm="1">
        <f t="array" ref="AK87">CheckVaRAdditivity(AG87,AB87,V87)</f>
        <v>Subadditive</v>
      </c>
      <c r="AL87" s="3" t="str" cm="1">
        <f t="array" ref="AL87">CheckVaRAdditivity(AH87,AC87,W87)</f>
        <v>Subadditive</v>
      </c>
      <c r="AM87" s="3" t="str" cm="1">
        <f t="array" ref="AM87">CheckVaRAdditivity(AI87,AD87,X87)</f>
        <v>Subadditive</v>
      </c>
    </row>
    <row r="88" spans="1:39" x14ac:dyDescent="0.3">
      <c r="A88" s="2">
        <v>163.131271</v>
      </c>
      <c r="B88" s="3">
        <f t="shared" si="9"/>
        <v>5.9961443461580782E-5</v>
      </c>
      <c r="D88" s="2">
        <v>298.353455</v>
      </c>
      <c r="E88" s="3">
        <f t="shared" si="10"/>
        <v>-1.6713270636899581E-3</v>
      </c>
      <c r="G88" s="3">
        <f t="shared" si="8"/>
        <v>-1.6950250074710814E-2</v>
      </c>
      <c r="I88" s="5">
        <f t="shared" si="11"/>
        <v>77</v>
      </c>
      <c r="J88" s="3" cm="1">
        <f t="array" ref="J88">TwoAssetsVaR($N$6,$P$8,J$11,$I88)*$N$3</f>
        <v>139655.04118908182</v>
      </c>
      <c r="K88" s="3" cm="1">
        <f t="array" ref="K88">TwoAssetsVaR($N$6,$P$8,K$11,$I88)*$N$3</f>
        <v>270845.53872387175</v>
      </c>
      <c r="L88" s="3" cm="1">
        <f t="array" ref="L88">TwoAssetsVaR($N$6,$P$8,L$11,$I88)*$N$3</f>
        <v>318871.75905168743</v>
      </c>
      <c r="U88" s="5">
        <f t="shared" si="12"/>
        <v>77</v>
      </c>
      <c r="V88" s="3" cm="1">
        <f t="array" ref="V88">TwoAssetsVaR($N$6,$N$8,V$11,$U88)*$N$3</f>
        <v>10009.635804771586</v>
      </c>
      <c r="W88" s="3" cm="1">
        <f t="array" ref="W88">TwoAssetsVaR($N$6,$N$8,W$11,$U88)*$N$3</f>
        <v>87485.567810270659</v>
      </c>
      <c r="X88" s="3" cm="1">
        <f t="array" ref="X88">TwoAssetsVaR($N$6,$N$8,X$11,$U88)*$N$3</f>
        <v>115847.95876478501</v>
      </c>
      <c r="AA88" s="5">
        <f t="shared" si="13"/>
        <v>77</v>
      </c>
      <c r="AB88" s="3" cm="1">
        <f t="array" ref="AB88">SingleAssetVaR($J$3,$J$4,AB$11,$AA88)*$N$3</f>
        <v>161624.34992708423</v>
      </c>
      <c r="AC88" s="3" cm="1">
        <f t="array" ref="AC88">SingleAssetVaR($J$3,$J$4,AC$11,$AA88)*$N$3</f>
        <v>238580.01733898179</v>
      </c>
      <c r="AD88" s="3" cm="1">
        <f t="array" ref="AD88">SingleAssetVaR($J$3,$J$4,AD$11,$AA88)*$N$3</f>
        <v>266751.94981921191</v>
      </c>
      <c r="AF88" s="5">
        <f t="shared" si="14"/>
        <v>77</v>
      </c>
      <c r="AG88" s="3" cm="1">
        <f t="array" ref="AG88">SingleAssetVaR($K$3,$K$4,AG$11,$AF88)*$N$3</f>
        <v>94773.740752468977</v>
      </c>
      <c r="AH88" s="3" cm="1">
        <f t="array" ref="AH88">SingleAssetVaR($K$3,$K$4,AH$11,$AF88)*$N$3</f>
        <v>230481.15662604422</v>
      </c>
      <c r="AI88" s="3" cm="1">
        <f t="array" ref="AI88">SingleAssetVaR($K$3,$K$4,AI$11,$AF88)*$N$3</f>
        <v>280160.93052227842</v>
      </c>
      <c r="AK88" s="3" t="str" cm="1">
        <f t="array" ref="AK88">CheckVaRAdditivity(AG88,AB88,V88)</f>
        <v>Subadditive</v>
      </c>
      <c r="AL88" s="3" t="str" cm="1">
        <f t="array" ref="AL88">CheckVaRAdditivity(AH88,AC88,W88)</f>
        <v>Subadditive</v>
      </c>
      <c r="AM88" s="3" t="str" cm="1">
        <f t="array" ref="AM88">CheckVaRAdditivity(AI88,AD88,X88)</f>
        <v>Subadditive</v>
      </c>
    </row>
    <row r="89" spans="1:39" x14ac:dyDescent="0.3">
      <c r="A89" s="2">
        <v>163.68928500000001</v>
      </c>
      <c r="B89" s="3">
        <f t="shared" si="9"/>
        <v>3.4206439794122259E-3</v>
      </c>
      <c r="D89" s="2">
        <v>297.57427999999999</v>
      </c>
      <c r="E89" s="3">
        <f t="shared" si="10"/>
        <v>-2.6115836332447004E-3</v>
      </c>
      <c r="G89" s="3">
        <f t="shared" si="8"/>
        <v>-5.6145167841378015E-3</v>
      </c>
      <c r="I89" s="5">
        <f t="shared" si="11"/>
        <v>78</v>
      </c>
      <c r="J89" s="3" cm="1">
        <f t="array" ref="J89">TwoAssetsVaR($N$6,$P$8,J$11,$I89)*$N$3</f>
        <v>139405.99855621284</v>
      </c>
      <c r="K89" s="3" cm="1">
        <f t="array" ref="K89">TwoAssetsVaR($N$6,$P$8,K$11,$I89)*$N$3</f>
        <v>271445.63438955904</v>
      </c>
      <c r="L89" s="3" cm="1">
        <f t="array" ref="L89">TwoAssetsVaR($N$6,$P$8,L$11,$I89)*$N$3</f>
        <v>319782.70728506497</v>
      </c>
      <c r="U89" s="5">
        <f t="shared" si="12"/>
        <v>78</v>
      </c>
      <c r="V89" s="3" cm="1">
        <f t="array" ref="V89">TwoAssetsVaR($N$6,$N$8,V$11,$U89)*$N$3</f>
        <v>8921.4555741929908</v>
      </c>
      <c r="W89" s="3" cm="1">
        <f t="array" ref="W89">TwoAssetsVaR($N$6,$N$8,W$11,$U89)*$N$3</f>
        <v>86898.855157896513</v>
      </c>
      <c r="X89" s="3" cm="1">
        <f t="array" ref="X89">TwoAssetsVaR($N$6,$N$8,X$11,$U89)*$N$3</f>
        <v>115444.82337487012</v>
      </c>
      <c r="AA89" s="5">
        <f t="shared" si="13"/>
        <v>78</v>
      </c>
      <c r="AB89" s="3" cm="1">
        <f t="array" ref="AB89">SingleAssetVaR($J$3,$J$4,AB$11,$AA89)*$N$3</f>
        <v>162513.3722218911</v>
      </c>
      <c r="AC89" s="3" cm="1">
        <f t="array" ref="AC89">SingleAssetVaR($J$3,$J$4,AC$11,$AA89)*$N$3</f>
        <v>239967.13976846548</v>
      </c>
      <c r="AD89" s="3" cm="1">
        <f t="array" ref="AD89">SingleAssetVaR($J$3,$J$4,AD$11,$AA89)*$N$3</f>
        <v>268321.41675735149</v>
      </c>
      <c r="AF89" s="5">
        <f t="shared" si="14"/>
        <v>78</v>
      </c>
      <c r="AG89" s="3" cm="1">
        <f t="array" ref="AG89">SingleAssetVaR($K$3,$K$4,AG$11,$AF89)*$N$3</f>
        <v>93870.803332001393</v>
      </c>
      <c r="AH89" s="3" cm="1">
        <f t="array" ref="AH89">SingleAssetVaR($K$3,$K$4,AH$11,$AF89)*$N$3</f>
        <v>230456.59352674877</v>
      </c>
      <c r="AI89" s="3" cm="1">
        <f t="array" ref="AI89">SingleAssetVaR($K$3,$K$4,AI$11,$AF89)*$N$3</f>
        <v>280457.92271449883</v>
      </c>
      <c r="AK89" s="3" t="str" cm="1">
        <f t="array" ref="AK89">CheckVaRAdditivity(AG89,AB89,V89)</f>
        <v>Subadditive</v>
      </c>
      <c r="AL89" s="3" t="str" cm="1">
        <f t="array" ref="AL89">CheckVaRAdditivity(AH89,AC89,W89)</f>
        <v>Subadditive</v>
      </c>
      <c r="AM89" s="3" t="str" cm="1">
        <f t="array" ref="AM89">CheckVaRAdditivity(AI89,AD89,X89)</f>
        <v>Subadditive</v>
      </c>
    </row>
    <row r="90" spans="1:39" x14ac:dyDescent="0.3">
      <c r="A90" s="2">
        <v>160.311905</v>
      </c>
      <c r="B90" s="3">
        <f t="shared" si="9"/>
        <v>-2.0632871601827914E-2</v>
      </c>
      <c r="D90" s="2">
        <v>307.23400900000001</v>
      </c>
      <c r="E90" s="3">
        <f t="shared" si="10"/>
        <v>3.2461572283733753E-2</v>
      </c>
      <c r="G90" s="3">
        <f t="shared" si="8"/>
        <v>1.7756111947057991E-3</v>
      </c>
      <c r="I90" s="5">
        <f t="shared" si="11"/>
        <v>79</v>
      </c>
      <c r="J90" s="3" cm="1">
        <f t="array" ref="J90">TwoAssetsVaR($N$6,$P$8,J$11,$I90)*$N$3</f>
        <v>139143.85980796957</v>
      </c>
      <c r="K90" s="3" cm="1">
        <f t="array" ref="K90">TwoAssetsVaR($N$6,$P$8,K$11,$I90)*$N$3</f>
        <v>272027.20796935371</v>
      </c>
      <c r="L90" s="3" cm="1">
        <f t="array" ref="L90">TwoAssetsVaR($N$6,$P$8,L$11,$I90)*$N$3</f>
        <v>320673.14709313889</v>
      </c>
      <c r="U90" s="5">
        <f t="shared" si="12"/>
        <v>79</v>
      </c>
      <c r="V90" s="3" cm="1">
        <f t="array" ref="V90">TwoAssetsVaR($N$6,$N$8,V$11,$U90)*$N$3</f>
        <v>7825.5412945533781</v>
      </c>
      <c r="W90" s="3" cm="1">
        <f t="array" ref="W90">TwoAssetsVaR($N$6,$N$8,W$11,$U90)*$N$3</f>
        <v>86301.204092343236</v>
      </c>
      <c r="X90" s="3" cm="1">
        <f t="array" ref="X90">TwoAssetsVaR($N$6,$N$8,X$11,$U90)*$N$3</f>
        <v>115029.5765180867</v>
      </c>
      <c r="AA90" s="5">
        <f t="shared" si="13"/>
        <v>79</v>
      </c>
      <c r="AB90" s="3" cm="1">
        <f t="array" ref="AB90">SingleAssetVaR($J$3,$J$4,AB$11,$AA90)*$N$3</f>
        <v>163394.71240314498</v>
      </c>
      <c r="AC90" s="3" cm="1">
        <f t="array" ref="AC90">SingleAssetVaR($J$3,$J$4,AC$11,$AA90)*$N$3</f>
        <v>241343.39723815015</v>
      </c>
      <c r="AD90" s="3" cm="1">
        <f t="array" ref="AD90">SingleAssetVaR($J$3,$J$4,AD$11,$AA90)*$N$3</f>
        <v>269878.85355926579</v>
      </c>
      <c r="AF90" s="5">
        <f t="shared" si="14"/>
        <v>79</v>
      </c>
      <c r="AG90" s="3" cm="1">
        <f t="array" ref="AG90">SingleAssetVaR($K$3,$K$4,AG$11,$AF90)*$N$3</f>
        <v>92954.318893961536</v>
      </c>
      <c r="AH90" s="3" cm="1">
        <f t="array" ref="AH90">SingleAssetVaR($K$3,$K$4,AH$11,$AF90)*$N$3</f>
        <v>230412.87062197732</v>
      </c>
      <c r="AI90" s="3" cm="1">
        <f t="array" ref="AI90">SingleAssetVaR($K$3,$K$4,AI$11,$AF90)*$N$3</f>
        <v>280733.70037171955</v>
      </c>
      <c r="AK90" s="3" t="str" cm="1">
        <f t="array" ref="AK90">CheckVaRAdditivity(AG90,AB90,V90)</f>
        <v>Subadditive</v>
      </c>
      <c r="AL90" s="3" t="str" cm="1">
        <f t="array" ref="AL90">CheckVaRAdditivity(AH90,AC90,W90)</f>
        <v>Subadditive</v>
      </c>
      <c r="AM90" s="3" t="str" cm="1">
        <f t="array" ref="AM90">CheckVaRAdditivity(AI90,AD90,X90)</f>
        <v>Subadditive</v>
      </c>
    </row>
    <row r="91" spans="1:39" x14ac:dyDescent="0.3">
      <c r="A91" s="2">
        <v>163.29769899999999</v>
      </c>
      <c r="B91" s="3">
        <f t="shared" si="9"/>
        <v>1.8624904993799422E-2</v>
      </c>
      <c r="D91" s="2">
        <v>301.34027099999997</v>
      </c>
      <c r="E91" s="3">
        <f t="shared" si="10"/>
        <v>-1.9183221347087397E-2</v>
      </c>
      <c r="G91" s="3">
        <f t="shared" si="8"/>
        <v>1.9732573605586057E-2</v>
      </c>
      <c r="I91" s="5">
        <f t="shared" si="11"/>
        <v>80</v>
      </c>
      <c r="J91" s="3" cm="1">
        <f t="array" ref="J91">TwoAssetsVaR($N$6,$P$8,J$11,$I91)*$N$3</f>
        <v>138868.87283280602</v>
      </c>
      <c r="K91" s="3" cm="1">
        <f t="array" ref="K91">TwoAssetsVaR($N$6,$P$8,K$11,$I91)*$N$3</f>
        <v>272590.6100566269</v>
      </c>
      <c r="L91" s="3" cm="1">
        <f t="array" ref="L91">TwoAssetsVaR($N$6,$P$8,L$11,$I91)*$N$3</f>
        <v>321543.46666749858</v>
      </c>
      <c r="U91" s="5">
        <f t="shared" si="12"/>
        <v>80</v>
      </c>
      <c r="V91" s="3" cm="1">
        <f t="array" ref="V91">TwoAssetsVaR($N$6,$N$8,V$11,$U91)*$N$3</f>
        <v>6722.0393589937876</v>
      </c>
      <c r="W91" s="3" cm="1">
        <f t="array" ref="W91">TwoAssetsVaR($N$6,$N$8,W$11,$U91)*$N$3</f>
        <v>85692.821660223854</v>
      </c>
      <c r="X91" s="3" cm="1">
        <f t="array" ref="X91">TwoAssetsVaR($N$6,$N$8,X$11,$U91)*$N$3</f>
        <v>114602.44744507218</v>
      </c>
      <c r="AA91" s="5">
        <f t="shared" si="13"/>
        <v>80</v>
      </c>
      <c r="AB91" s="3" cm="1">
        <f t="array" ref="AB91">SingleAssetVaR($J$3,$J$4,AB$11,$AA91)*$N$3</f>
        <v>164268.51588093111</v>
      </c>
      <c r="AC91" s="3" cm="1">
        <f t="array" ref="AC91">SingleAssetVaR($J$3,$J$4,AC$11,$AA91)*$N$3</f>
        <v>242708.99540429428</v>
      </c>
      <c r="AD91" s="3" cm="1">
        <f t="array" ref="AD91">SingleAssetVaR($J$3,$J$4,AD$11,$AA91)*$N$3</f>
        <v>271424.48793613364</v>
      </c>
      <c r="AF91" s="5">
        <f t="shared" si="14"/>
        <v>80</v>
      </c>
      <c r="AG91" s="3" cm="1">
        <f t="array" ref="AG91">SingleAssetVaR($K$3,$K$4,AG$11,$AF91)*$N$3</f>
        <v>92024.54386165856</v>
      </c>
      <c r="AH91" s="3" cm="1">
        <f t="array" ref="AH91">SingleAssetVaR($K$3,$K$4,AH$11,$AF91)*$N$3</f>
        <v>230350.35057610946</v>
      </c>
      <c r="AI91" s="3" cm="1">
        <f t="array" ref="AI91">SingleAssetVaR($K$3,$K$4,AI$11,$AF91)*$N$3</f>
        <v>280988.66505105351</v>
      </c>
      <c r="AK91" s="3" t="str" cm="1">
        <f t="array" ref="AK91">CheckVaRAdditivity(AG91,AB91,V91)</f>
        <v>Subadditive</v>
      </c>
      <c r="AL91" s="3" t="str" cm="1">
        <f t="array" ref="AL91">CheckVaRAdditivity(AH91,AC91,W91)</f>
        <v>Subadditive</v>
      </c>
      <c r="AM91" s="3" t="str" cm="1">
        <f t="array" ref="AM91">CheckVaRAdditivity(AI91,AD91,X91)</f>
        <v>Subadditive</v>
      </c>
    </row>
    <row r="92" spans="1:39" x14ac:dyDescent="0.3">
      <c r="A92" s="2">
        <v>162.70053100000001</v>
      </c>
      <c r="B92" s="3">
        <f t="shared" si="9"/>
        <v>-3.6569284420840623E-3</v>
      </c>
      <c r="D92" s="2">
        <v>304.73666400000002</v>
      </c>
      <c r="E92" s="3">
        <f t="shared" si="10"/>
        <v>1.127095621414652E-2</v>
      </c>
      <c r="G92" s="3">
        <f t="shared" si="8"/>
        <v>-4.3842760549835562E-3</v>
      </c>
      <c r="I92" s="5">
        <f t="shared" si="11"/>
        <v>81</v>
      </c>
      <c r="J92" s="3" cm="1">
        <f t="array" ref="J92">TwoAssetsVaR($N$6,$P$8,J$11,$I92)*$N$3</f>
        <v>138581.27779626145</v>
      </c>
      <c r="K92" s="3" cm="1">
        <f t="array" ref="K92">TwoAssetsVaR($N$6,$P$8,K$11,$I92)*$N$3</f>
        <v>273136.18032208382</v>
      </c>
      <c r="L92" s="3" cm="1">
        <f t="array" ref="L92">TwoAssetsVaR($N$6,$P$8,L$11,$I92)*$N$3</f>
        <v>322394.04210570286</v>
      </c>
      <c r="U92" s="5">
        <f t="shared" si="12"/>
        <v>81</v>
      </c>
      <c r="V92" s="3" cm="1">
        <f t="array" ref="V92">TwoAssetsVaR($N$6,$N$8,V$11,$U92)*$N$3</f>
        <v>5611.0915998064402</v>
      </c>
      <c r="W92" s="3" cm="1">
        <f t="array" ref="W92">TwoAssetsVaR($N$6,$N$8,W$11,$U92)*$N$3</f>
        <v>85073.908457655911</v>
      </c>
      <c r="X92" s="3" cm="1">
        <f t="array" ref="X92">TwoAssetsVaR($N$6,$N$8,X$11,$U92)*$N$3</f>
        <v>114163.65826420662</v>
      </c>
      <c r="AA92" s="5">
        <f t="shared" si="13"/>
        <v>81</v>
      </c>
      <c r="AB92" s="3" cm="1">
        <f t="array" ref="AB92">SingleAssetVaR($J$3,$J$4,AB$11,$AA92)*$N$3</f>
        <v>165134.92353511279</v>
      </c>
      <c r="AC92" s="3" cm="1">
        <f t="array" ref="AC92">SingleAssetVaR($J$3,$J$4,AC$11,$AA92)*$N$3</f>
        <v>244064.13351597692</v>
      </c>
      <c r="AD92" s="3" cm="1">
        <f t="array" ref="AD92">SingleAssetVaR($J$3,$J$4,AD$11,$AA92)*$N$3</f>
        <v>272958.54050483811</v>
      </c>
      <c r="AF92" s="5">
        <f t="shared" si="14"/>
        <v>81</v>
      </c>
      <c r="AG92" s="3" cm="1">
        <f t="array" ref="AG92">SingleAssetVaR($K$3,$K$4,AG$11,$AF92)*$N$3</f>
        <v>91081.726669585303</v>
      </c>
      <c r="AH92" s="3" cm="1">
        <f t="array" ref="AH92">SingleAssetVaR($K$3,$K$4,AH$11,$AF92)*$N$3</f>
        <v>230269.38475478938</v>
      </c>
      <c r="AI92" s="3" cm="1">
        <f t="array" ref="AI92">SingleAssetVaR($K$3,$K$4,AI$11,$AF92)*$N$3</f>
        <v>281223.20579918328</v>
      </c>
      <c r="AK92" s="3" t="str" cm="1">
        <f t="array" ref="AK92">CheckVaRAdditivity(AG92,AB92,V92)</f>
        <v>Subadditive</v>
      </c>
      <c r="AL92" s="3" t="str" cm="1">
        <f t="array" ref="AL92">CheckVaRAdditivity(AH92,AC92,W92)</f>
        <v>Subadditive</v>
      </c>
      <c r="AM92" s="3" t="str" cm="1">
        <f t="array" ref="AM92">CheckVaRAdditivity(AI92,AD92,X92)</f>
        <v>Subadditive</v>
      </c>
    </row>
    <row r="93" spans="1:39" x14ac:dyDescent="0.3">
      <c r="A93" s="2">
        <v>163.70884699999999</v>
      </c>
      <c r="B93" s="3">
        <f t="shared" si="9"/>
        <v>6.1973737504272758E-3</v>
      </c>
      <c r="D93" s="2">
        <v>311.38961799999998</v>
      </c>
      <c r="E93" s="3">
        <f t="shared" si="10"/>
        <v>2.1831813450579631E-2</v>
      </c>
      <c r="G93" s="3">
        <f t="shared" si="8"/>
        <v>-1.5024752839967216E-2</v>
      </c>
      <c r="I93" s="5">
        <f t="shared" si="11"/>
        <v>82</v>
      </c>
      <c r="J93" s="3" cm="1">
        <f t="array" ref="J93">TwoAssetsVaR($N$6,$P$8,J$11,$I93)*$N$3</f>
        <v>138281.30747366848</v>
      </c>
      <c r="K93" s="3" cm="1">
        <f t="array" ref="K93">TwoAssetsVaR($N$6,$P$8,K$11,$I93)*$N$3</f>
        <v>273664.24798431963</v>
      </c>
      <c r="L93" s="3" cm="1">
        <f t="array" ref="L93">TwoAssetsVaR($N$6,$P$8,L$11,$I93)*$N$3</f>
        <v>323225.23793229868</v>
      </c>
      <c r="U93" s="5">
        <f t="shared" si="12"/>
        <v>82</v>
      </c>
      <c r="V93" s="3" cm="1">
        <f t="array" ref="V93">TwoAssetsVaR($N$6,$N$8,V$11,$U93)*$N$3</f>
        <v>4492.835484919221</v>
      </c>
      <c r="W93" s="3" cm="1">
        <f t="array" ref="W93">TwoAssetsVaR($N$6,$N$8,W$11,$U93)*$N$3</f>
        <v>84444.658908153171</v>
      </c>
      <c r="X93" s="3" cm="1">
        <f t="array" ref="X93">TwoAssetsVaR($N$6,$N$8,X$11,$U93)*$N$3</f>
        <v>113713.42424930594</v>
      </c>
      <c r="AA93" s="5">
        <f t="shared" si="13"/>
        <v>82</v>
      </c>
      <c r="AB93" s="3" cm="1">
        <f t="array" ref="AB93">SingleAssetVaR($J$3,$J$4,AB$11,$AA93)*$N$3</f>
        <v>165994.07191049631</v>
      </c>
      <c r="AC93" s="3" cm="1">
        <f t="array" ref="AC93">SingleAssetVaR($J$3,$J$4,AC$11,$AA93)*$N$3</f>
        <v>245409.0046911235</v>
      </c>
      <c r="AD93" s="3" cm="1">
        <f t="array" ref="AD93">SingleAssetVaR($J$3,$J$4,AD$11,$AA93)*$N$3</f>
        <v>274481.22509359318</v>
      </c>
      <c r="AF93" s="5">
        <f t="shared" si="14"/>
        <v>82</v>
      </c>
      <c r="AG93" s="3" cm="1">
        <f t="array" ref="AG93">SingleAssetVaR($K$3,$K$4,AG$11,$AF93)*$N$3</f>
        <v>90126.108107581458</v>
      </c>
      <c r="AH93" s="3" cm="1">
        <f t="array" ref="AH93">SingleAssetVaR($K$3,$K$4,AH$11,$AF93)*$N$3</f>
        <v>230170.31371168248</v>
      </c>
      <c r="AI93" s="3" cm="1">
        <f t="array" ref="AI93">SingleAssetVaR($K$3,$K$4,AI$11,$AF93)*$N$3</f>
        <v>281437.6996913178</v>
      </c>
      <c r="AK93" s="3" t="str" cm="1">
        <f t="array" ref="AK93">CheckVaRAdditivity(AG93,AB93,V93)</f>
        <v>Subadditive</v>
      </c>
      <c r="AL93" s="3" t="str" cm="1">
        <f t="array" ref="AL93">CheckVaRAdditivity(AH93,AC93,W93)</f>
        <v>Subadditive</v>
      </c>
      <c r="AM93" s="3" t="str" cm="1">
        <f t="array" ref="AM93">CheckVaRAdditivity(AI93,AD93,X93)</f>
        <v>Subadditive</v>
      </c>
    </row>
    <row r="94" spans="1:39" x14ac:dyDescent="0.3">
      <c r="A94" s="2">
        <v>162.99423200000001</v>
      </c>
      <c r="B94" s="3">
        <f t="shared" si="9"/>
        <v>-4.3651581029092506E-3</v>
      </c>
      <c r="D94" s="2">
        <v>299.99169899999998</v>
      </c>
      <c r="E94" s="3">
        <f t="shared" si="10"/>
        <v>-3.6603400823723035E-2</v>
      </c>
      <c r="G94" s="3">
        <f t="shared" si="8"/>
        <v>1.6346527538602312E-2</v>
      </c>
      <c r="I94" s="5">
        <f t="shared" si="11"/>
        <v>83</v>
      </c>
      <c r="J94" s="3" cm="1">
        <f t="array" ref="J94">TwoAssetsVaR($N$6,$P$8,J$11,$I94)*$N$3</f>
        <v>137969.18756465719</v>
      </c>
      <c r="K94" s="3" cm="1">
        <f t="array" ref="K94">TwoAssetsVaR($N$6,$P$8,K$11,$I94)*$N$3</f>
        <v>274175.13225462823</v>
      </c>
      <c r="L94" s="3" cm="1">
        <f t="array" ref="L94">TwoAssetsVaR($N$6,$P$8,L$11,$I94)*$N$3</f>
        <v>324037.40759133181</v>
      </c>
      <c r="U94" s="5">
        <f t="shared" si="12"/>
        <v>83</v>
      </c>
      <c r="V94" s="3" cm="1">
        <f t="array" ref="V94">TwoAssetsVaR($N$6,$N$8,V$11,$U94)*$N$3</f>
        <v>3367.4043036290527</v>
      </c>
      <c r="W94" s="3" cm="1">
        <f t="array" ref="W94">TwoAssetsVaR($N$6,$N$8,W$11,$U94)*$N$3</f>
        <v>83805.261525311886</v>
      </c>
      <c r="X94" s="3" cm="1">
        <f t="array" ref="X94">TwoAssetsVaR($N$6,$N$8,X$11,$U94)*$N$3</f>
        <v>113251.95413047919</v>
      </c>
      <c r="AA94" s="5">
        <f t="shared" si="13"/>
        <v>83</v>
      </c>
      <c r="AB94" s="3" cm="1">
        <f t="array" ref="AB94">SingleAssetVaR($J$3,$J$4,AB$11,$AA94)*$N$3</f>
        <v>166846.0934013176</v>
      </c>
      <c r="AC94" s="3" cm="1">
        <f t="array" ref="AC94">SingleAssetVaR($J$3,$J$4,AC$11,$AA94)*$N$3</f>
        <v>246743.79617742827</v>
      </c>
      <c r="AD94" s="3" cm="1">
        <f t="array" ref="AD94">SingleAssetVaR($J$3,$J$4,AD$11,$AA94)*$N$3</f>
        <v>275992.74903084856</v>
      </c>
      <c r="AF94" s="5">
        <f t="shared" si="14"/>
        <v>83</v>
      </c>
      <c r="AG94" s="3" cm="1">
        <f t="array" ref="AG94">SingleAssetVaR($K$3,$K$4,AG$11,$AF94)*$N$3</f>
        <v>89157.921646166054</v>
      </c>
      <c r="AH94" s="3" cm="1">
        <f t="array" ref="AH94">SingleAssetVaR($K$3,$K$4,AH$11,$AF94)*$N$3</f>
        <v>230053.46764859924</v>
      </c>
      <c r="AI94" s="3" cm="1">
        <f t="array" ref="AI94">SingleAssetVaR($K$3,$K$4,AI$11,$AF94)*$N$3</f>
        <v>281632.51234066102</v>
      </c>
      <c r="AK94" s="3" t="str" cm="1">
        <f t="array" ref="AK94">CheckVaRAdditivity(AG94,AB94,V94)</f>
        <v>Subadditive</v>
      </c>
      <c r="AL94" s="3" t="str" cm="1">
        <f t="array" ref="AL94">CheckVaRAdditivity(AH94,AC94,W94)</f>
        <v>Subadditive</v>
      </c>
      <c r="AM94" s="3" t="str" cm="1">
        <f t="array" ref="AM94">CheckVaRAdditivity(AI94,AD94,X94)</f>
        <v>Subadditive</v>
      </c>
    </row>
    <row r="95" spans="1:39" x14ac:dyDescent="0.3">
      <c r="A95" s="2">
        <v>163.699051</v>
      </c>
      <c r="B95" s="3">
        <f t="shared" si="9"/>
        <v>4.3241959629588995E-3</v>
      </c>
      <c r="D95" s="2">
        <v>302.229309</v>
      </c>
      <c r="E95" s="3">
        <f t="shared" si="10"/>
        <v>7.4589063879398143E-3</v>
      </c>
      <c r="G95" s="3">
        <f t="shared" si="8"/>
        <v>2.4016278980916253E-3</v>
      </c>
      <c r="I95" s="5">
        <f t="shared" si="11"/>
        <v>84</v>
      </c>
      <c r="J95" s="3" cm="1">
        <f t="array" ref="J95">TwoAssetsVaR($N$6,$P$8,J$11,$I95)*$N$3</f>
        <v>137645.13699065638</v>
      </c>
      <c r="K95" s="3" cm="1">
        <f t="array" ref="K95">TwoAssetsVaR($N$6,$P$8,K$11,$I95)*$N$3</f>
        <v>274669.14275776426</v>
      </c>
      <c r="L95" s="3" cm="1">
        <f t="array" ref="L95">TwoAssetsVaR($N$6,$P$8,L$11,$I95)*$N$3</f>
        <v>324830.89391223248</v>
      </c>
      <c r="U95" s="5">
        <f t="shared" si="12"/>
        <v>84</v>
      </c>
      <c r="V95" s="3" cm="1">
        <f t="array" ref="V95">TwoAssetsVaR($N$6,$N$8,V$11,$U95)*$N$3</f>
        <v>2234.9273422948081</v>
      </c>
      <c r="W95" s="3" cm="1">
        <f t="array" ref="W95">TwoAssetsVaR($N$6,$N$8,W$11,$U95)*$N$3</f>
        <v>83155.89916129662</v>
      </c>
      <c r="X95" s="3" cm="1">
        <f t="array" ref="X95">TwoAssetsVaR($N$6,$N$8,X$11,$U95)*$N$3</f>
        <v>112779.45036926231</v>
      </c>
      <c r="AA95" s="5">
        <f t="shared" si="13"/>
        <v>84</v>
      </c>
      <c r="AB95" s="3" cm="1">
        <f t="array" ref="AB95">SingleAssetVaR($J$3,$J$4,AB$11,$AA95)*$N$3</f>
        <v>167691.11642575456</v>
      </c>
      <c r="AC95" s="3" cm="1">
        <f t="array" ref="AC95">SingleAssetVaR($J$3,$J$4,AC$11,$AA95)*$N$3</f>
        <v>248068.68959917099</v>
      </c>
      <c r="AD95" s="3" cm="1">
        <f t="array" ref="AD95">SingleAssetVaR($J$3,$J$4,AD$11,$AA95)*$N$3</f>
        <v>277493.31341857486</v>
      </c>
      <c r="AF95" s="5">
        <f t="shared" si="14"/>
        <v>84</v>
      </c>
      <c r="AG95" s="3" cm="1">
        <f t="array" ref="AG95">SingleAssetVaR($K$3,$K$4,AG$11,$AF95)*$N$3</f>
        <v>88177.393744281988</v>
      </c>
      <c r="AH95" s="3" cm="1">
        <f t="array" ref="AH95">SingleAssetVaR($K$3,$K$4,AH$11,$AF95)*$N$3</f>
        <v>229919.16685074416</v>
      </c>
      <c r="AI95" s="3" cm="1">
        <f t="array" ref="AI95">SingleAssetVaR($K$3,$K$4,AI$11,$AF95)*$N$3</f>
        <v>281807.99838033726</v>
      </c>
      <c r="AK95" s="3" t="str" cm="1">
        <f t="array" ref="AK95">CheckVaRAdditivity(AG95,AB95,V95)</f>
        <v>Subadditive</v>
      </c>
      <c r="AL95" s="3" t="str" cm="1">
        <f t="array" ref="AL95">CheckVaRAdditivity(AH95,AC95,W95)</f>
        <v>Subadditive</v>
      </c>
      <c r="AM95" s="3" t="str" cm="1">
        <f t="array" ref="AM95">CheckVaRAdditivity(AI95,AD95,X95)</f>
        <v>Subadditive</v>
      </c>
    </row>
    <row r="96" spans="1:39" x14ac:dyDescent="0.3">
      <c r="A96" s="2">
        <v>163.67948899999999</v>
      </c>
      <c r="B96" s="3">
        <f t="shared" si="9"/>
        <v>-1.1949977645262971E-4</v>
      </c>
      <c r="D96" s="2">
        <v>304.74667399999998</v>
      </c>
      <c r="E96" s="3">
        <f t="shared" si="10"/>
        <v>8.3293212307214842E-3</v>
      </c>
      <c r="G96" s="3">
        <f t="shared" si="8"/>
        <v>2.107364766802199E-3</v>
      </c>
      <c r="I96" s="5">
        <f t="shared" si="11"/>
        <v>85</v>
      </c>
      <c r="J96" s="3" cm="1">
        <f t="array" ref="J96">TwoAssetsVaR($N$6,$P$8,J$11,$I96)*$N$3</f>
        <v>137309.36817650354</v>
      </c>
      <c r="K96" s="3" cm="1">
        <f t="array" ref="K96">TwoAssetsVaR($N$6,$P$8,K$11,$I96)*$N$3</f>
        <v>275146.57993022911</v>
      </c>
      <c r="L96" s="3" cm="1">
        <f t="array" ref="L96">TwoAssetsVaR($N$6,$P$8,L$11,$I96)*$N$3</f>
        <v>325606.02955081407</v>
      </c>
      <c r="U96" s="5">
        <f t="shared" si="12"/>
        <v>85</v>
      </c>
      <c r="V96" s="3" cm="1">
        <f t="array" ref="V96">TwoAssetsVaR($N$6,$N$8,V$11,$U96)*$N$3</f>
        <v>1095.5300506446715</v>
      </c>
      <c r="W96" s="3" cm="1">
        <f t="array" ref="W96">TwoAssetsVaR($N$6,$N$8,W$11,$U96)*$N$3</f>
        <v>82496.749242051999</v>
      </c>
      <c r="X96" s="3" cm="1">
        <f t="array" ref="X96">TwoAssetsVaR($N$6,$N$8,X$11,$U96)*$N$3</f>
        <v>112296.10941905437</v>
      </c>
      <c r="AA96" s="5">
        <f t="shared" si="13"/>
        <v>85</v>
      </c>
      <c r="AB96" s="3" cm="1">
        <f t="array" ref="AB96">SingleAssetVaR($J$3,$J$4,AB$11,$AA96)*$N$3</f>
        <v>168529.26559111837</v>
      </c>
      <c r="AC96" s="3" cm="1">
        <f t="array" ref="AC96">SingleAssetVaR($J$3,$J$4,AC$11,$AA96)*$N$3</f>
        <v>249383.86119084977</v>
      </c>
      <c r="AD96" s="3" cm="1">
        <f t="array" ref="AD96">SingleAssetVaR($J$3,$J$4,AD$11,$AA96)*$N$3</f>
        <v>278983.113390952</v>
      </c>
      <c r="AF96" s="5">
        <f t="shared" si="14"/>
        <v>85</v>
      </c>
      <c r="AG96" s="3" cm="1">
        <f t="array" ref="AG96">SingleAssetVaR($K$3,$K$4,AG$11,$AF96)*$N$3</f>
        <v>87184.744140601644</v>
      </c>
      <c r="AH96" s="3" cm="1">
        <f t="array" ref="AH96">SingleAssetVaR($K$3,$K$4,AH$11,$AF96)*$N$3</f>
        <v>229767.72209871508</v>
      </c>
      <c r="AI96" s="3" cm="1">
        <f t="array" ref="AI96">SingleAssetVaR($K$3,$K$4,AI$11,$AF96)*$N$3</f>
        <v>281964.50191957457</v>
      </c>
      <c r="AK96" s="3" t="str" cm="1">
        <f t="array" ref="AK96">CheckVaRAdditivity(AG96,AB96,V96)</f>
        <v>Subadditive</v>
      </c>
      <c r="AL96" s="3" t="str" cm="1">
        <f t="array" ref="AL96">CheckVaRAdditivity(AH96,AC96,W96)</f>
        <v>Subadditive</v>
      </c>
      <c r="AM96" s="3" t="str" cm="1">
        <f t="array" ref="AM96">CheckVaRAdditivity(AI96,AD96,X96)</f>
        <v>Subadditive</v>
      </c>
    </row>
    <row r="97" spans="1:39" x14ac:dyDescent="0.3">
      <c r="A97" s="2">
        <v>163.18022199999999</v>
      </c>
      <c r="B97" s="3">
        <f t="shared" si="9"/>
        <v>-3.0502722305053337E-3</v>
      </c>
      <c r="D97" s="2">
        <v>299.35238600000002</v>
      </c>
      <c r="E97" s="3">
        <f t="shared" si="10"/>
        <v>-1.7700892118678088E-2</v>
      </c>
      <c r="G97" s="3">
        <f t="shared" si="8"/>
        <v>-8.3400635618748834E-3</v>
      </c>
      <c r="I97" s="5">
        <f t="shared" si="11"/>
        <v>86</v>
      </c>
      <c r="J97" s="3" cm="1">
        <f t="array" ref="J97">TwoAssetsVaR($N$6,$P$8,J$11,$I97)*$N$3</f>
        <v>136962.0873171881</v>
      </c>
      <c r="K97" s="3" cm="1">
        <f t="array" ref="K97">TwoAssetsVaR($N$6,$P$8,K$11,$I97)*$N$3</f>
        <v>275607.73539753113</v>
      </c>
      <c r="L97" s="3" cm="1">
        <f t="array" ref="L97">TwoAssetsVaR($N$6,$P$8,L$11,$I97)*$N$3</f>
        <v>326363.13740699127</v>
      </c>
      <c r="U97" s="5">
        <f t="shared" si="12"/>
        <v>86</v>
      </c>
      <c r="V97" s="3" cm="1">
        <f t="array" ref="V97">TwoAssetsVaR($N$6,$N$8,V$11,$U97)*$N$3</f>
        <v>-50.665800695548199</v>
      </c>
      <c r="W97" s="3" cm="1">
        <f t="array" ref="W97">TwoAssetsVaR($N$6,$N$8,W$11,$U97)*$N$3</f>
        <v>81827.983990097855</v>
      </c>
      <c r="X97" s="3" cm="1">
        <f t="array" ref="X97">TwoAssetsVaR($N$6,$N$8,X$11,$U97)*$N$3</f>
        <v>111802.12197180577</v>
      </c>
      <c r="AA97" s="5">
        <f t="shared" si="13"/>
        <v>86</v>
      </c>
      <c r="AB97" s="3" cm="1">
        <f t="array" ref="AB97">SingleAssetVaR($J$3,$J$4,AB$11,$AA97)*$N$3</f>
        <v>169360.66185032343</v>
      </c>
      <c r="AC97" s="3" cm="1">
        <f t="array" ref="AC97">SingleAssetVaR($J$3,$J$4,AC$11,$AA97)*$N$3</f>
        <v>250689.48201847967</v>
      </c>
      <c r="AD97" s="3" cm="1">
        <f t="array" ref="AD97">SingleAssetVaR($J$3,$J$4,AD$11,$AA97)*$N$3</f>
        <v>280462.33835940005</v>
      </c>
      <c r="AF97" s="5">
        <f t="shared" si="14"/>
        <v>86</v>
      </c>
      <c r="AG97" s="3" cm="1">
        <f t="array" ref="AG97">SingleAssetVaR($K$3,$K$4,AG$11,$AF97)*$N$3</f>
        <v>86180.186129454363</v>
      </c>
      <c r="AH97" s="3" cm="1">
        <f t="array" ref="AH97">SingleAssetVaR($K$3,$K$4,AH$11,$AF97)*$N$3</f>
        <v>229599.43505875225</v>
      </c>
      <c r="AI97" s="3" cm="1">
        <f t="array" ref="AI97">SingleAssetVaR($K$3,$K$4,AI$11,$AF97)*$N$3</f>
        <v>282102.35697580443</v>
      </c>
      <c r="AK97" s="3" t="str" cm="1">
        <f t="array" ref="AK97">CheckVaRAdditivity(AG97,AB97,V97)</f>
        <v>Subadditive</v>
      </c>
      <c r="AL97" s="3" t="str" cm="1">
        <f t="array" ref="AL97">CheckVaRAdditivity(AH97,AC97,W97)</f>
        <v>Subadditive</v>
      </c>
      <c r="AM97" s="3" t="str" cm="1">
        <f t="array" ref="AM97">CheckVaRAdditivity(AI97,AD97,X97)</f>
        <v>Subadditive</v>
      </c>
    </row>
    <row r="98" spans="1:39" x14ac:dyDescent="0.3">
      <c r="A98" s="2">
        <v>161.71180699999999</v>
      </c>
      <c r="B98" s="3">
        <f t="shared" si="9"/>
        <v>-8.9987314761711332E-3</v>
      </c>
      <c r="D98" s="2">
        <v>295.41656499999999</v>
      </c>
      <c r="E98" s="3">
        <f t="shared" si="10"/>
        <v>-1.3147785633484252E-2</v>
      </c>
      <c r="G98" s="3">
        <f t="shared" si="8"/>
        <v>1.2853028713113253E-2</v>
      </c>
      <c r="I98" s="5">
        <f t="shared" si="11"/>
        <v>87</v>
      </c>
      <c r="J98" s="3" cm="1">
        <f t="array" ref="J98">TwoAssetsVaR($N$6,$P$8,J$11,$I98)*$N$3</f>
        <v>136603.49463067629</v>
      </c>
      <c r="K98" s="3" cm="1">
        <f t="array" ref="K98">TwoAssetsVaR($N$6,$P$8,K$11,$I98)*$N$3</f>
        <v>276052.89233176102</v>
      </c>
      <c r="L98" s="3" cm="1">
        <f t="array" ref="L98">TwoAssetsVaR($N$6,$P$8,L$11,$I98)*$N$3</f>
        <v>327102.53102070239</v>
      </c>
      <c r="U98" s="5">
        <f t="shared" si="12"/>
        <v>87</v>
      </c>
      <c r="V98" s="3" cm="1">
        <f t="array" ref="V98">TwoAssetsVaR($N$6,$N$8,V$11,$U98)*$N$3</f>
        <v>-1203.5419708941565</v>
      </c>
      <c r="W98" s="3" cm="1">
        <f t="array" ref="W98">TwoAssetsVaR($N$6,$N$8,W$11,$U98)*$N$3</f>
        <v>81149.770635698951</v>
      </c>
      <c r="X98" s="3" cm="1">
        <f t="array" ref="X98">TwoAssetsVaR($N$6,$N$8,X$11,$U98)*$N$3</f>
        <v>111297.67319183398</v>
      </c>
      <c r="AA98" s="5">
        <f t="shared" si="13"/>
        <v>87</v>
      </c>
      <c r="AB98" s="3" cm="1">
        <f t="array" ref="AB98">SingleAssetVaR($J$3,$J$4,AB$11,$AA98)*$N$3</f>
        <v>170185.42265019345</v>
      </c>
      <c r="AC98" s="3" cm="1">
        <f t="array" ref="AC98">SingleAssetVaR($J$3,$J$4,AC$11,$AA98)*$N$3</f>
        <v>251985.71818934468</v>
      </c>
      <c r="AD98" s="3" cm="1">
        <f t="array" ref="AD98">SingleAssetVaR($J$3,$J$4,AD$11,$AA98)*$N$3</f>
        <v>281931.17224482546</v>
      </c>
      <c r="AF98" s="5">
        <f t="shared" si="14"/>
        <v>87</v>
      </c>
      <c r="AG98" s="3" cm="1">
        <f t="array" ref="AG98">SingleAssetVaR($K$3,$K$4,AG$11,$AF98)*$N$3</f>
        <v>85163.926822356007</v>
      </c>
      <c r="AH98" s="3" cm="1">
        <f t="array" ref="AH98">SingleAssetVaR($K$3,$K$4,AH$11,$AF98)*$N$3</f>
        <v>229414.59865262496</v>
      </c>
      <c r="AI98" s="3" cm="1">
        <f t="array" ref="AI98">SingleAssetVaR($K$3,$K$4,AI$11,$AF98)*$N$3</f>
        <v>282221.88788421557</v>
      </c>
      <c r="AK98" s="3" t="str" cm="1">
        <f t="array" ref="AK98">CheckVaRAdditivity(AG98,AB98,V98)</f>
        <v>Subadditive</v>
      </c>
      <c r="AL98" s="3" t="str" cm="1">
        <f t="array" ref="AL98">CheckVaRAdditivity(AH98,AC98,W98)</f>
        <v>Subadditive</v>
      </c>
      <c r="AM98" s="3" t="str" cm="1">
        <f t="array" ref="AM98">CheckVaRAdditivity(AI98,AD98,X98)</f>
        <v>Subadditive</v>
      </c>
    </row>
    <row r="99" spans="1:39" x14ac:dyDescent="0.3">
      <c r="A99" s="2">
        <v>162.778854</v>
      </c>
      <c r="B99" s="3">
        <f t="shared" si="9"/>
        <v>6.5984483124352346E-3</v>
      </c>
      <c r="D99" s="2">
        <v>298.76299999999998</v>
      </c>
      <c r="E99" s="3">
        <f t="shared" si="10"/>
        <v>1.1327851571221084E-2</v>
      </c>
      <c r="G99" s="3">
        <f t="shared" si="8"/>
        <v>3.1483814555595341E-3</v>
      </c>
      <c r="I99" s="5">
        <f t="shared" si="11"/>
        <v>88</v>
      </c>
      <c r="J99" s="3" cm="1">
        <f t="array" ref="J99">TwoAssetsVaR($N$6,$P$8,J$11,$I99)*$N$3</f>
        <v>136233.78459769551</v>
      </c>
      <c r="K99" s="3" cm="1">
        <f t="array" ref="K99">TwoAssetsVaR($N$6,$P$8,K$11,$I99)*$N$3</f>
        <v>276482.32579072268</v>
      </c>
      <c r="L99" s="3" cm="1">
        <f t="array" ref="L99">TwoAssetsVaR($N$6,$P$8,L$11,$I99)*$N$3</f>
        <v>327824.51494740968</v>
      </c>
      <c r="U99" s="5">
        <f t="shared" si="12"/>
        <v>88</v>
      </c>
      <c r="V99" s="3" cm="1">
        <f t="array" ref="V99">TwoAssetsVaR($N$6,$N$8,V$11,$U99)*$N$3</f>
        <v>-2362.983607306358</v>
      </c>
      <c r="W99" s="3" cm="1">
        <f t="array" ref="W99">TwoAssetsVaR($N$6,$N$8,W$11,$U99)*$N$3</f>
        <v>80462.271617142527</v>
      </c>
      <c r="X99" s="3" cm="1">
        <f t="array" ref="X99">TwoAssetsVaR($N$6,$N$8,X$11,$U99)*$N$3</f>
        <v>110782.94293757941</v>
      </c>
      <c r="AA99" s="5">
        <f t="shared" si="13"/>
        <v>88</v>
      </c>
      <c r="AB99" s="3" cm="1">
        <f t="array" ref="AB99">SingleAssetVaR($J$3,$J$4,AB$11,$AA99)*$N$3</f>
        <v>171003.66207211732</v>
      </c>
      <c r="AC99" s="3" cm="1">
        <f t="array" ref="AC99">SingleAssetVaR($J$3,$J$4,AC$11,$AA99)*$N$3</f>
        <v>253272.73105093019</v>
      </c>
      <c r="AD99" s="3" cm="1">
        <f t="array" ref="AD99">SingleAssetVaR($J$3,$J$4,AD$11,$AA99)*$N$3</f>
        <v>283389.79369788727</v>
      </c>
      <c r="AF99" s="5">
        <f t="shared" si="14"/>
        <v>88</v>
      </c>
      <c r="AG99" s="3" cm="1">
        <f t="array" ref="AG99">SingleAssetVaR($K$3,$K$4,AG$11,$AF99)*$N$3</f>
        <v>84136.167396049117</v>
      </c>
      <c r="AH99" s="3" cm="1">
        <f t="array" ref="AH99">SingleAssetVaR($K$3,$K$4,AH$11,$AF99)*$N$3</f>
        <v>229213.49740843938</v>
      </c>
      <c r="AI99" s="3" cm="1">
        <f t="array" ref="AI99">SingleAssetVaR($K$3,$K$4,AI$11,$AF99)*$N$3</f>
        <v>282323.40968618338</v>
      </c>
      <c r="AK99" s="3" t="str" cm="1">
        <f t="array" ref="AK99">CheckVaRAdditivity(AG99,AB99,V99)</f>
        <v>Subadditive</v>
      </c>
      <c r="AL99" s="3" t="str" cm="1">
        <f t="array" ref="AL99">CheckVaRAdditivity(AH99,AC99,W99)</f>
        <v>Subadditive</v>
      </c>
      <c r="AM99" s="3" t="str" cm="1">
        <f t="array" ref="AM99">CheckVaRAdditivity(AI99,AD99,X99)</f>
        <v>Subadditive</v>
      </c>
    </row>
    <row r="100" spans="1:39" x14ac:dyDescent="0.3">
      <c r="A100" s="2">
        <v>165.15768399999999</v>
      </c>
      <c r="B100" s="3">
        <f t="shared" si="9"/>
        <v>1.4613876075082785E-2</v>
      </c>
      <c r="D100" s="2">
        <v>300.51113900000001</v>
      </c>
      <c r="E100" s="3">
        <f t="shared" si="10"/>
        <v>5.8512566817177413E-3</v>
      </c>
      <c r="G100" s="3">
        <f t="shared" si="8"/>
        <v>2.7419874495908962E-3</v>
      </c>
      <c r="I100" s="5">
        <f t="shared" si="11"/>
        <v>89</v>
      </c>
      <c r="J100" s="3" cm="1">
        <f t="array" ref="J100">TwoAssetsVaR($N$6,$P$8,J$11,$I100)*$N$3</f>
        <v>135853.14618929001</v>
      </c>
      <c r="K100" s="3" cm="1">
        <f t="array" ref="K100">TwoAssetsVaR($N$6,$P$8,K$11,$I100)*$N$3</f>
        <v>276896.3030397704</v>
      </c>
      <c r="L100" s="3" cm="1">
        <f t="array" ref="L100">TwoAssetsVaR($N$6,$P$8,L$11,$I100)*$N$3</f>
        <v>328529.38511444977</v>
      </c>
      <c r="U100" s="5">
        <f t="shared" si="12"/>
        <v>89</v>
      </c>
      <c r="V100" s="3" cm="1">
        <f t="array" ref="V100">TwoAssetsVaR($N$6,$N$8,V$11,$U100)*$N$3</f>
        <v>-3528.8791110888947</v>
      </c>
      <c r="W100" s="3" cm="1">
        <f t="array" ref="W100">TwoAssetsVaR($N$6,$N$8,W$11,$U100)*$N$3</f>
        <v>79765.644770802377</v>
      </c>
      <c r="X100" s="3" cm="1">
        <f t="array" ref="X100">TwoAssetsVaR($N$6,$N$8,X$11,$U100)*$N$3</f>
        <v>110258.10597205198</v>
      </c>
      <c r="AA100" s="5">
        <f t="shared" si="13"/>
        <v>89</v>
      </c>
      <c r="AB100" s="3" cm="1">
        <f t="array" ref="AB100">SingleAssetVaR($J$3,$J$4,AB$11,$AA100)*$N$3</f>
        <v>171815.49096553234</v>
      </c>
      <c r="AC100" s="3" cm="1">
        <f t="array" ref="AC100">SingleAssetVaR($J$3,$J$4,AC$11,$AA100)*$N$3</f>
        <v>254550.67737971083</v>
      </c>
      <c r="AD100" s="3" cm="1">
        <f t="array" ref="AD100">SingleAssetVaR($J$3,$J$4,AD$11,$AA100)*$N$3</f>
        <v>284838.37630803091</v>
      </c>
      <c r="AF100" s="5">
        <f t="shared" si="14"/>
        <v>89</v>
      </c>
      <c r="AG100" s="3" cm="1">
        <f t="array" ref="AG100">SingleAssetVaR($K$3,$K$4,AG$11,$AF100)*$N$3</f>
        <v>83097.103327893521</v>
      </c>
      <c r="AH100" s="3" cm="1">
        <f t="array" ref="AH100">SingleAssetVaR($K$3,$K$4,AH$11,$AF100)*$N$3</f>
        <v>228996.40779355587</v>
      </c>
      <c r="AI100" s="3" cm="1">
        <f t="array" ref="AI100">SingleAssetVaR($K$3,$K$4,AI$11,$AF100)*$N$3</f>
        <v>282407.2284978893</v>
      </c>
      <c r="AK100" s="3" t="str" cm="1">
        <f t="array" ref="AK100">CheckVaRAdditivity(AG100,AB100,V100)</f>
        <v>Subadditive</v>
      </c>
      <c r="AL100" s="3" t="str" cm="1">
        <f t="array" ref="AL100">CheckVaRAdditivity(AH100,AC100,W100)</f>
        <v>Subadditive</v>
      </c>
      <c r="AM100" s="3" t="str" cm="1">
        <f t="array" ref="AM100">CheckVaRAdditivity(AI100,AD100,X100)</f>
        <v>Subadditive</v>
      </c>
    </row>
    <row r="101" spans="1:39" x14ac:dyDescent="0.3">
      <c r="A101" s="2">
        <v>164.26684599999999</v>
      </c>
      <c r="B101" s="3">
        <f t="shared" si="9"/>
        <v>-5.3938634789768682E-3</v>
      </c>
      <c r="D101" s="2">
        <v>298.64312699999999</v>
      </c>
      <c r="E101" s="3">
        <f t="shared" si="10"/>
        <v>-6.2161156695094135E-3</v>
      </c>
      <c r="G101" s="3">
        <f t="shared" ref="G101:G132" si="15">(B223+E223)/2</f>
        <v>3.218466441717369E-3</v>
      </c>
      <c r="I101" s="5">
        <f t="shared" si="11"/>
        <v>90</v>
      </c>
      <c r="J101" s="3" cm="1">
        <f t="array" ref="J101">TwoAssetsVaR($N$6,$P$8,J$11,$I101)*$N$3</f>
        <v>135461.76308290238</v>
      </c>
      <c r="K101" s="3" cm="1">
        <f t="array" ref="K101">TwoAssetsVaR($N$6,$P$8,K$11,$I101)*$N$3</f>
        <v>277295.08385741629</v>
      </c>
      <c r="L101" s="3" cm="1">
        <f t="array" ref="L101">TwoAssetsVaR($N$6,$P$8,L$11,$I101)*$N$3</f>
        <v>329217.42915941641</v>
      </c>
      <c r="U101" s="5">
        <f t="shared" si="12"/>
        <v>90</v>
      </c>
      <c r="V101" s="3" cm="1">
        <f t="array" ref="V101">TwoAssetsVaR($N$6,$N$8,V$11,$U101)*$N$3</f>
        <v>-4701.1200095907207</v>
      </c>
      <c r="W101" s="3" cm="1">
        <f t="array" ref="W101">TwoAssetsVaR($N$6,$N$8,W$11,$U101)*$N$3</f>
        <v>79060.043511618846</v>
      </c>
      <c r="X101" s="3" cm="1">
        <f t="array" ref="X101">TwoAssetsVaR($N$6,$N$8,X$11,$U101)*$N$3</f>
        <v>109723.3321626664</v>
      </c>
      <c r="AA101" s="5">
        <f t="shared" si="13"/>
        <v>90</v>
      </c>
      <c r="AB101" s="3" cm="1">
        <f t="array" ref="AB101">SingleAssetVaR($J$3,$J$4,AB$11,$AA101)*$N$3</f>
        <v>172621.01707467643</v>
      </c>
      <c r="AC101" s="3" cm="1">
        <f t="array" ref="AC101">SingleAssetVaR($J$3,$J$4,AC$11,$AA101)*$N$3</f>
        <v>255819.70956041839</v>
      </c>
      <c r="AD101" s="3" cm="1">
        <f t="array" ref="AD101">SingleAssetVaR($J$3,$J$4,AD$11,$AA101)*$N$3</f>
        <v>286277.0888019813</v>
      </c>
      <c r="AF101" s="5">
        <f t="shared" si="14"/>
        <v>90</v>
      </c>
      <c r="AG101" s="3" cm="1">
        <f t="array" ref="AG101">SingleAssetVaR($K$3,$K$4,AG$11,$AF101)*$N$3</f>
        <v>82046.924619387602</v>
      </c>
      <c r="AH101" s="3" cm="1">
        <f t="array" ref="AH101">SingleAssetVaR($K$3,$K$4,AH$11,$AF101)*$N$3</f>
        <v>228763.59853071946</v>
      </c>
      <c r="AI101" s="3" cm="1">
        <f t="array" ref="AI101">SingleAssetVaR($K$3,$K$4,AI$11,$AF101)*$N$3</f>
        <v>282473.64186035423</v>
      </c>
      <c r="AK101" s="3" t="str" cm="1">
        <f t="array" ref="AK101">CheckVaRAdditivity(AG101,AB101,V101)</f>
        <v>Subadditive</v>
      </c>
      <c r="AL101" s="3" t="str" cm="1">
        <f t="array" ref="AL101">CheckVaRAdditivity(AH101,AC101,W101)</f>
        <v>Subadditive</v>
      </c>
      <c r="AM101" s="3" t="str" cm="1">
        <f t="array" ref="AM101">CheckVaRAdditivity(AI101,AD101,X101)</f>
        <v>Subadditive</v>
      </c>
    </row>
    <row r="102" spans="1:39" x14ac:dyDescent="0.3">
      <c r="A102" s="2">
        <v>167.438614</v>
      </c>
      <c r="B102" s="3">
        <f t="shared" si="9"/>
        <v>1.9308631517768439E-2</v>
      </c>
      <c r="D102" s="2">
        <v>297.42440800000003</v>
      </c>
      <c r="E102" s="3">
        <f t="shared" si="10"/>
        <v>-4.0808540020409196E-3</v>
      </c>
      <c r="G102" s="3">
        <f t="shared" si="15"/>
        <v>1.1464277474747624E-3</v>
      </c>
      <c r="I102" s="5">
        <f t="shared" si="11"/>
        <v>91</v>
      </c>
      <c r="J102" s="3" cm="1">
        <f t="array" ref="J102">TwoAssetsVaR($N$6,$P$8,J$11,$I102)*$N$3</f>
        <v>135059.81386768064</v>
      </c>
      <c r="K102" s="3" cm="1">
        <f t="array" ref="K102">TwoAssetsVaR($N$6,$P$8,K$11,$I102)*$N$3</f>
        <v>277678.92082570057</v>
      </c>
      <c r="L102" s="3" cm="1">
        <f t="array" ref="L102">TwoAssetsVaR($N$6,$P$8,L$11,$I102)*$N$3</f>
        <v>329888.92675166932</v>
      </c>
      <c r="U102" s="5">
        <f t="shared" si="12"/>
        <v>91</v>
      </c>
      <c r="V102" s="3" cm="1">
        <f t="array" ref="V102">TwoAssetsVaR($N$6,$N$8,V$11,$U102)*$N$3</f>
        <v>-5879.6008351069358</v>
      </c>
      <c r="W102" s="3" cm="1">
        <f t="array" ref="W102">TwoAssetsVaR($N$6,$N$8,W$11,$U102)*$N$3</f>
        <v>78345.617004579661</v>
      </c>
      <c r="X102" s="3" cm="1">
        <f t="array" ref="X102">TwoAssetsVaR($N$6,$N$8,X$11,$U102)*$N$3</f>
        <v>109178.78667111268</v>
      </c>
      <c r="AA102" s="5">
        <f t="shared" si="13"/>
        <v>91</v>
      </c>
      <c r="AB102" s="3" cm="1">
        <f t="array" ref="AB102">SingleAssetVaR($J$3,$J$4,AB$11,$AA102)*$N$3</f>
        <v>173420.34515902033</v>
      </c>
      <c r="AC102" s="3" cm="1">
        <f t="array" ref="AC102">SingleAssetVaR($J$3,$J$4,AC$11,$AA102)*$N$3</f>
        <v>257079.97575637142</v>
      </c>
      <c r="AD102" s="3" cm="1">
        <f t="array" ref="AD102">SingleAssetVaR($J$3,$J$4,AD$11,$AA102)*$N$3</f>
        <v>287706.09523233859</v>
      </c>
      <c r="AF102" s="5">
        <f t="shared" si="14"/>
        <v>91</v>
      </c>
      <c r="AG102" s="3" cm="1">
        <f t="array" ref="AG102">SingleAssetVaR($K$3,$K$4,AG$11,$AF102)*$N$3</f>
        <v>80985.816008543639</v>
      </c>
      <c r="AH102" s="3" cm="1">
        <f t="array" ref="AH102">SingleAssetVaR($K$3,$K$4,AH$11,$AF102)*$N$3</f>
        <v>228515.33089842639</v>
      </c>
      <c r="AI102" s="3" cm="1">
        <f t="array" ref="AI102">SingleAssetVaR($K$3,$K$4,AI$11,$AF102)*$N$3</f>
        <v>282522.93907201645</v>
      </c>
      <c r="AK102" s="3" t="str" cm="1">
        <f t="array" ref="AK102">CheckVaRAdditivity(AG102,AB102,V102)</f>
        <v>Subadditive</v>
      </c>
      <c r="AL102" s="3" t="str" cm="1">
        <f t="array" ref="AL102">CheckVaRAdditivity(AH102,AC102,W102)</f>
        <v>Subadditive</v>
      </c>
      <c r="AM102" s="3" t="str" cm="1">
        <f t="array" ref="AM102">CheckVaRAdditivity(AI102,AD102,X102)</f>
        <v>Subadditive</v>
      </c>
    </row>
    <row r="103" spans="1:39" x14ac:dyDescent="0.3">
      <c r="A103" s="2">
        <v>166.998108</v>
      </c>
      <c r="B103" s="3">
        <f t="shared" si="9"/>
        <v>-2.6308507307639274E-3</v>
      </c>
      <c r="D103" s="2">
        <v>303.63781699999998</v>
      </c>
      <c r="E103" s="3">
        <f t="shared" si="10"/>
        <v>2.0890716541326883E-2</v>
      </c>
      <c r="G103" s="3">
        <f t="shared" si="15"/>
        <v>-5.8513606543858076E-4</v>
      </c>
      <c r="I103" s="5">
        <f t="shared" si="11"/>
        <v>92</v>
      </c>
      <c r="J103" s="3" cm="1">
        <f t="array" ref="J103">TwoAssetsVaR($N$6,$P$8,J$11,$I103)*$N$3</f>
        <v>134647.47223965832</v>
      </c>
      <c r="K103" s="3" cm="1">
        <f t="array" ref="K103">TwoAssetsVaR($N$6,$P$8,K$11,$I103)*$N$3</f>
        <v>278048.05960623809</v>
      </c>
      <c r="L103" s="3" cm="1">
        <f t="array" ref="L103">TwoAssetsVaR($N$6,$P$8,L$11,$I103)*$N$3</f>
        <v>330544.14989798504</v>
      </c>
      <c r="U103" s="5">
        <f t="shared" si="12"/>
        <v>92</v>
      </c>
      <c r="V103" s="3" cm="1">
        <f t="array" ref="V103">TwoAssetsVaR($N$6,$N$8,V$11,$U103)*$N$3</f>
        <v>-7064.219009612937</v>
      </c>
      <c r="W103" s="3" cm="1">
        <f t="array" ref="W103">TwoAssetsVaR($N$6,$N$8,W$11,$U103)*$N$3</f>
        <v>77622.510327742595</v>
      </c>
      <c r="X103" s="3" cm="1">
        <f t="array" ref="X103">TwoAssetsVaR($N$6,$N$8,X$11,$U103)*$N$3</f>
        <v>108624.63013386168</v>
      </c>
      <c r="AA103" s="5">
        <f t="shared" si="13"/>
        <v>92</v>
      </c>
      <c r="AB103" s="3" cm="1">
        <f t="array" ref="AB103">SingleAssetVaR($J$3,$J$4,AB$11,$AA103)*$N$3</f>
        <v>174213.57710775899</v>
      </c>
      <c r="AC103" s="3" cm="1">
        <f t="array" ref="AC103">SingleAssetVaR($J$3,$J$4,AC$11,$AA103)*$N$3</f>
        <v>258331.62007140281</v>
      </c>
      <c r="AD103" s="3" cm="1">
        <f t="array" ref="AD103">SingleAssetVaR($J$3,$J$4,AD$11,$AA103)*$N$3</f>
        <v>289125.55515687121</v>
      </c>
      <c r="AF103" s="5">
        <f t="shared" si="14"/>
        <v>92</v>
      </c>
      <c r="AG103" s="3" cm="1">
        <f t="array" ref="AG103">SingleAssetVaR($K$3,$K$4,AG$11,$AF103)*$N$3</f>
        <v>79913.957171788774</v>
      </c>
      <c r="AH103" s="3" cm="1">
        <f t="array" ref="AH103">SingleAssetVaR($K$3,$K$4,AH$11,$AF103)*$N$3</f>
        <v>228251.85901647637</v>
      </c>
      <c r="AI103" s="3" cm="1">
        <f t="array" ref="AI103">SingleAssetVaR($K$3,$K$4,AI$11,$AF103)*$N$3</f>
        <v>282555.40150490735</v>
      </c>
      <c r="AK103" s="3" t="str" cm="1">
        <f t="array" ref="AK103">CheckVaRAdditivity(AG103,AB103,V103)</f>
        <v>Subadditive</v>
      </c>
      <c r="AL103" s="3" t="str" cm="1">
        <f t="array" ref="AL103">CheckVaRAdditivity(AH103,AC103,W103)</f>
        <v>Subadditive</v>
      </c>
      <c r="AM103" s="3" t="str" cm="1">
        <f t="array" ref="AM103">CheckVaRAdditivity(AI103,AD103,X103)</f>
        <v>Subadditive</v>
      </c>
    </row>
    <row r="104" spans="1:39" x14ac:dyDescent="0.3">
      <c r="A104" s="2">
        <v>165.06958</v>
      </c>
      <c r="B104" s="3">
        <f t="shared" si="9"/>
        <v>-1.1548202689817301E-2</v>
      </c>
      <c r="D104" s="2">
        <v>299.89181500000001</v>
      </c>
      <c r="E104" s="3">
        <f t="shared" si="10"/>
        <v>-1.2337073283595554E-2</v>
      </c>
      <c r="G104" s="3">
        <f t="shared" si="15"/>
        <v>-1.092175893418088E-2</v>
      </c>
      <c r="I104" s="5">
        <f t="shared" si="11"/>
        <v>93</v>
      </c>
      <c r="J104" s="3" cm="1">
        <f t="array" ref="J104">TwoAssetsVaR($N$6,$P$8,J$11,$I104)*$N$3</f>
        <v>134224.90718741427</v>
      </c>
      <c r="K104" s="3" cm="1">
        <f t="array" ref="K104">TwoAssetsVaR($N$6,$P$8,K$11,$I104)*$N$3</f>
        <v>278402.73920280085</v>
      </c>
      <c r="L104" s="3" cm="1">
        <f t="array" ref="L104">TwoAssetsVaR($N$6,$P$8,L$11,$I104)*$N$3</f>
        <v>331183.36323329911</v>
      </c>
      <c r="U104" s="5">
        <f t="shared" si="12"/>
        <v>93</v>
      </c>
      <c r="V104" s="3" cm="1">
        <f t="array" ref="V104">TwoAssetsVaR($N$6,$N$8,V$11,$U104)*$N$3</f>
        <v>-8254.874735121075</v>
      </c>
      <c r="W104" s="3" cm="1">
        <f t="array" ref="W104">TwoAssetsVaR($N$6,$N$8,W$11,$U104)*$N$3</f>
        <v>76890.864627306015</v>
      </c>
      <c r="X104" s="3" cm="1">
        <f t="array" ref="X104">TwoAssetsVaR($N$6,$N$8,X$11,$U104)*$N$3</f>
        <v>108061.01883386572</v>
      </c>
      <c r="AA104" s="5">
        <f t="shared" si="13"/>
        <v>93</v>
      </c>
      <c r="AB104" s="3" cm="1">
        <f t="array" ref="AB104">SingleAssetVaR($J$3,$J$4,AB$11,$AA104)*$N$3</f>
        <v>175000.8120487188</v>
      </c>
      <c r="AC104" s="3" cm="1">
        <f t="array" ref="AC104">SingleAssetVaR($J$3,$J$4,AC$11,$AA104)*$N$3</f>
        <v>259574.78270388918</v>
      </c>
      <c r="AD104" s="3" cm="1">
        <f t="array" ref="AD104">SingleAssetVaR($J$3,$J$4,AD$11,$AA104)*$N$3</f>
        <v>290535.62380906381</v>
      </c>
      <c r="AF104" s="5">
        <f t="shared" si="14"/>
        <v>93</v>
      </c>
      <c r="AG104" s="3" cm="1">
        <f t="array" ref="AG104">SingleAssetVaR($K$3,$K$4,AG$11,$AF104)*$N$3</f>
        <v>78831.522916016678</v>
      </c>
      <c r="AH104" s="3" cm="1">
        <f t="array" ref="AH104">SingleAssetVaR($K$3,$K$4,AH$11,$AF104)*$N$3</f>
        <v>227973.43011759507</v>
      </c>
      <c r="AI104" s="3" cm="1">
        <f t="array" ref="AI104">SingleAssetVaR($K$3,$K$4,AI$11,$AF104)*$N$3</f>
        <v>282571.30290540267</v>
      </c>
      <c r="AK104" s="3" t="str" cm="1">
        <f t="array" ref="AK104">CheckVaRAdditivity(AG104,AB104,V104)</f>
        <v>Subadditive</v>
      </c>
      <c r="AL104" s="3" t="str" cm="1">
        <f t="array" ref="AL104">CheckVaRAdditivity(AH104,AC104,W104)</f>
        <v>Subadditive</v>
      </c>
      <c r="AM104" s="3" t="str" cm="1">
        <f t="array" ref="AM104">CheckVaRAdditivity(AI104,AD104,X104)</f>
        <v>Subadditive</v>
      </c>
    </row>
    <row r="105" spans="1:39" x14ac:dyDescent="0.3">
      <c r="A105" s="2">
        <v>163.03338600000001</v>
      </c>
      <c r="B105" s="3">
        <f t="shared" si="9"/>
        <v>-1.2335367909702046E-2</v>
      </c>
      <c r="D105" s="2">
        <v>306.49481200000002</v>
      </c>
      <c r="E105" s="3">
        <f t="shared" si="10"/>
        <v>2.2017930032535285E-2</v>
      </c>
      <c r="G105" s="3">
        <f t="shared" si="15"/>
        <v>1.4309641055331181E-3</v>
      </c>
      <c r="I105" s="5">
        <f t="shared" si="11"/>
        <v>94</v>
      </c>
      <c r="J105" s="3" cm="1">
        <f t="array" ref="J105">TwoAssetsVaR($N$6,$P$8,J$11,$I105)*$N$3</f>
        <v>133792.28316877119</v>
      </c>
      <c r="K105" s="3" cm="1">
        <f t="array" ref="K105">TwoAssetsVaR($N$6,$P$8,K$11,$I105)*$N$3</f>
        <v>278743.19221122598</v>
      </c>
      <c r="L105" s="3" cm="1">
        <f t="array" ref="L105">TwoAssetsVaR($N$6,$P$8,L$11,$I105)*$N$3</f>
        <v>331806.82429741439</v>
      </c>
      <c r="U105" s="5">
        <f t="shared" si="12"/>
        <v>94</v>
      </c>
      <c r="V105" s="3" cm="1">
        <f t="array" ref="V105">TwoAssetsVaR($N$6,$N$8,V$11,$U105)*$N$3</f>
        <v>-9451.4708893296483</v>
      </c>
      <c r="W105" s="3" cm="1">
        <f t="array" ref="W105">TwoAssetsVaR($N$6,$N$8,W$11,$U105)*$N$3</f>
        <v>76150.81726519471</v>
      </c>
      <c r="X105" s="3" cm="1">
        <f t="array" ref="X105">TwoAssetsVaR($N$6,$N$8,X$11,$U105)*$N$3</f>
        <v>107488.10486397168</v>
      </c>
      <c r="AA105" s="5">
        <f t="shared" si="13"/>
        <v>94</v>
      </c>
      <c r="AB105" s="3" cm="1">
        <f t="array" ref="AB105">SingleAssetVaR($J$3,$J$4,AB$11,$AA105)*$N$3</f>
        <v>175782.14645200822</v>
      </c>
      <c r="AC105" s="3" cm="1">
        <f t="array" ref="AC105">SingleAssetVaR($J$3,$J$4,AC$11,$AA105)*$N$3</f>
        <v>260809.60009334574</v>
      </c>
      <c r="AD105" s="3" cm="1">
        <f t="array" ref="AD105">SingleAssetVaR($J$3,$J$4,AD$11,$AA105)*$N$3</f>
        <v>291936.45226043288</v>
      </c>
      <c r="AF105" s="5">
        <f t="shared" si="14"/>
        <v>94</v>
      </c>
      <c r="AG105" s="3" cm="1">
        <f t="array" ref="AG105">SingleAssetVaR($K$3,$K$4,AG$11,$AF105)*$N$3</f>
        <v>77738.683361369913</v>
      </c>
      <c r="AH105" s="3" cm="1">
        <f t="array" ref="AH105">SingleAssetVaR($K$3,$K$4,AH$11,$AF105)*$N$3</f>
        <v>227680.28480594655</v>
      </c>
      <c r="AI105" s="3" cm="1">
        <f t="array" ref="AI105">SingleAssetVaR($K$3,$K$4,AI$11,$AF105)*$N$3</f>
        <v>282570.90968045866</v>
      </c>
      <c r="AK105" s="3" t="str" cm="1">
        <f t="array" ref="AK105">CheckVaRAdditivity(AG105,AB105,V105)</f>
        <v>Subadditive</v>
      </c>
      <c r="AL105" s="3" t="str" cm="1">
        <f t="array" ref="AL105">CheckVaRAdditivity(AH105,AC105,W105)</f>
        <v>Subadditive</v>
      </c>
      <c r="AM105" s="3" t="str" cm="1">
        <f t="array" ref="AM105">CheckVaRAdditivity(AI105,AD105,X105)</f>
        <v>Subadditive</v>
      </c>
    </row>
    <row r="106" spans="1:39" x14ac:dyDescent="0.3">
      <c r="A106" s="2">
        <v>163.41516100000001</v>
      </c>
      <c r="B106" s="3">
        <f t="shared" si="9"/>
        <v>2.3416982825836949E-3</v>
      </c>
      <c r="D106" s="2">
        <v>300.62103300000001</v>
      </c>
      <c r="E106" s="3">
        <f t="shared" si="10"/>
        <v>-1.916436680174545E-2</v>
      </c>
      <c r="G106" s="3">
        <f t="shared" si="15"/>
        <v>-3.937789031873461E-3</v>
      </c>
      <c r="I106" s="5">
        <f t="shared" si="11"/>
        <v>95</v>
      </c>
      <c r="J106" s="3" cm="1">
        <f t="array" ref="J106">TwoAssetsVaR($N$6,$P$8,J$11,$I106)*$N$3</f>
        <v>133349.76027905763</v>
      </c>
      <c r="K106" s="3" cm="1">
        <f t="array" ref="K106">TwoAssetsVaR($N$6,$P$8,K$11,$I106)*$N$3</f>
        <v>279069.64505739167</v>
      </c>
      <c r="L106" s="3" cm="1">
        <f t="array" ref="L106">TwoAssetsVaR($N$6,$P$8,L$11,$I106)*$N$3</f>
        <v>332414.78379849839</v>
      </c>
      <c r="U106" s="5">
        <f t="shared" si="12"/>
        <v>95</v>
      </c>
      <c r="V106" s="3" cm="1">
        <f t="array" ref="V106">TwoAssetsVaR($N$6,$N$8,V$11,$U106)*$N$3</f>
        <v>-10653.912926253755</v>
      </c>
      <c r="W106" s="3" cm="1">
        <f t="array" ref="W106">TwoAssetsVaR($N$6,$N$8,W$11,$U106)*$N$3</f>
        <v>75402.501959599322</v>
      </c>
      <c r="X106" s="3" cm="1">
        <f t="array" ref="X106">TwoAssetsVaR($N$6,$N$8,X$11,$U106)*$N$3</f>
        <v>106906.03628253222</v>
      </c>
      <c r="AA106" s="5">
        <f t="shared" si="13"/>
        <v>95</v>
      </c>
      <c r="AB106" s="3" cm="1">
        <f t="array" ref="AB106">SingleAssetVaR($J$3,$J$4,AB$11,$AA106)*$N$3</f>
        <v>176557.67422871894</v>
      </c>
      <c r="AC106" s="3" cm="1">
        <f t="array" ref="AC106">SingleAssetVaR($J$3,$J$4,AC$11,$AA106)*$N$3</f>
        <v>262036.20506002178</v>
      </c>
      <c r="AD106" s="3" cm="1">
        <f t="array" ref="AD106">SingleAssetVaR($J$3,$J$4,AD$11,$AA106)*$N$3</f>
        <v>293328.187575093</v>
      </c>
      <c r="AF106" s="5">
        <f t="shared" si="14"/>
        <v>95</v>
      </c>
      <c r="AG106" s="3" cm="1">
        <f t="array" ref="AG106">SingleAssetVaR($K$3,$K$4,AG$11,$AF106)*$N$3</f>
        <v>76635.604115295107</v>
      </c>
      <c r="AH106" s="3" cm="1">
        <f t="array" ref="AH106">SingleAssetVaR($K$3,$K$4,AH$11,$AF106)*$N$3</f>
        <v>227372.65730330299</v>
      </c>
      <c r="AI106" s="3" cm="1">
        <f t="array" ref="AI106">SingleAssetVaR($K$3,$K$4,AI$11,$AF106)*$N$3</f>
        <v>282554.48117018148</v>
      </c>
      <c r="AK106" s="3" t="str" cm="1">
        <f t="array" ref="AK106">CheckVaRAdditivity(AG106,AB106,V106)</f>
        <v>Subadditive</v>
      </c>
      <c r="AL106" s="3" t="str" cm="1">
        <f t="array" ref="AL106">CheckVaRAdditivity(AH106,AC106,W106)</f>
        <v>Subadditive</v>
      </c>
      <c r="AM106" s="3" t="str" cm="1">
        <f t="array" ref="AM106">CheckVaRAdditivity(AI106,AD106,X106)</f>
        <v>Subadditive</v>
      </c>
    </row>
    <row r="107" spans="1:39" x14ac:dyDescent="0.3">
      <c r="A107" s="2">
        <v>159.607056</v>
      </c>
      <c r="B107" s="3">
        <f t="shared" si="9"/>
        <v>-2.3303253974091252E-2</v>
      </c>
      <c r="D107" s="2">
        <v>305.25610399999999</v>
      </c>
      <c r="E107" s="3">
        <f t="shared" si="10"/>
        <v>1.5418319050217561E-2</v>
      </c>
      <c r="G107" s="3">
        <f t="shared" si="15"/>
        <v>1.0188854449100684E-2</v>
      </c>
      <c r="I107" s="5">
        <f t="shared" si="11"/>
        <v>96</v>
      </c>
      <c r="J107" s="3" cm="1">
        <f t="array" ref="J107">TwoAssetsVaR($N$6,$P$8,J$11,$I107)*$N$3</f>
        <v>132897.49441141961</v>
      </c>
      <c r="K107" s="3" cm="1">
        <f t="array" ref="K107">TwoAssetsVaR($N$6,$P$8,K$11,$I107)*$N$3</f>
        <v>279382.31822394941</v>
      </c>
      <c r="L107" s="3" cm="1">
        <f t="array" ref="L107">TwoAssetsVaR($N$6,$P$8,L$11,$I107)*$N$3</f>
        <v>333007.48586413014</v>
      </c>
      <c r="U107" s="5">
        <f t="shared" si="12"/>
        <v>96</v>
      </c>
      <c r="V107" s="3" cm="1">
        <f t="array" ref="V107">TwoAssetsVaR($N$6,$N$8,V$11,$U107)*$N$3</f>
        <v>-11862.108781551897</v>
      </c>
      <c r="W107" s="3" cm="1">
        <f t="array" ref="W107">TwoAssetsVaR($N$6,$N$8,W$11,$U107)*$N$3</f>
        <v>74646.048918874978</v>
      </c>
      <c r="X107" s="3" cm="1">
        <f t="array" ref="X107">TwoAssetsVaR($N$6,$N$8,X$11,$U107)*$N$3</f>
        <v>106314.95726166382</v>
      </c>
      <c r="AA107" s="5">
        <f t="shared" si="13"/>
        <v>96</v>
      </c>
      <c r="AB107" s="3" cm="1">
        <f t="array" ref="AB107">SingleAssetVaR($J$3,$J$4,AB$11,$AA107)*$N$3</f>
        <v>177327.48682496426</v>
      </c>
      <c r="AC107" s="3" cm="1">
        <f t="array" ref="AC107">SingleAssetVaR($J$3,$J$4,AC$11,$AA107)*$N$3</f>
        <v>263254.72693790041</v>
      </c>
      <c r="AD107" s="3" cm="1">
        <f t="array" ref="AD107">SingleAssetVaR($J$3,$J$4,AD$11,$AA107)*$N$3</f>
        <v>294710.97295701958</v>
      </c>
      <c r="AF107" s="5">
        <f t="shared" si="14"/>
        <v>96</v>
      </c>
      <c r="AG107" s="3" cm="1">
        <f t="array" ref="AG107">SingleAssetVaR($K$3,$K$4,AG$11,$AF107)*$N$3</f>
        <v>75522.446438374478</v>
      </c>
      <c r="AH107" s="3" cm="1">
        <f t="array" ref="AH107">SingleAssetVaR($K$3,$K$4,AH$11,$AF107)*$N$3</f>
        <v>227050.77568358314</v>
      </c>
      <c r="AI107" s="3" cm="1">
        <f t="array" ref="AI107">SingleAssetVaR($K$3,$K$4,AI$11,$AF107)*$N$3</f>
        <v>282522.26990751759</v>
      </c>
      <c r="AK107" s="3" t="str" cm="1">
        <f t="array" ref="AK107">CheckVaRAdditivity(AG107,AB107,V107)</f>
        <v>Subadditive</v>
      </c>
      <c r="AL107" s="3" t="str" cm="1">
        <f t="array" ref="AL107">CheckVaRAdditivity(AH107,AC107,W107)</f>
        <v>Subadditive</v>
      </c>
      <c r="AM107" s="3" t="str" cm="1">
        <f t="array" ref="AM107">CheckVaRAdditivity(AI107,AD107,X107)</f>
        <v>Subadditive</v>
      </c>
    </row>
    <row r="108" spans="1:39" x14ac:dyDescent="0.3">
      <c r="A108" s="2">
        <v>160.448959</v>
      </c>
      <c r="B108" s="3">
        <f t="shared" si="9"/>
        <v>5.274848249816738E-3</v>
      </c>
      <c r="D108" s="2">
        <v>304.46697999999998</v>
      </c>
      <c r="E108" s="3">
        <f t="shared" si="10"/>
        <v>-2.5851211152194201E-3</v>
      </c>
      <c r="G108" s="3">
        <f t="shared" si="15"/>
        <v>8.3261095865412391E-3</v>
      </c>
      <c r="I108" s="5">
        <f t="shared" si="11"/>
        <v>97</v>
      </c>
      <c r="J108" s="3" cm="1">
        <f t="array" ref="J108">TwoAssetsVaR($N$6,$P$8,J$11,$I108)*$N$3</f>
        <v>132435.63740963681</v>
      </c>
      <c r="K108" s="3" cm="1">
        <f t="array" ref="K108">TwoAssetsVaR($N$6,$P$8,K$11,$I108)*$N$3</f>
        <v>279681.42646645458</v>
      </c>
      <c r="L108" s="3" cm="1">
        <f t="array" ref="L108">TwoAssetsVaR($N$6,$P$8,L$11,$I108)*$N$3</f>
        <v>333585.16828060913</v>
      </c>
      <c r="U108" s="5">
        <f t="shared" si="12"/>
        <v>97</v>
      </c>
      <c r="V108" s="3" cm="1">
        <f t="array" ref="V108">TwoAssetsVaR($N$6,$N$8,V$11,$U108)*$N$3</f>
        <v>-13075.968782278374</v>
      </c>
      <c r="W108" s="3" cm="1">
        <f t="array" ref="W108">TwoAssetsVaR($N$6,$N$8,W$11,$U108)*$N$3</f>
        <v>73881.584969180039</v>
      </c>
      <c r="X108" s="3" cm="1">
        <f t="array" ref="X108">TwoAssetsVaR($N$6,$N$8,X$11,$U108)*$N$3</f>
        <v>105715.00822857377</v>
      </c>
      <c r="AA108" s="5">
        <f t="shared" si="13"/>
        <v>97</v>
      </c>
      <c r="AB108" s="3" cm="1">
        <f t="array" ref="AB108">SingleAssetVaR($J$3,$J$4,AB$11,$AA108)*$N$3</f>
        <v>178091.67331152014</v>
      </c>
      <c r="AC108" s="3" cm="1">
        <f t="array" ref="AC108">SingleAssetVaR($J$3,$J$4,AC$11,$AA108)*$N$3</f>
        <v>264465.29170147981</v>
      </c>
      <c r="AD108" s="3" cm="1">
        <f t="array" ref="AD108">SingleAssetVaR($J$3,$J$4,AD$11,$AA108)*$N$3</f>
        <v>296084.94789042615</v>
      </c>
      <c r="AF108" s="5">
        <f t="shared" si="14"/>
        <v>97</v>
      </c>
      <c r="AG108" s="3" cm="1">
        <f t="array" ref="AG108">SingleAssetVaR($K$3,$K$4,AG$11,$AF108)*$N$3</f>
        <v>74399.367402403106</v>
      </c>
      <c r="AH108" s="3" cm="1">
        <f t="array" ref="AH108">SingleAssetVaR($K$3,$K$4,AH$11,$AF108)*$N$3</f>
        <v>226714.8620964243</v>
      </c>
      <c r="AI108" s="3" cm="1">
        <f t="array" ref="AI108">SingleAssetVaR($K$3,$K$4,AI$11,$AF108)*$N$3</f>
        <v>282474.52186580223</v>
      </c>
      <c r="AK108" s="3" t="str" cm="1">
        <f t="array" ref="AK108">CheckVaRAdditivity(AG108,AB108,V108)</f>
        <v>Subadditive</v>
      </c>
      <c r="AL108" s="3" t="str" cm="1">
        <f t="array" ref="AL108">CheckVaRAdditivity(AH108,AC108,W108)</f>
        <v>Subadditive</v>
      </c>
      <c r="AM108" s="3" t="str" cm="1">
        <f t="array" ref="AM108">CheckVaRAdditivity(AI108,AD108,X108)</f>
        <v>Subadditive</v>
      </c>
    </row>
    <row r="109" spans="1:39" x14ac:dyDescent="0.3">
      <c r="A109" s="2">
        <v>158.81411700000001</v>
      </c>
      <c r="B109" s="3">
        <f t="shared" si="9"/>
        <v>-1.0189171747758064E-2</v>
      </c>
      <c r="D109" s="2">
        <v>315.09567299999998</v>
      </c>
      <c r="E109" s="3">
        <f t="shared" si="10"/>
        <v>3.4909181284617459E-2</v>
      </c>
      <c r="G109" s="3">
        <f t="shared" si="15"/>
        <v>1.1484891127625576E-2</v>
      </c>
      <c r="I109" s="5">
        <f t="shared" si="11"/>
        <v>98</v>
      </c>
      <c r="J109" s="3" cm="1">
        <f t="array" ref="J109">TwoAssetsVaR($N$6,$P$8,J$11,$I109)*$N$3</f>
        <v>131964.33721386682</v>
      </c>
      <c r="K109" s="3" cm="1">
        <f t="array" ref="K109">TwoAssetsVaR($N$6,$P$8,K$11,$I109)*$N$3</f>
        <v>279967.17901949509</v>
      </c>
      <c r="L109" s="3" cm="1">
        <f t="array" ref="L109">TwoAssetsVaR($N$6,$P$8,L$11,$I109)*$N$3</f>
        <v>334148.06272119004</v>
      </c>
      <c r="U109" s="5">
        <f t="shared" si="12"/>
        <v>98</v>
      </c>
      <c r="V109" s="3" cm="1">
        <f t="array" ref="V109">TwoAssetsVaR($N$6,$N$8,V$11,$U109)*$N$3</f>
        <v>-14295.405560812778</v>
      </c>
      <c r="W109" s="3" cm="1">
        <f t="array" ref="W109">TwoAssetsVaR($N$6,$N$8,W$11,$U109)*$N$3</f>
        <v>73109.233676207325</v>
      </c>
      <c r="X109" s="3" cm="1">
        <f t="array" ref="X109">TwoAssetsVaR($N$6,$N$8,X$11,$U109)*$N$3</f>
        <v>105106.32600034609</v>
      </c>
      <c r="AA109" s="5">
        <f t="shared" si="13"/>
        <v>98</v>
      </c>
      <c r="AB109" s="3" cm="1">
        <f t="array" ref="AB109">SingleAssetVaR($J$3,$J$4,AB$11,$AA109)*$N$3</f>
        <v>178850.3204693179</v>
      </c>
      <c r="AC109" s="3" cm="1">
        <f t="array" ref="AC109">SingleAssetVaR($J$3,$J$4,AC$11,$AA109)*$N$3</f>
        <v>265668.02208668721</v>
      </c>
      <c r="AD109" s="3" cm="1">
        <f t="array" ref="AD109">SingleAssetVaR($J$3,$J$4,AD$11,$AA109)*$N$3</f>
        <v>297450.24827364588</v>
      </c>
      <c r="AF109" s="5">
        <f t="shared" si="14"/>
        <v>98</v>
      </c>
      <c r="AG109" s="3" cm="1">
        <f t="array" ref="AG109">SingleAssetVaR($K$3,$K$4,AG$11,$AF109)*$N$3</f>
        <v>73266.520041151511</v>
      </c>
      <c r="AH109" s="3" cm="1">
        <f t="array" ref="AH109">SingleAssetVaR($K$3,$K$4,AH$11,$AF109)*$N$3</f>
        <v>226365.13298040855</v>
      </c>
      <c r="AI109" s="3" cm="1">
        <f t="array" ref="AI109">SingleAssetVaR($K$3,$K$4,AI$11,$AF109)*$N$3</f>
        <v>282411.4766948524</v>
      </c>
      <c r="AK109" s="3" t="str" cm="1">
        <f t="array" ref="AK109">CheckVaRAdditivity(AG109,AB109,V109)</f>
        <v>Subadditive</v>
      </c>
      <c r="AL109" s="3" t="str" cm="1">
        <f t="array" ref="AL109">CheckVaRAdditivity(AH109,AC109,W109)</f>
        <v>Subadditive</v>
      </c>
      <c r="AM109" s="3" t="str" cm="1">
        <f t="array" ref="AM109">CheckVaRAdditivity(AI109,AD109,X109)</f>
        <v>Subadditive</v>
      </c>
    </row>
    <row r="110" spans="1:39" x14ac:dyDescent="0.3">
      <c r="A110" s="2">
        <v>163.20959500000001</v>
      </c>
      <c r="B110" s="3">
        <f t="shared" si="9"/>
        <v>2.7676872075547268E-2</v>
      </c>
      <c r="D110" s="2">
        <v>318.02255200000002</v>
      </c>
      <c r="E110" s="3">
        <f t="shared" si="10"/>
        <v>9.2888581177058647E-3</v>
      </c>
      <c r="G110" s="3">
        <f t="shared" si="15"/>
        <v>4.9035332671905256E-3</v>
      </c>
      <c r="I110" s="5">
        <f t="shared" si="11"/>
        <v>99</v>
      </c>
      <c r="J110" s="3" cm="1">
        <f t="array" ref="J110">TwoAssetsVaR($N$6,$P$8,J$11,$I110)*$N$3</f>
        <v>131483.73799971392</v>
      </c>
      <c r="K110" s="3" cm="1">
        <f t="array" ref="K110">TwoAssetsVaR($N$6,$P$8,K$11,$I110)*$N$3</f>
        <v>280239.77979337948</v>
      </c>
      <c r="L110" s="3" cm="1">
        <f t="array" ref="L110">TwoAssetsVaR($N$6,$P$8,L$11,$I110)*$N$3</f>
        <v>334696.39496386319</v>
      </c>
      <c r="U110" s="5">
        <f t="shared" si="12"/>
        <v>99</v>
      </c>
      <c r="V110" s="3" cm="1">
        <f t="array" ref="V110">TwoAssetsVaR($N$6,$N$8,V$11,$U110)*$N$3</f>
        <v>-15520.333972731394</v>
      </c>
      <c r="W110" s="3" cm="1">
        <f t="array" ref="W110">TwoAssetsVaR($N$6,$N$8,W$11,$U110)*$N$3</f>
        <v>72329.11546134013</v>
      </c>
      <c r="X110" s="3" cm="1">
        <f t="array" ref="X110">TwoAssetsVaR($N$6,$N$8,X$11,$U110)*$N$3</f>
        <v>104489.0439125542</v>
      </c>
      <c r="AA110" s="5">
        <f t="shared" si="13"/>
        <v>99</v>
      </c>
      <c r="AB110" s="3" cm="1">
        <f t="array" ref="AB110">SingleAssetVaR($J$3,$J$4,AB$11,$AA110)*$N$3</f>
        <v>179603.5128710214</v>
      </c>
      <c r="AC110" s="3" cm="1">
        <f t="array" ref="AC110">SingleAssetVaR($J$3,$J$4,AC$11,$AA110)*$N$3</f>
        <v>266863.03770625504</v>
      </c>
      <c r="AD110" s="3" cm="1">
        <f t="array" ref="AD110">SingleAssetVaR($J$3,$J$4,AD$11,$AA110)*$N$3</f>
        <v>298807.00654688012</v>
      </c>
      <c r="AF110" s="5">
        <f t="shared" si="14"/>
        <v>99</v>
      </c>
      <c r="AG110" s="3" cm="1">
        <f t="array" ref="AG110">SingleAssetVaR($K$3,$K$4,AG$11,$AF110)*$N$3</f>
        <v>72124.053494222477</v>
      </c>
      <c r="AH110" s="3" cm="1">
        <f t="array" ref="AH110">SingleAssetVaR($K$3,$K$4,AH$11,$AF110)*$N$3</f>
        <v>226001.79926652217</v>
      </c>
      <c r="AI110" s="3" cm="1">
        <f t="array" ref="AI110">SingleAssetVaR($K$3,$K$4,AI$11,$AF110)*$N$3</f>
        <v>282333.36794624536</v>
      </c>
      <c r="AK110" s="3" t="str" cm="1">
        <f t="array" ref="AK110">CheckVaRAdditivity(AG110,AB110,V110)</f>
        <v>Subadditive</v>
      </c>
      <c r="AL110" s="3" t="str" cm="1">
        <f t="array" ref="AL110">CheckVaRAdditivity(AH110,AC110,W110)</f>
        <v>Subadditive</v>
      </c>
      <c r="AM110" s="3" t="str" cm="1">
        <f t="array" ref="AM110">CheckVaRAdditivity(AI110,AD110,X110)</f>
        <v>Subadditive</v>
      </c>
    </row>
    <row r="111" spans="1:39" x14ac:dyDescent="0.3">
      <c r="A111" s="2">
        <v>163.03338600000001</v>
      </c>
      <c r="B111" s="3">
        <f t="shared" si="9"/>
        <v>-1.0796485341440867E-3</v>
      </c>
      <c r="D111" s="2">
        <v>321.49887100000001</v>
      </c>
      <c r="E111" s="3">
        <f t="shared" si="10"/>
        <v>1.0931045544216592E-2</v>
      </c>
      <c r="G111" s="3">
        <f t="shared" si="15"/>
        <v>1.8900616597470599E-2</v>
      </c>
      <c r="I111" s="5">
        <f t="shared" si="11"/>
        <v>100</v>
      </c>
      <c r="J111" s="3" cm="1">
        <f t="array" ref="J111">TwoAssetsVaR($N$6,$P$8,J$11,$I111)*$N$3</f>
        <v>130993.98031099152</v>
      </c>
      <c r="K111" s="3" cm="1">
        <f t="array" ref="K111">TwoAssetsVaR($N$6,$P$8,K$11,$I111)*$N$3</f>
        <v>280499.42756190524</v>
      </c>
      <c r="L111" s="3" cm="1">
        <f t="array" ref="L111">TwoAssetsVaR($N$6,$P$8,L$11,$I111)*$N$3</f>
        <v>335230.38509925973</v>
      </c>
      <c r="U111" s="5">
        <f t="shared" si="12"/>
        <v>100</v>
      </c>
      <c r="V111" s="3" cm="1">
        <f t="array" ref="V111">TwoAssetsVaR($N$6,$N$8,V$11,$U111)*$N$3</f>
        <v>-16750.671018402903</v>
      </c>
      <c r="W111" s="3" cm="1">
        <f t="array" ref="W111">TwoAssetsVaR($N$6,$N$8,W$11,$U111)*$N$3</f>
        <v>71541.347712540955</v>
      </c>
      <c r="X111" s="3" cm="1">
        <f t="array" ref="X111">TwoAssetsVaR($N$6,$N$8,X$11,$U111)*$N$3</f>
        <v>103863.29194204173</v>
      </c>
      <c r="AA111" s="5">
        <f t="shared" si="13"/>
        <v>100</v>
      </c>
      <c r="AB111" s="3" cm="1">
        <f t="array" ref="AB111">SingleAssetVaR($J$3,$J$4,AB$11,$AA111)*$N$3</f>
        <v>180351.33295890488</v>
      </c>
      <c r="AC111" s="3" cm="1">
        <f t="array" ref="AC111">SingleAssetVaR($J$3,$J$4,AC$11,$AA111)*$N$3</f>
        <v>268050.45515986503</v>
      </c>
      <c r="AD111" s="3" cm="1">
        <f t="array" ref="AD111">SingleAssetVaR($J$3,$J$4,AD$11,$AA111)*$N$3</f>
        <v>300155.35181415523</v>
      </c>
      <c r="AF111" s="5">
        <f t="shared" si="14"/>
        <v>100</v>
      </c>
      <c r="AG111" s="3" cm="1">
        <f t="array" ref="AG111">SingleAssetVaR($K$3,$K$4,AG$11,$AF111)*$N$3</f>
        <v>70972.113144384537</v>
      </c>
      <c r="AH111" s="3" cm="1">
        <f t="array" ref="AH111">SingleAssetVaR($K$3,$K$4,AH$11,$AF111)*$N$3</f>
        <v>225625.06657238907</v>
      </c>
      <c r="AI111" s="3" cm="1">
        <f t="array" ref="AI111">SingleAssetVaR($K$3,$K$4,AI$11,$AF111)*$N$3</f>
        <v>282240.4232883823</v>
      </c>
      <c r="AK111" s="3" t="str" cm="1">
        <f t="array" ref="AK111">CheckVaRAdditivity(AG111,AB111,V111)</f>
        <v>Subadditive</v>
      </c>
      <c r="AL111" s="3" t="str" cm="1">
        <f t="array" ref="AL111">CheckVaRAdditivity(AH111,AC111,W111)</f>
        <v>Subadditive</v>
      </c>
      <c r="AM111" s="3" t="str" cm="1">
        <f t="array" ref="AM111">CheckVaRAdditivity(AI111,AD111,X111)</f>
        <v>Subadditive</v>
      </c>
    </row>
    <row r="112" spans="1:39" x14ac:dyDescent="0.3">
      <c r="A112" s="2">
        <v>157.707932</v>
      </c>
      <c r="B112" s="3">
        <f t="shared" si="9"/>
        <v>-3.2664806458721329E-2</v>
      </c>
      <c r="D112" s="2">
        <v>327.47256499999997</v>
      </c>
      <c r="E112" s="3">
        <f t="shared" si="10"/>
        <v>1.858076198345333E-2</v>
      </c>
      <c r="G112" s="3">
        <f t="shared" si="15"/>
        <v>-8.6916440264295722E-3</v>
      </c>
    </row>
    <row r="113" spans="1:7" x14ac:dyDescent="0.3">
      <c r="A113" s="2">
        <v>157.83519000000001</v>
      </c>
      <c r="B113" s="3">
        <f t="shared" si="9"/>
        <v>8.0692200060052696E-4</v>
      </c>
      <c r="D113" s="2">
        <v>323.81643700000001</v>
      </c>
      <c r="E113" s="3">
        <f t="shared" si="10"/>
        <v>-1.1164684895053628E-2</v>
      </c>
      <c r="G113" s="3">
        <f t="shared" si="15"/>
        <v>4.1667386430988343E-7</v>
      </c>
    </row>
    <row r="114" spans="1:7" x14ac:dyDescent="0.3">
      <c r="A114" s="2">
        <v>160.605591</v>
      </c>
      <c r="B114" s="3">
        <f t="shared" si="9"/>
        <v>1.7552492571523449E-2</v>
      </c>
      <c r="D114" s="2">
        <v>314.35647599999999</v>
      </c>
      <c r="E114" s="3">
        <f t="shared" si="10"/>
        <v>-2.9213961735981984E-2</v>
      </c>
      <c r="G114" s="3">
        <f t="shared" si="15"/>
        <v>4.9020920669116874E-3</v>
      </c>
    </row>
    <row r="115" spans="1:7" x14ac:dyDescent="0.3">
      <c r="A115" s="2">
        <v>161.917374</v>
      </c>
      <c r="B115" s="3">
        <f t="shared" si="9"/>
        <v>8.1677293538304722E-3</v>
      </c>
      <c r="D115" s="2">
        <v>320.80960099999999</v>
      </c>
      <c r="E115" s="3">
        <f t="shared" si="10"/>
        <v>2.0528048545753515E-2</v>
      </c>
      <c r="G115" s="3">
        <f t="shared" si="15"/>
        <v>8.0543896507891035E-4</v>
      </c>
    </row>
    <row r="116" spans="1:7" x14ac:dyDescent="0.3">
      <c r="A116" s="2">
        <v>164.06127900000001</v>
      </c>
      <c r="B116" s="3">
        <f t="shared" si="9"/>
        <v>1.3240734746599942E-2</v>
      </c>
      <c r="D116" s="2">
        <v>323.656586</v>
      </c>
      <c r="E116" s="3">
        <f t="shared" si="10"/>
        <v>8.8743759261744101E-3</v>
      </c>
      <c r="G116" s="3">
        <f t="shared" si="15"/>
        <v>-1.9810836443344595E-2</v>
      </c>
    </row>
    <row r="117" spans="1:7" x14ac:dyDescent="0.3">
      <c r="A117" s="2">
        <v>165.36326600000001</v>
      </c>
      <c r="B117" s="3">
        <f t="shared" si="9"/>
        <v>7.9359798237340125E-3</v>
      </c>
      <c r="D117" s="2">
        <v>316.63403299999999</v>
      </c>
      <c r="E117" s="3">
        <f t="shared" si="10"/>
        <v>-2.1697543951724241E-2</v>
      </c>
      <c r="G117" s="3">
        <f t="shared" si="15"/>
        <v>-1.5707988815856957E-2</v>
      </c>
    </row>
    <row r="118" spans="1:7" x14ac:dyDescent="0.3">
      <c r="A118" s="2">
        <v>165.53949</v>
      </c>
      <c r="B118" s="3">
        <f t="shared" si="9"/>
        <v>1.0656780327499735E-3</v>
      </c>
      <c r="D118" s="2">
        <v>312.478455</v>
      </c>
      <c r="E118" s="3">
        <f t="shared" si="10"/>
        <v>-1.3124230395031451E-2</v>
      </c>
      <c r="G118" s="3">
        <f t="shared" si="15"/>
        <v>-4.6261305744169879E-3</v>
      </c>
    </row>
    <row r="119" spans="1:7" x14ac:dyDescent="0.3">
      <c r="A119" s="2">
        <v>163.31727599999999</v>
      </c>
      <c r="B119" s="3">
        <f t="shared" si="9"/>
        <v>-1.3424071803048374E-2</v>
      </c>
      <c r="D119" s="2">
        <v>308.32284499999997</v>
      </c>
      <c r="E119" s="3">
        <f t="shared" si="10"/>
        <v>-1.3298868877215948E-2</v>
      </c>
      <c r="G119" s="3">
        <f t="shared" si="15"/>
        <v>-5.2087710835255234E-3</v>
      </c>
    </row>
    <row r="120" spans="1:7" x14ac:dyDescent="0.3">
      <c r="A120" s="2">
        <v>157.29676799999999</v>
      </c>
      <c r="B120" s="3">
        <f t="shared" si="9"/>
        <v>-3.686387715651103E-2</v>
      </c>
      <c r="D120" s="2">
        <v>313.67718500000001</v>
      </c>
      <c r="E120" s="3">
        <f t="shared" si="10"/>
        <v>1.7366017753241855E-2</v>
      </c>
      <c r="G120" s="3">
        <f t="shared" si="15"/>
        <v>1.1460440792055201E-2</v>
      </c>
    </row>
    <row r="121" spans="1:7" x14ac:dyDescent="0.3">
      <c r="A121" s="2">
        <v>153.35162399999999</v>
      </c>
      <c r="B121" s="3">
        <f t="shared" si="9"/>
        <v>-2.5080896767058807E-2</v>
      </c>
      <c r="D121" s="2">
        <v>312.21871900000002</v>
      </c>
      <c r="E121" s="3">
        <f t="shared" si="10"/>
        <v>-4.6495762833372381E-3</v>
      </c>
      <c r="G121" s="3">
        <f t="shared" si="15"/>
        <v>-1.2944785148113737E-2</v>
      </c>
    </row>
    <row r="122" spans="1:7" x14ac:dyDescent="0.3">
      <c r="A122" s="2">
        <v>152.58802800000001</v>
      </c>
      <c r="B122" s="3">
        <f t="shared" si="9"/>
        <v>-4.9793799379651725E-3</v>
      </c>
      <c r="D122" s="2">
        <v>299.21252399999997</v>
      </c>
      <c r="E122" s="3">
        <f t="shared" si="10"/>
        <v>-4.1657319720154407E-2</v>
      </c>
      <c r="G122" s="3">
        <f t="shared" si="15"/>
        <v>6.6859687540496626E-3</v>
      </c>
    </row>
    <row r="123" spans="1:7" x14ac:dyDescent="0.3">
      <c r="A123" s="2">
        <v>151.49163799999999</v>
      </c>
      <c r="B123" s="3">
        <f t="shared" si="9"/>
        <v>-7.1852950350732216E-3</v>
      </c>
      <c r="D123" s="2">
        <v>288.04437300000001</v>
      </c>
      <c r="E123" s="3">
        <f t="shared" si="10"/>
        <v>-3.7325145520980825E-2</v>
      </c>
      <c r="G123" s="3">
        <f t="shared" si="15"/>
        <v>1.778680162261314E-2</v>
      </c>
    </row>
    <row r="124" spans="1:7" x14ac:dyDescent="0.3">
      <c r="A124" s="2">
        <v>141.31062299999999</v>
      </c>
      <c r="B124" s="3">
        <f t="shared" si="9"/>
        <v>-6.72051285101294E-2</v>
      </c>
      <c r="D124" s="2">
        <v>296.41549700000002</v>
      </c>
      <c r="E124" s="3">
        <f t="shared" si="10"/>
        <v>2.9061925122210282E-2</v>
      </c>
      <c r="G124" s="3">
        <f t="shared" si="15"/>
        <v>-4.0981918119718103E-4</v>
      </c>
    </row>
    <row r="125" spans="1:7" x14ac:dyDescent="0.3">
      <c r="A125" s="2">
        <v>143.01397700000001</v>
      </c>
      <c r="B125" s="3">
        <f t="shared" si="9"/>
        <v>1.2053969926946106E-2</v>
      </c>
      <c r="D125" s="2">
        <v>302.339203</v>
      </c>
      <c r="E125" s="3">
        <f t="shared" si="10"/>
        <v>1.9984467951080106E-2</v>
      </c>
      <c r="G125" s="3">
        <f t="shared" si="15"/>
        <v>-4.7579384020536235E-2</v>
      </c>
    </row>
    <row r="126" spans="1:7" x14ac:dyDescent="0.3">
      <c r="A126" s="2">
        <v>142.66154499999999</v>
      </c>
      <c r="B126" s="3">
        <f t="shared" si="9"/>
        <v>-2.4643185749601356E-3</v>
      </c>
      <c r="D126" s="2">
        <v>300.95068400000002</v>
      </c>
      <c r="E126" s="3">
        <f t="shared" si="10"/>
        <v>-4.592586691445283E-3</v>
      </c>
      <c r="G126" s="3">
        <f t="shared" si="15"/>
        <v>4.0090263519525909E-3</v>
      </c>
    </row>
    <row r="127" spans="1:7" x14ac:dyDescent="0.3">
      <c r="A127" s="2">
        <v>140.948395</v>
      </c>
      <c r="B127" s="3">
        <f t="shared" si="9"/>
        <v>-1.2008491846909304E-2</v>
      </c>
      <c r="D127" s="2">
        <v>311.51947000000001</v>
      </c>
      <c r="E127" s="3">
        <f t="shared" si="10"/>
        <v>3.5117999598897699E-2</v>
      </c>
      <c r="G127" s="3">
        <f t="shared" si="15"/>
        <v>-1.070883743866703E-2</v>
      </c>
    </row>
    <row r="128" spans="1:7" x14ac:dyDescent="0.3">
      <c r="A128" s="2">
        <v>145.627747</v>
      </c>
      <c r="B128" s="3">
        <f t="shared" si="9"/>
        <v>3.3199044231755841E-2</v>
      </c>
      <c r="D128" s="2">
        <v>310.54049700000002</v>
      </c>
      <c r="E128" s="3">
        <f t="shared" si="10"/>
        <v>-3.1425740420012792E-3</v>
      </c>
    </row>
    <row r="129" spans="1:5" x14ac:dyDescent="0.3">
      <c r="A129" s="2">
        <v>144.50195299999999</v>
      </c>
      <c r="B129" s="3">
        <f t="shared" si="9"/>
        <v>-7.7306284220685865E-3</v>
      </c>
      <c r="D129" s="2">
        <v>314.266571</v>
      </c>
      <c r="E129" s="3">
        <f t="shared" si="10"/>
        <v>1.1998673396854847E-2</v>
      </c>
    </row>
    <row r="130" spans="1:5" x14ac:dyDescent="0.3">
      <c r="A130" s="2">
        <v>143.90481600000001</v>
      </c>
      <c r="B130" s="3">
        <f t="shared" si="9"/>
        <v>-4.1323801346821601E-3</v>
      </c>
      <c r="D130" s="2">
        <v>315.46527099999997</v>
      </c>
      <c r="E130" s="3">
        <f t="shared" si="10"/>
        <v>3.8142777839389537E-3</v>
      </c>
    </row>
    <row r="131" spans="1:5" x14ac:dyDescent="0.3">
      <c r="A131" s="2">
        <v>141.369339</v>
      </c>
      <c r="B131" s="3">
        <f t="shared" si="9"/>
        <v>-1.7619125408561826E-2</v>
      </c>
      <c r="D131" s="2">
        <v>318.48208599999998</v>
      </c>
      <c r="E131" s="3">
        <f t="shared" si="10"/>
        <v>9.563065342935986E-3</v>
      </c>
    </row>
    <row r="132" spans="1:5" x14ac:dyDescent="0.3">
      <c r="A132" s="2">
        <v>139.401657</v>
      </c>
      <c r="B132" s="3">
        <f t="shared" si="9"/>
        <v>-1.3918732406324659E-2</v>
      </c>
      <c r="D132" s="2">
        <v>319.44107100000002</v>
      </c>
      <c r="E132" s="3">
        <f t="shared" si="10"/>
        <v>3.0111112748741576E-3</v>
      </c>
    </row>
    <row r="133" spans="1:5" x14ac:dyDescent="0.3">
      <c r="A133" s="2">
        <v>138.95133999999999</v>
      </c>
      <c r="B133" s="3">
        <f t="shared" si="9"/>
        <v>-3.2303561499273463E-3</v>
      </c>
      <c r="D133" s="2">
        <v>320.21023600000001</v>
      </c>
      <c r="E133" s="3">
        <f t="shared" si="10"/>
        <v>2.4078462972595867E-3</v>
      </c>
    </row>
    <row r="134" spans="1:5" x14ac:dyDescent="0.3">
      <c r="A134" s="2">
        <v>139.940079</v>
      </c>
      <c r="B134" s="3">
        <f t="shared" ref="B134:B197" si="16">(A134-A133)/A133</f>
        <v>7.1157212301803611E-3</v>
      </c>
      <c r="D134" s="2">
        <v>328.421539</v>
      </c>
      <c r="E134" s="3">
        <f t="shared" ref="E134:E197" si="17">(D134-D133)/D133</f>
        <v>2.5643474432841012E-2</v>
      </c>
    </row>
    <row r="135" spans="1:5" x14ac:dyDescent="0.3">
      <c r="A135" s="2">
        <v>140.967972</v>
      </c>
      <c r="B135" s="3">
        <f t="shared" si="16"/>
        <v>7.3452366709040231E-3</v>
      </c>
      <c r="D135" s="2">
        <v>328.841095</v>
      </c>
      <c r="E135" s="3">
        <f t="shared" si="17"/>
        <v>1.2774923388931567E-3</v>
      </c>
    </row>
    <row r="136" spans="1:5" x14ac:dyDescent="0.3">
      <c r="A136" s="2">
        <v>141.99586500000001</v>
      </c>
      <c r="B136" s="3">
        <f t="shared" si="16"/>
        <v>7.2916775733994806E-3</v>
      </c>
      <c r="D136" s="2">
        <v>335.953552</v>
      </c>
      <c r="E136" s="3">
        <f t="shared" si="17"/>
        <v>2.1628856940766501E-2</v>
      </c>
    </row>
    <row r="137" spans="1:5" x14ac:dyDescent="0.3">
      <c r="A137" s="2">
        <v>142.49513200000001</v>
      </c>
      <c r="B137" s="3">
        <f t="shared" si="16"/>
        <v>3.5160671756181293E-3</v>
      </c>
      <c r="D137" s="2">
        <v>332.35736100000003</v>
      </c>
      <c r="E137" s="3">
        <f t="shared" si="17"/>
        <v>-1.0704429164660167E-2</v>
      </c>
    </row>
    <row r="138" spans="1:5" x14ac:dyDescent="0.3">
      <c r="A138" s="2">
        <v>140.239746</v>
      </c>
      <c r="B138" s="3">
        <f t="shared" si="16"/>
        <v>-1.5827810875672688E-2</v>
      </c>
      <c r="D138" s="2">
        <v>333.83578499999999</v>
      </c>
      <c r="E138" s="3">
        <f t="shared" si="17"/>
        <v>4.448296242188423E-3</v>
      </c>
    </row>
    <row r="139" spans="1:5" x14ac:dyDescent="0.3">
      <c r="A139" s="2">
        <v>142.900711</v>
      </c>
      <c r="B139" s="3">
        <f t="shared" si="16"/>
        <v>1.8974399739714334E-2</v>
      </c>
      <c r="D139" s="2">
        <v>334.68490600000001</v>
      </c>
      <c r="E139" s="3">
        <f t="shared" si="17"/>
        <v>2.54352899884602E-3</v>
      </c>
    </row>
    <row r="140" spans="1:5" x14ac:dyDescent="0.3">
      <c r="A140" s="2">
        <v>142.821564</v>
      </c>
      <c r="B140" s="3">
        <f t="shared" si="16"/>
        <v>-5.5386008541277363E-4</v>
      </c>
      <c r="D140" s="2">
        <v>339.60968000000003</v>
      </c>
      <c r="E140" s="3">
        <f t="shared" si="17"/>
        <v>1.4714658210490119E-2</v>
      </c>
    </row>
    <row r="141" spans="1:5" x14ac:dyDescent="0.3">
      <c r="A141" s="2">
        <v>142.485229</v>
      </c>
      <c r="B141" s="3">
        <f t="shared" si="16"/>
        <v>-2.354931500399976E-3</v>
      </c>
      <c r="D141" s="2">
        <v>336.62286399999999</v>
      </c>
      <c r="E141" s="3">
        <f t="shared" si="17"/>
        <v>-8.794849428320279E-3</v>
      </c>
    </row>
    <row r="142" spans="1:5" x14ac:dyDescent="0.3">
      <c r="A142" s="2">
        <v>142.77211</v>
      </c>
      <c r="B142" s="3">
        <f t="shared" si="16"/>
        <v>2.0134087021749739E-3</v>
      </c>
      <c r="D142" s="2">
        <v>341.12805200000003</v>
      </c>
      <c r="E142" s="3">
        <f t="shared" si="17"/>
        <v>1.3383487819175683E-2</v>
      </c>
    </row>
    <row r="143" spans="1:5" x14ac:dyDescent="0.3">
      <c r="A143" s="2">
        <v>143.33595299999999</v>
      </c>
      <c r="B143" s="3">
        <f t="shared" si="16"/>
        <v>3.9492517130971273E-3</v>
      </c>
      <c r="D143" s="2">
        <v>337.87152099999997</v>
      </c>
      <c r="E143" s="3">
        <f t="shared" si="17"/>
        <v>-9.5463594415860359E-3</v>
      </c>
    </row>
    <row r="144" spans="1:5" x14ac:dyDescent="0.3">
      <c r="A144" s="2">
        <v>142.80178799999999</v>
      </c>
      <c r="B144" s="3">
        <f t="shared" si="16"/>
        <v>-3.7266644468467837E-3</v>
      </c>
      <c r="D144" s="2">
        <v>334.34527600000001</v>
      </c>
      <c r="E144" s="3">
        <f t="shared" si="17"/>
        <v>-1.0436644643985726E-2</v>
      </c>
    </row>
    <row r="145" spans="1:5" x14ac:dyDescent="0.3">
      <c r="A145" s="2">
        <v>143.93936199999999</v>
      </c>
      <c r="B145" s="3">
        <f t="shared" si="16"/>
        <v>7.9661047381283552E-3</v>
      </c>
      <c r="D145" s="2">
        <v>338.63070699999997</v>
      </c>
      <c r="E145" s="3">
        <f t="shared" si="17"/>
        <v>1.2817381633948853E-2</v>
      </c>
    </row>
    <row r="146" spans="1:5" x14ac:dyDescent="0.3">
      <c r="A146" s="2">
        <v>142.35664399999999</v>
      </c>
      <c r="B146" s="3">
        <f t="shared" si="16"/>
        <v>-1.0995727492525637E-2</v>
      </c>
      <c r="D146" s="2">
        <v>331.84793100000002</v>
      </c>
      <c r="E146" s="3">
        <f t="shared" si="17"/>
        <v>-2.0030008678450877E-2</v>
      </c>
    </row>
    <row r="147" spans="1:5" x14ac:dyDescent="0.3">
      <c r="A147" s="2">
        <v>142.04998800000001</v>
      </c>
      <c r="B147" s="3">
        <f t="shared" si="16"/>
        <v>-2.1541390087839907E-3</v>
      </c>
      <c r="D147" s="2">
        <v>326.80325299999998</v>
      </c>
      <c r="E147" s="3">
        <f t="shared" si="17"/>
        <v>-1.5201776261790322E-2</v>
      </c>
    </row>
    <row r="148" spans="1:5" x14ac:dyDescent="0.3">
      <c r="A148" s="2">
        <v>143.24691799999999</v>
      </c>
      <c r="B148" s="3">
        <f t="shared" si="16"/>
        <v>8.426118276053501E-3</v>
      </c>
      <c r="D148" s="2">
        <v>324.47573899999998</v>
      </c>
      <c r="E148" s="3">
        <f t="shared" si="17"/>
        <v>-7.1220649691635966E-3</v>
      </c>
    </row>
    <row r="149" spans="1:5" x14ac:dyDescent="0.3">
      <c r="A149" s="2">
        <v>143.306274</v>
      </c>
      <c r="B149" s="3">
        <f t="shared" si="16"/>
        <v>4.1436144545886974E-4</v>
      </c>
      <c r="D149" s="2">
        <v>319.68081699999999</v>
      </c>
      <c r="E149" s="3">
        <f t="shared" si="17"/>
        <v>-1.4777443807593842E-2</v>
      </c>
    </row>
    <row r="150" spans="1:5" x14ac:dyDescent="0.3">
      <c r="A150" s="2">
        <v>141.31797800000001</v>
      </c>
      <c r="B150" s="3">
        <f t="shared" si="16"/>
        <v>-1.3874451861053837E-2</v>
      </c>
      <c r="D150" s="2">
        <v>317.95266700000002</v>
      </c>
      <c r="E150" s="3">
        <f t="shared" si="17"/>
        <v>-5.4058608089705019E-3</v>
      </c>
    </row>
    <row r="151" spans="1:5" x14ac:dyDescent="0.3">
      <c r="A151" s="2">
        <v>140.99153100000001</v>
      </c>
      <c r="B151" s="3">
        <f t="shared" si="16"/>
        <v>-2.3100174841165764E-3</v>
      </c>
      <c r="D151" s="2">
        <v>317.11355600000002</v>
      </c>
      <c r="E151" s="3">
        <f t="shared" si="17"/>
        <v>-2.6391066567150465E-3</v>
      </c>
    </row>
    <row r="152" spans="1:5" x14ac:dyDescent="0.3">
      <c r="A152" s="2">
        <v>140.882721</v>
      </c>
      <c r="B152" s="3">
        <f t="shared" si="16"/>
        <v>-7.717484818290639E-4</v>
      </c>
      <c r="D152" s="2">
        <v>326.24383499999999</v>
      </c>
      <c r="E152" s="3">
        <f t="shared" si="17"/>
        <v>2.879182812355071E-2</v>
      </c>
    </row>
    <row r="153" spans="1:5" x14ac:dyDescent="0.3">
      <c r="A153" s="2">
        <v>142.752319</v>
      </c>
      <c r="B153" s="3">
        <f t="shared" si="16"/>
        <v>1.3270598315601786E-2</v>
      </c>
      <c r="D153" s="2">
        <v>332.39730800000001</v>
      </c>
      <c r="E153" s="3">
        <f t="shared" si="17"/>
        <v>1.8861576342124656E-2</v>
      </c>
    </row>
    <row r="154" spans="1:5" x14ac:dyDescent="0.3">
      <c r="A154" s="2">
        <v>142.791901</v>
      </c>
      <c r="B154" s="3">
        <f t="shared" si="16"/>
        <v>2.7727745704779608E-4</v>
      </c>
      <c r="D154" s="2">
        <v>324.93524200000002</v>
      </c>
      <c r="E154" s="3">
        <f t="shared" si="17"/>
        <v>-2.244923716409879E-2</v>
      </c>
    </row>
    <row r="155" spans="1:5" x14ac:dyDescent="0.3">
      <c r="A155" s="2">
        <v>140.96185299999999</v>
      </c>
      <c r="B155" s="3">
        <f t="shared" si="16"/>
        <v>-1.2816189063832164E-2</v>
      </c>
      <c r="D155" s="2">
        <v>333.86575299999998</v>
      </c>
      <c r="E155" s="3">
        <f t="shared" si="17"/>
        <v>2.7483971713969907E-2</v>
      </c>
    </row>
    <row r="156" spans="1:5" x14ac:dyDescent="0.3">
      <c r="A156" s="2">
        <v>143.04908800000001</v>
      </c>
      <c r="B156" s="3">
        <f t="shared" si="16"/>
        <v>1.4807091107124004E-2</v>
      </c>
      <c r="D156" s="2">
        <v>334.38519300000002</v>
      </c>
      <c r="E156" s="3">
        <f t="shared" si="17"/>
        <v>1.5558349286577814E-3</v>
      </c>
    </row>
    <row r="157" spans="1:5" x14ac:dyDescent="0.3">
      <c r="A157" s="2">
        <v>148.311646</v>
      </c>
      <c r="B157" s="3">
        <f t="shared" si="16"/>
        <v>3.6788476414473775E-2</v>
      </c>
      <c r="D157" s="2">
        <v>332.81689499999999</v>
      </c>
      <c r="E157" s="3">
        <f t="shared" si="17"/>
        <v>-4.6900940377465426E-3</v>
      </c>
    </row>
    <row r="158" spans="1:5" x14ac:dyDescent="0.3">
      <c r="A158" s="2">
        <v>147.73793000000001</v>
      </c>
      <c r="B158" s="3">
        <f t="shared" si="16"/>
        <v>-3.8683138881756484E-3</v>
      </c>
      <c r="D158" s="2">
        <v>334.56503300000003</v>
      </c>
      <c r="E158" s="3">
        <f t="shared" si="17"/>
        <v>5.252551857381038E-3</v>
      </c>
    </row>
    <row r="159" spans="1:5" x14ac:dyDescent="0.3">
      <c r="A159" s="2">
        <v>148.064346</v>
      </c>
      <c r="B159" s="3">
        <f t="shared" si="16"/>
        <v>2.2094258393900246E-3</v>
      </c>
      <c r="D159" s="2">
        <v>344.25473</v>
      </c>
      <c r="E159" s="3">
        <f t="shared" si="17"/>
        <v>2.8962073272014551E-2</v>
      </c>
    </row>
    <row r="160" spans="1:5" x14ac:dyDescent="0.3">
      <c r="A160" s="2">
        <v>150.00320400000001</v>
      </c>
      <c r="B160" s="3">
        <f t="shared" si="16"/>
        <v>1.3094698706196362E-2</v>
      </c>
      <c r="D160" s="2">
        <v>349.98864700000001</v>
      </c>
      <c r="E160" s="3">
        <f t="shared" si="17"/>
        <v>1.6656029678953198E-2</v>
      </c>
    </row>
    <row r="161" spans="1:5" x14ac:dyDescent="0.3">
      <c r="A161" s="2">
        <v>148.62820400000001</v>
      </c>
      <c r="B161" s="3">
        <f t="shared" si="16"/>
        <v>-9.1664708708488647E-3</v>
      </c>
      <c r="D161" s="2">
        <v>348.90978999999999</v>
      </c>
      <c r="E161" s="3">
        <f t="shared" si="17"/>
        <v>-3.0825485604966713E-3</v>
      </c>
    </row>
    <row r="162" spans="1:5" x14ac:dyDescent="0.3">
      <c r="A162" s="2">
        <v>149.08325199999999</v>
      </c>
      <c r="B162" s="3">
        <f t="shared" si="16"/>
        <v>3.0616530897458502E-3</v>
      </c>
      <c r="D162" s="2">
        <v>353.71469100000002</v>
      </c>
      <c r="E162" s="3">
        <f t="shared" si="17"/>
        <v>1.377118423647565E-2</v>
      </c>
    </row>
    <row r="163" spans="1:5" x14ac:dyDescent="0.3">
      <c r="A163" s="2">
        <v>149.41957099999999</v>
      </c>
      <c r="B163" s="3">
        <f t="shared" si="16"/>
        <v>2.2559140311750321E-3</v>
      </c>
      <c r="D163" s="2">
        <v>353.01547199999999</v>
      </c>
      <c r="E163" s="3">
        <f t="shared" si="17"/>
        <v>-1.9767881227190187E-3</v>
      </c>
    </row>
    <row r="164" spans="1:5" x14ac:dyDescent="0.3">
      <c r="A164" s="2">
        <v>150.764893</v>
      </c>
      <c r="B164" s="3">
        <f t="shared" si="16"/>
        <v>9.0036532095250782E-3</v>
      </c>
      <c r="D164" s="2">
        <v>354.45391799999999</v>
      </c>
      <c r="E164" s="3">
        <f t="shared" si="17"/>
        <v>4.0747392510886863E-3</v>
      </c>
    </row>
    <row r="165" spans="1:5" x14ac:dyDescent="0.3">
      <c r="A165" s="2">
        <v>150.27029400000001</v>
      </c>
      <c r="B165" s="3">
        <f t="shared" si="16"/>
        <v>-3.2805979572445541E-3</v>
      </c>
      <c r="D165" s="2">
        <v>357.450714</v>
      </c>
      <c r="E165" s="3">
        <f t="shared" si="17"/>
        <v>8.4546843688719439E-3</v>
      </c>
    </row>
    <row r="166" spans="1:5" x14ac:dyDescent="0.3">
      <c r="A166" s="2">
        <v>148.15339700000001</v>
      </c>
      <c r="B166" s="3">
        <f t="shared" si="16"/>
        <v>-1.4087261984061829E-2</v>
      </c>
      <c r="D166" s="2">
        <v>357.94021600000002</v>
      </c>
      <c r="E166" s="3">
        <f t="shared" si="17"/>
        <v>1.3694251566105861E-3</v>
      </c>
    </row>
    <row r="167" spans="1:5" x14ac:dyDescent="0.3">
      <c r="A167" s="2">
        <v>147.54997299999999</v>
      </c>
      <c r="B167" s="3">
        <f t="shared" si="16"/>
        <v>-4.0729676957729031E-3</v>
      </c>
      <c r="D167" s="2">
        <v>353.58483899999999</v>
      </c>
      <c r="E167" s="3">
        <f t="shared" si="17"/>
        <v>-1.2167889511470912E-2</v>
      </c>
    </row>
    <row r="168" spans="1:5" x14ac:dyDescent="0.3">
      <c r="A168" s="2">
        <v>147.86651599999999</v>
      </c>
      <c r="B168" s="3">
        <f t="shared" si="16"/>
        <v>2.1453274003648635E-3</v>
      </c>
      <c r="D168" s="2">
        <v>345.92297400000001</v>
      </c>
      <c r="E168" s="3">
        <f t="shared" si="17"/>
        <v>-2.1669099336015303E-2</v>
      </c>
    </row>
    <row r="169" spans="1:5" x14ac:dyDescent="0.3">
      <c r="A169" s="2">
        <v>150.68575999999999</v>
      </c>
      <c r="B169" s="3">
        <f t="shared" si="16"/>
        <v>1.9066142060180803E-2</v>
      </c>
      <c r="D169" s="2">
        <v>344.10488900000001</v>
      </c>
      <c r="E169" s="3">
        <f t="shared" si="17"/>
        <v>-5.2557509522336504E-3</v>
      </c>
    </row>
    <row r="170" spans="1:5" x14ac:dyDescent="0.3">
      <c r="A170" s="2">
        <v>149.033783</v>
      </c>
      <c r="B170" s="3">
        <f t="shared" si="16"/>
        <v>-1.0963059814012872E-2</v>
      </c>
      <c r="D170" s="2">
        <v>346.75207499999999</v>
      </c>
      <c r="E170" s="3">
        <f t="shared" si="17"/>
        <v>7.6929624792398009E-3</v>
      </c>
    </row>
    <row r="171" spans="1:5" x14ac:dyDescent="0.3">
      <c r="A171" s="2">
        <v>148.77658099999999</v>
      </c>
      <c r="B171" s="3">
        <f t="shared" si="16"/>
        <v>-1.7257966269299263E-3</v>
      </c>
      <c r="D171" s="2">
        <v>351.57699600000001</v>
      </c>
      <c r="E171" s="3">
        <f t="shared" si="17"/>
        <v>1.3914613200223871E-2</v>
      </c>
    </row>
    <row r="172" spans="1:5" x14ac:dyDescent="0.3">
      <c r="A172" s="2">
        <v>147.88630699999999</v>
      </c>
      <c r="B172" s="3">
        <f t="shared" si="16"/>
        <v>-5.983965984538959E-3</v>
      </c>
      <c r="D172" s="2">
        <v>358.279877</v>
      </c>
      <c r="E172" s="3">
        <f t="shared" si="17"/>
        <v>1.9065186506115977E-2</v>
      </c>
    </row>
    <row r="173" spans="1:5" x14ac:dyDescent="0.3">
      <c r="A173" s="2">
        <v>144.127319</v>
      </c>
      <c r="B173" s="3">
        <f t="shared" si="16"/>
        <v>-2.5418093644058528E-2</v>
      </c>
      <c r="D173" s="2">
        <v>357.05114700000001</v>
      </c>
      <c r="E173" s="3">
        <f t="shared" si="17"/>
        <v>-3.4295255717082447E-3</v>
      </c>
    </row>
    <row r="174" spans="1:5" x14ac:dyDescent="0.3">
      <c r="A174" s="2">
        <v>142.94026199999999</v>
      </c>
      <c r="B174" s="3">
        <f t="shared" si="16"/>
        <v>-8.2361692997287347E-3</v>
      </c>
      <c r="D174" s="2">
        <v>370.07733200000001</v>
      </c>
      <c r="E174" s="3">
        <f t="shared" si="17"/>
        <v>3.6482686330650542E-2</v>
      </c>
    </row>
    <row r="175" spans="1:5" x14ac:dyDescent="0.3">
      <c r="A175" s="2">
        <v>143.71185299999999</v>
      </c>
      <c r="B175" s="3">
        <f t="shared" si="16"/>
        <v>5.39799626224276E-3</v>
      </c>
      <c r="D175" s="2">
        <v>369.27819799999997</v>
      </c>
      <c r="E175" s="3">
        <f t="shared" si="17"/>
        <v>-2.1593703015564264E-3</v>
      </c>
    </row>
    <row r="176" spans="1:5" x14ac:dyDescent="0.3">
      <c r="A176" s="2">
        <v>145.680374</v>
      </c>
      <c r="B176" s="3">
        <f t="shared" si="16"/>
        <v>1.3697694093471956E-2</v>
      </c>
      <c r="D176" s="2">
        <v>374.09307899999999</v>
      </c>
      <c r="E176" s="3">
        <f t="shared" si="17"/>
        <v>1.3038627858555609E-2</v>
      </c>
    </row>
    <row r="177" spans="1:5" x14ac:dyDescent="0.3">
      <c r="A177" s="2">
        <v>142.13900799999999</v>
      </c>
      <c r="B177" s="3">
        <f t="shared" si="16"/>
        <v>-2.4309149563276181E-2</v>
      </c>
      <c r="D177" s="2">
        <v>367.07052599999997</v>
      </c>
      <c r="E177" s="3">
        <f t="shared" si="17"/>
        <v>-1.8772207758486804E-2</v>
      </c>
    </row>
    <row r="178" spans="1:5" x14ac:dyDescent="0.3">
      <c r="A178" s="2">
        <v>141.575165</v>
      </c>
      <c r="B178" s="3">
        <f t="shared" si="16"/>
        <v>-3.9668420930585886E-3</v>
      </c>
      <c r="D178" s="2">
        <v>367.97955300000001</v>
      </c>
      <c r="E178" s="3">
        <f t="shared" si="17"/>
        <v>2.4764369122898125E-3</v>
      </c>
    </row>
    <row r="179" spans="1:5" x14ac:dyDescent="0.3">
      <c r="A179" s="2">
        <v>140.28919999999999</v>
      </c>
      <c r="B179" s="3">
        <f t="shared" si="16"/>
        <v>-9.0832668286136512E-3</v>
      </c>
      <c r="D179" s="2">
        <v>375.73135400000001</v>
      </c>
      <c r="E179" s="3">
        <f t="shared" si="17"/>
        <v>2.1065847101564363E-2</v>
      </c>
    </row>
    <row r="180" spans="1:5" x14ac:dyDescent="0.3">
      <c r="A180" s="2">
        <v>140.704666</v>
      </c>
      <c r="B180" s="3">
        <f t="shared" si="16"/>
        <v>2.9614966797159668E-3</v>
      </c>
      <c r="D180" s="2">
        <v>383.04361</v>
      </c>
      <c r="E180" s="3">
        <f t="shared" si="17"/>
        <v>1.9461394217316214E-2</v>
      </c>
    </row>
    <row r="181" spans="1:5" x14ac:dyDescent="0.3">
      <c r="A181" s="2">
        <v>140.951965</v>
      </c>
      <c r="B181" s="3">
        <f t="shared" si="16"/>
        <v>1.7575749762271434E-3</v>
      </c>
      <c r="D181" s="2">
        <v>381.37536599999999</v>
      </c>
      <c r="E181" s="3">
        <f t="shared" si="17"/>
        <v>-4.3552325543298204E-3</v>
      </c>
    </row>
    <row r="182" spans="1:5" x14ac:dyDescent="0.3">
      <c r="A182" s="2">
        <v>140.556274</v>
      </c>
      <c r="B182" s="3">
        <f t="shared" si="16"/>
        <v>-2.8072755140377032E-3</v>
      </c>
      <c r="D182" s="2">
        <v>384.79174799999998</v>
      </c>
      <c r="E182" s="3">
        <f t="shared" si="17"/>
        <v>8.9580562998397718E-3</v>
      </c>
    </row>
    <row r="183" spans="1:5" x14ac:dyDescent="0.3">
      <c r="A183" s="2">
        <v>143.355728</v>
      </c>
      <c r="B183" s="3">
        <f t="shared" si="16"/>
        <v>1.9916962226815983E-2</v>
      </c>
      <c r="D183" s="2">
        <v>390.28591899999998</v>
      </c>
      <c r="E183" s="3">
        <f t="shared" si="17"/>
        <v>1.4278297360992249E-2</v>
      </c>
    </row>
    <row r="184" spans="1:5" x14ac:dyDescent="0.3">
      <c r="A184" s="2">
        <v>146.966339</v>
      </c>
      <c r="B184" s="3">
        <f t="shared" si="16"/>
        <v>2.5186374136372185E-2</v>
      </c>
      <c r="D184" s="2">
        <v>392.76327500000002</v>
      </c>
      <c r="E184" s="3">
        <f t="shared" si="17"/>
        <v>6.3475413264910616E-3</v>
      </c>
    </row>
    <row r="185" spans="1:5" x14ac:dyDescent="0.3">
      <c r="A185" s="2">
        <v>147.530182</v>
      </c>
      <c r="B185" s="3">
        <f t="shared" si="16"/>
        <v>3.836545183315694E-3</v>
      </c>
      <c r="D185" s="2">
        <v>393.72226000000001</v>
      </c>
      <c r="E185" s="3">
        <f t="shared" si="17"/>
        <v>2.4416361229292229E-3</v>
      </c>
    </row>
    <row r="186" spans="1:5" x14ac:dyDescent="0.3">
      <c r="A186" s="2">
        <v>147.47084000000001</v>
      </c>
      <c r="B186" s="3">
        <f t="shared" si="16"/>
        <v>-4.0223633696857152E-4</v>
      </c>
      <c r="D186" s="2">
        <v>400.59494000000001</v>
      </c>
      <c r="E186" s="3">
        <f t="shared" si="17"/>
        <v>1.7455655161585232E-2</v>
      </c>
    </row>
    <row r="187" spans="1:5" x14ac:dyDescent="0.3">
      <c r="A187" s="2">
        <v>148.49960300000001</v>
      </c>
      <c r="B187" s="3">
        <f t="shared" si="16"/>
        <v>6.9760435351151305E-3</v>
      </c>
      <c r="D187" s="2">
        <v>399.635986</v>
      </c>
      <c r="E187" s="3">
        <f t="shared" si="17"/>
        <v>-2.3938245450629146E-3</v>
      </c>
    </row>
    <row r="188" spans="1:5" x14ac:dyDescent="0.3">
      <c r="A188" s="2">
        <v>145.838638</v>
      </c>
      <c r="B188" s="3">
        <f t="shared" si="16"/>
        <v>-1.7919004133633974E-2</v>
      </c>
      <c r="D188" s="2">
        <v>389.72650099999998</v>
      </c>
      <c r="E188" s="3">
        <f t="shared" si="17"/>
        <v>-2.4796277980832331E-2</v>
      </c>
    </row>
    <row r="189" spans="1:5" x14ac:dyDescent="0.3">
      <c r="A189" s="2">
        <v>146.29367099999999</v>
      </c>
      <c r="B189" s="3">
        <f t="shared" si="16"/>
        <v>3.1201127920571091E-3</v>
      </c>
      <c r="D189" s="2">
        <v>394.36157200000002</v>
      </c>
      <c r="E189" s="3">
        <f t="shared" si="17"/>
        <v>1.1893137849509596E-2</v>
      </c>
    </row>
    <row r="190" spans="1:5" x14ac:dyDescent="0.3">
      <c r="A190" s="2">
        <v>150.59672499999999</v>
      </c>
      <c r="B190" s="3">
        <f t="shared" si="16"/>
        <v>2.9413808338981412E-2</v>
      </c>
      <c r="D190" s="2">
        <v>474.48654199999999</v>
      </c>
      <c r="E190" s="3">
        <f t="shared" si="17"/>
        <v>0.20317641395343652</v>
      </c>
    </row>
    <row r="191" spans="1:5" x14ac:dyDescent="0.3">
      <c r="A191" s="2">
        <v>150.68575999999999</v>
      </c>
      <c r="B191" s="3">
        <f t="shared" si="16"/>
        <v>5.9121471599064021E-4</v>
      </c>
      <c r="D191" s="2">
        <v>458.92306500000001</v>
      </c>
      <c r="E191" s="3">
        <f t="shared" si="17"/>
        <v>-3.2800671088369829E-2</v>
      </c>
    </row>
    <row r="192" spans="1:5" x14ac:dyDescent="0.3">
      <c r="A192" s="2">
        <v>150.705536</v>
      </c>
      <c r="B192" s="3">
        <f t="shared" si="16"/>
        <v>1.3124000569136291E-4</v>
      </c>
      <c r="D192" s="2">
        <v>454.23803700000002</v>
      </c>
      <c r="E192" s="3">
        <f t="shared" si="17"/>
        <v>-1.0208743811993822E-2</v>
      </c>
    </row>
    <row r="193" spans="1:5" x14ac:dyDescent="0.3">
      <c r="A193" s="2">
        <v>150.48791499999999</v>
      </c>
      <c r="B193" s="3">
        <f t="shared" si="16"/>
        <v>-1.4440146379228449E-3</v>
      </c>
      <c r="D193" s="2">
        <v>469.092285</v>
      </c>
      <c r="E193" s="3">
        <f t="shared" si="17"/>
        <v>3.2701462207137849E-2</v>
      </c>
    </row>
    <row r="194" spans="1:5" x14ac:dyDescent="0.3">
      <c r="A194" s="2">
        <v>152.39707899999999</v>
      </c>
      <c r="B194" s="3">
        <f t="shared" si="16"/>
        <v>1.2686493795863969E-2</v>
      </c>
      <c r="D194" s="2">
        <v>469.50186200000002</v>
      </c>
      <c r="E194" s="3">
        <f t="shared" si="17"/>
        <v>8.7312670256346888E-4</v>
      </c>
    </row>
    <row r="195" spans="1:5" x14ac:dyDescent="0.3">
      <c r="A195" s="2">
        <v>149.40966800000001</v>
      </c>
      <c r="B195" s="3">
        <f t="shared" si="16"/>
        <v>-1.9602810103728961E-2</v>
      </c>
      <c r="D195" s="2">
        <v>467.613831</v>
      </c>
      <c r="E195" s="3">
        <f t="shared" si="17"/>
        <v>-4.0213493338606019E-3</v>
      </c>
    </row>
    <row r="196" spans="1:5" x14ac:dyDescent="0.3">
      <c r="A196" s="2">
        <v>150.438446</v>
      </c>
      <c r="B196" s="3">
        <f t="shared" si="16"/>
        <v>6.8856186736188209E-3</v>
      </c>
      <c r="D196" s="2">
        <v>468.40301499999998</v>
      </c>
      <c r="E196" s="3">
        <f t="shared" si="17"/>
        <v>1.6876831857438738E-3</v>
      </c>
    </row>
    <row r="197" spans="1:5" x14ac:dyDescent="0.3">
      <c r="A197" s="2">
        <v>148.97442599999999</v>
      </c>
      <c r="B197" s="3">
        <f t="shared" si="16"/>
        <v>-9.7316878692033613E-3</v>
      </c>
      <c r="D197" s="2">
        <v>459.63232399999998</v>
      </c>
      <c r="E197" s="3">
        <f t="shared" si="17"/>
        <v>-1.872466811512731E-2</v>
      </c>
    </row>
    <row r="198" spans="1:5" x14ac:dyDescent="0.3">
      <c r="A198" s="2">
        <v>149.37998999999999</v>
      </c>
      <c r="B198" s="3">
        <f t="shared" ref="B198:B254" si="18">(A198-A197)/A197</f>
        <v>2.7223733018444272E-3</v>
      </c>
      <c r="D198" s="2">
        <v>472.77838100000002</v>
      </c>
      <c r="E198" s="3">
        <f t="shared" ref="E198:E254" si="19">(D198-D197)/D197</f>
        <v>2.8601245633890715E-2</v>
      </c>
    </row>
    <row r="199" spans="1:5" x14ac:dyDescent="0.3">
      <c r="A199" s="2">
        <v>154.46000699999999</v>
      </c>
      <c r="B199" s="3">
        <f t="shared" si="18"/>
        <v>3.4007345963806786E-2</v>
      </c>
      <c r="D199" s="2">
        <v>483.51696800000002</v>
      </c>
      <c r="E199" s="3">
        <f t="shared" si="19"/>
        <v>2.2713786060365553E-2</v>
      </c>
    </row>
    <row r="200" spans="1:5" x14ac:dyDescent="0.3">
      <c r="A200" s="2">
        <v>154.63000500000001</v>
      </c>
      <c r="B200" s="3">
        <f t="shared" si="18"/>
        <v>1.1005955735844358E-3</v>
      </c>
      <c r="D200" s="2">
        <v>472.81832900000001</v>
      </c>
      <c r="E200" s="3">
        <f t="shared" si="19"/>
        <v>-2.2126708488129032E-2</v>
      </c>
    </row>
    <row r="201" spans="1:5" x14ac:dyDescent="0.3">
      <c r="A201" s="2">
        <v>154</v>
      </c>
      <c r="B201" s="3">
        <f t="shared" si="18"/>
        <v>-4.0742739418524318E-3</v>
      </c>
      <c r="D201" s="2">
        <v>471.25</v>
      </c>
      <c r="E201" s="3">
        <f t="shared" si="19"/>
        <v>-3.3169801249392887E-3</v>
      </c>
    </row>
    <row r="202" spans="1:5" x14ac:dyDescent="0.3">
      <c r="A202" s="2">
        <v>155.44000199999999</v>
      </c>
      <c r="B202" s="3">
        <f t="shared" si="18"/>
        <v>9.3506623376622897E-3</v>
      </c>
      <c r="D202" s="2">
        <v>468.02999899999998</v>
      </c>
      <c r="E202" s="3">
        <f t="shared" si="19"/>
        <v>-6.8328933687003181E-3</v>
      </c>
    </row>
    <row r="203" spans="1:5" x14ac:dyDescent="0.3">
      <c r="A203" s="2">
        <v>155.429993</v>
      </c>
      <c r="B203" s="3">
        <f t="shared" si="18"/>
        <v>-6.4391404215219999E-5</v>
      </c>
      <c r="D203" s="2">
        <v>486.13000499999998</v>
      </c>
      <c r="E203" s="3">
        <f t="shared" si="19"/>
        <v>3.8672747556081355E-2</v>
      </c>
    </row>
    <row r="204" spans="1:5" x14ac:dyDescent="0.3">
      <c r="A204" s="2">
        <v>154.66000399999999</v>
      </c>
      <c r="B204" s="3">
        <f t="shared" si="18"/>
        <v>-4.9539280362703841E-3</v>
      </c>
      <c r="D204" s="2">
        <v>484.02999899999998</v>
      </c>
      <c r="E204" s="3">
        <f t="shared" si="19"/>
        <v>-4.3198444416118848E-3</v>
      </c>
    </row>
    <row r="205" spans="1:5" x14ac:dyDescent="0.3">
      <c r="A205" s="2">
        <v>154.449997</v>
      </c>
      <c r="B205" s="3">
        <f t="shared" si="18"/>
        <v>-1.3578623727437012E-3</v>
      </c>
      <c r="D205" s="2">
        <v>481.73998999999998</v>
      </c>
      <c r="E205" s="3">
        <f t="shared" si="19"/>
        <v>-4.7311303116152476E-3</v>
      </c>
    </row>
    <row r="206" spans="1:5" x14ac:dyDescent="0.3">
      <c r="A206" s="2">
        <v>152.16000399999999</v>
      </c>
      <c r="B206" s="3">
        <f t="shared" si="18"/>
        <v>-1.4826759757075357E-2</v>
      </c>
      <c r="D206" s="2">
        <v>487.04998799999998</v>
      </c>
      <c r="E206" s="3">
        <f t="shared" si="19"/>
        <v>1.1022539357797569E-2</v>
      </c>
    </row>
    <row r="207" spans="1:5" x14ac:dyDescent="0.3">
      <c r="A207" s="2">
        <v>152.33999600000001</v>
      </c>
      <c r="B207" s="3">
        <f t="shared" si="18"/>
        <v>1.1829126923526305E-3</v>
      </c>
      <c r="D207" s="2">
        <v>484.01998900000001</v>
      </c>
      <c r="E207" s="3">
        <f t="shared" si="19"/>
        <v>-6.2211252944327665E-3</v>
      </c>
    </row>
    <row r="208" spans="1:5" x14ac:dyDescent="0.3">
      <c r="A208" s="2">
        <v>152.009995</v>
      </c>
      <c r="B208" s="3">
        <f t="shared" si="18"/>
        <v>-2.1662137893190569E-3</v>
      </c>
      <c r="D208" s="2">
        <v>490.13000499999998</v>
      </c>
      <c r="E208" s="3">
        <f t="shared" si="19"/>
        <v>1.2623478655547783E-2</v>
      </c>
    </row>
    <row r="209" spans="1:5" x14ac:dyDescent="0.3">
      <c r="A209" s="2">
        <v>152.80999800000001</v>
      </c>
      <c r="B209" s="3">
        <f t="shared" si="18"/>
        <v>5.2628315657796305E-3</v>
      </c>
      <c r="D209" s="2">
        <v>502.29998799999998</v>
      </c>
      <c r="E209" s="3">
        <f t="shared" si="19"/>
        <v>2.4830112165852819E-2</v>
      </c>
    </row>
    <row r="210" spans="1:5" x14ac:dyDescent="0.3">
      <c r="A210" s="2">
        <v>148.88000500000001</v>
      </c>
      <c r="B210" s="3">
        <f t="shared" si="18"/>
        <v>-2.5718166686972903E-2</v>
      </c>
      <c r="D210" s="2">
        <v>498.19000199999999</v>
      </c>
      <c r="E210" s="3">
        <f t="shared" si="19"/>
        <v>-8.1823334624487234E-3</v>
      </c>
    </row>
    <row r="211" spans="1:5" x14ac:dyDescent="0.3">
      <c r="A211" s="2">
        <v>149.58999600000001</v>
      </c>
      <c r="B211" s="3">
        <f t="shared" si="18"/>
        <v>4.7688808178103044E-3</v>
      </c>
      <c r="D211" s="2">
        <v>490.22000100000002</v>
      </c>
      <c r="E211" s="3">
        <f t="shared" si="19"/>
        <v>-1.5997914386085908E-2</v>
      </c>
    </row>
    <row r="212" spans="1:5" x14ac:dyDescent="0.3">
      <c r="A212" s="2">
        <v>148.33000200000001</v>
      </c>
      <c r="B212" s="3">
        <f t="shared" si="18"/>
        <v>-8.4229830449357446E-3</v>
      </c>
      <c r="D212" s="2">
        <v>496.08999599999999</v>
      </c>
      <c r="E212" s="3">
        <f t="shared" si="19"/>
        <v>1.1974205434347343E-2</v>
      </c>
    </row>
    <row r="213" spans="1:5" x14ac:dyDescent="0.3">
      <c r="A213" s="2">
        <v>149.36999499999999</v>
      </c>
      <c r="B213" s="3">
        <f t="shared" si="18"/>
        <v>7.0113462278520106E-3</v>
      </c>
      <c r="D213" s="2">
        <v>512.19000200000005</v>
      </c>
      <c r="E213" s="3">
        <f t="shared" si="19"/>
        <v>3.2453800983320104E-2</v>
      </c>
    </row>
    <row r="214" spans="1:5" x14ac:dyDescent="0.3">
      <c r="A214" s="2">
        <v>149.88000500000001</v>
      </c>
      <c r="B214" s="3">
        <f t="shared" si="18"/>
        <v>3.4144072911030262E-3</v>
      </c>
      <c r="D214" s="2">
        <v>505.95001200000002</v>
      </c>
      <c r="E214" s="3">
        <f t="shared" si="19"/>
        <v>-1.2182959401070139E-2</v>
      </c>
    </row>
    <row r="215" spans="1:5" x14ac:dyDescent="0.3">
      <c r="A215" s="2">
        <v>152</v>
      </c>
      <c r="B215" s="3">
        <f t="shared" si="18"/>
        <v>1.4144615220689301E-2</v>
      </c>
      <c r="D215" s="2">
        <v>483.58999599999999</v>
      </c>
      <c r="E215" s="3">
        <f t="shared" si="19"/>
        <v>-4.4194120900623732E-2</v>
      </c>
    </row>
    <row r="216" spans="1:5" x14ac:dyDescent="0.3">
      <c r="A216" s="2">
        <v>151.88999899999999</v>
      </c>
      <c r="B216" s="3">
        <f t="shared" si="18"/>
        <v>-7.2369078947375734E-4</v>
      </c>
      <c r="D216" s="2">
        <v>499.75</v>
      </c>
      <c r="E216" s="3">
        <f t="shared" si="19"/>
        <v>3.341674586667838E-2</v>
      </c>
    </row>
    <row r="217" spans="1:5" x14ac:dyDescent="0.3">
      <c r="A217" s="2">
        <v>153.88999899999999</v>
      </c>
      <c r="B217" s="3">
        <f t="shared" si="18"/>
        <v>1.3167423880225321E-2</v>
      </c>
      <c r="D217" s="2">
        <v>495.57000699999998</v>
      </c>
      <c r="E217" s="3">
        <f t="shared" si="19"/>
        <v>-8.3641680840420701E-3</v>
      </c>
    </row>
    <row r="218" spans="1:5" x14ac:dyDescent="0.3">
      <c r="A218" s="2">
        <v>155.699997</v>
      </c>
      <c r="B218" s="3">
        <f t="shared" si="18"/>
        <v>1.1761635010472692E-2</v>
      </c>
      <c r="D218" s="2">
        <v>491.82998700000002</v>
      </c>
      <c r="E218" s="3">
        <f t="shared" si="19"/>
        <v>-7.5469054768682936E-3</v>
      </c>
    </row>
    <row r="219" spans="1:5" x14ac:dyDescent="0.3">
      <c r="A219" s="2">
        <v>155.550003</v>
      </c>
      <c r="B219" s="3">
        <f t="shared" si="18"/>
        <v>-9.633526197177282E-4</v>
      </c>
      <c r="D219" s="2">
        <v>484.10000600000001</v>
      </c>
      <c r="E219" s="3">
        <f t="shared" si="19"/>
        <v>-1.5716774504032038E-2</v>
      </c>
    </row>
    <row r="220" spans="1:5" x14ac:dyDescent="0.3">
      <c r="A220" s="2">
        <v>155.41000399999999</v>
      </c>
      <c r="B220" s="3">
        <f t="shared" si="18"/>
        <v>-9.0002569784596725E-4</v>
      </c>
      <c r="D220" s="2">
        <v>496.98001099999999</v>
      </c>
      <c r="E220" s="3">
        <f t="shared" si="19"/>
        <v>2.6606083124072474E-2</v>
      </c>
    </row>
    <row r="221" spans="1:5" x14ac:dyDescent="0.3">
      <c r="A221" s="2">
        <v>156.61999499999999</v>
      </c>
      <c r="B221" s="3">
        <f t="shared" si="18"/>
        <v>7.7857986542488114E-3</v>
      </c>
      <c r="D221" s="2">
        <v>496.23998999999998</v>
      </c>
      <c r="E221" s="3">
        <f t="shared" si="19"/>
        <v>-1.4890357431297432E-3</v>
      </c>
    </row>
    <row r="222" spans="1:5" x14ac:dyDescent="0.3">
      <c r="A222" s="2">
        <v>154.550003</v>
      </c>
      <c r="B222" s="3">
        <f t="shared" si="18"/>
        <v>-1.3216652190545563E-2</v>
      </c>
      <c r="D222" s="2">
        <v>505.51998900000001</v>
      </c>
      <c r="E222" s="3">
        <f t="shared" si="19"/>
        <v>1.8700627089727355E-2</v>
      </c>
    </row>
    <row r="223" spans="1:5" x14ac:dyDescent="0.3">
      <c r="A223" s="2">
        <v>154.86000100000001</v>
      </c>
      <c r="B223" s="3">
        <f t="shared" si="18"/>
        <v>2.0058103784055398E-3</v>
      </c>
      <c r="D223" s="2">
        <v>507.76001000000002</v>
      </c>
      <c r="E223" s="3">
        <f t="shared" si="19"/>
        <v>4.4311225050291982E-3</v>
      </c>
    </row>
    <row r="224" spans="1:5" x14ac:dyDescent="0.3">
      <c r="A224" s="2">
        <v>154.66000399999999</v>
      </c>
      <c r="B224" s="3">
        <f t="shared" si="18"/>
        <v>-1.2914697062414756E-3</v>
      </c>
      <c r="D224" s="2">
        <v>509.57998700000002</v>
      </c>
      <c r="E224" s="3">
        <f t="shared" si="19"/>
        <v>3.5843252011910002E-3</v>
      </c>
    </row>
    <row r="225" spans="1:5" x14ac:dyDescent="0.3">
      <c r="A225" s="2">
        <v>156.470001</v>
      </c>
      <c r="B225" s="3">
        <f t="shared" si="18"/>
        <v>1.1703070950392643E-2</v>
      </c>
      <c r="D225" s="2">
        <v>503.01998900000001</v>
      </c>
      <c r="E225" s="3">
        <f t="shared" si="19"/>
        <v>-1.2873343081269804E-2</v>
      </c>
    </row>
    <row r="226" spans="1:5" x14ac:dyDescent="0.3">
      <c r="A226" s="2">
        <v>155.270004</v>
      </c>
      <c r="B226" s="3">
        <f t="shared" si="18"/>
        <v>-7.6691825418982148E-3</v>
      </c>
      <c r="D226" s="2">
        <v>495.89001500000001</v>
      </c>
      <c r="E226" s="3">
        <f t="shared" si="19"/>
        <v>-1.4174335326463545E-2</v>
      </c>
    </row>
    <row r="227" spans="1:5" x14ac:dyDescent="0.3">
      <c r="A227" s="2">
        <v>156.35000600000001</v>
      </c>
      <c r="B227" s="3">
        <f t="shared" si="18"/>
        <v>6.9556383858920198E-3</v>
      </c>
      <c r="D227" s="2">
        <v>493.85998499999999</v>
      </c>
      <c r="E227" s="3">
        <f t="shared" si="19"/>
        <v>-4.0937101748257836E-3</v>
      </c>
    </row>
    <row r="228" spans="1:5" x14ac:dyDescent="0.3">
      <c r="A228" s="2">
        <v>157.740005</v>
      </c>
      <c r="B228" s="3">
        <f t="shared" si="18"/>
        <v>8.8903034643950628E-3</v>
      </c>
      <c r="D228" s="2">
        <v>485.57998700000002</v>
      </c>
      <c r="E228" s="3">
        <f t="shared" si="19"/>
        <v>-1.6765881528141985E-2</v>
      </c>
    </row>
    <row r="229" spans="1:5" x14ac:dyDescent="0.3">
      <c r="A229" s="2">
        <v>159.08000200000001</v>
      </c>
      <c r="B229" s="3">
        <f t="shared" si="18"/>
        <v>8.4949724706805414E-3</v>
      </c>
      <c r="D229" s="2">
        <v>491.35000600000001</v>
      </c>
      <c r="E229" s="3">
        <f t="shared" si="19"/>
        <v>1.1882736427520829E-2</v>
      </c>
    </row>
    <row r="230" spans="1:5" x14ac:dyDescent="0.3">
      <c r="A230" s="2">
        <v>159.779999</v>
      </c>
      <c r="B230" s="3">
        <f t="shared" si="18"/>
        <v>4.4002828212184467E-3</v>
      </c>
      <c r="D230" s="2">
        <v>497.36999500000002</v>
      </c>
      <c r="E230" s="3">
        <f t="shared" si="19"/>
        <v>1.2251936351864031E-2</v>
      </c>
    </row>
    <row r="231" spans="1:5" x14ac:dyDescent="0.3">
      <c r="A231" s="2">
        <v>160.44000199999999</v>
      </c>
      <c r="B231" s="3">
        <f t="shared" si="18"/>
        <v>4.13069848623537E-3</v>
      </c>
      <c r="D231" s="2">
        <v>506.73998999999998</v>
      </c>
      <c r="E231" s="3">
        <f t="shared" si="19"/>
        <v>1.8839083769015781E-2</v>
      </c>
    </row>
    <row r="232" spans="1:5" x14ac:dyDescent="0.3">
      <c r="A232" s="2">
        <v>160.69000199999999</v>
      </c>
      <c r="B232" s="3">
        <f t="shared" si="18"/>
        <v>1.55821488957598E-3</v>
      </c>
      <c r="D232" s="2">
        <v>510.92001299999998</v>
      </c>
      <c r="E232" s="3">
        <f t="shared" si="19"/>
        <v>8.2488516448050719E-3</v>
      </c>
    </row>
    <row r="233" spans="1:5" x14ac:dyDescent="0.3">
      <c r="A233" s="2">
        <v>161.60000600000001</v>
      </c>
      <c r="B233" s="3">
        <f t="shared" si="18"/>
        <v>5.6631027983932375E-3</v>
      </c>
      <c r="D233" s="2">
        <v>527.34002699999996</v>
      </c>
      <c r="E233" s="3">
        <f t="shared" si="19"/>
        <v>3.2138130396547962E-2</v>
      </c>
    </row>
    <row r="234" spans="1:5" x14ac:dyDescent="0.3">
      <c r="A234" s="2">
        <v>161.270004</v>
      </c>
      <c r="B234" s="3">
        <f t="shared" si="18"/>
        <v>-2.0420915083382324E-3</v>
      </c>
      <c r="D234" s="2">
        <v>519.25</v>
      </c>
      <c r="E234" s="3">
        <f t="shared" si="19"/>
        <v>-1.5341196544520912E-2</v>
      </c>
    </row>
    <row r="235" spans="1:5" x14ac:dyDescent="0.3">
      <c r="A235" s="2">
        <v>162</v>
      </c>
      <c r="B235" s="3">
        <f t="shared" si="18"/>
        <v>4.5265454324661634E-3</v>
      </c>
      <c r="D235" s="2">
        <v>516.90002400000003</v>
      </c>
      <c r="E235" s="3">
        <f t="shared" si="19"/>
        <v>-4.5257120847375437E-3</v>
      </c>
    </row>
    <row r="236" spans="1:5" x14ac:dyDescent="0.3">
      <c r="A236" s="2">
        <v>162.66999799999999</v>
      </c>
      <c r="B236" s="3">
        <f t="shared" si="18"/>
        <v>4.1357901234567443E-3</v>
      </c>
      <c r="D236" s="2">
        <v>519.830017</v>
      </c>
      <c r="E236" s="3">
        <f t="shared" si="19"/>
        <v>5.6683940103666305E-3</v>
      </c>
    </row>
    <row r="237" spans="1:5" x14ac:dyDescent="0.3">
      <c r="A237" s="2">
        <v>161.88999899999999</v>
      </c>
      <c r="B237" s="3">
        <f t="shared" si="18"/>
        <v>-4.794977620888664E-3</v>
      </c>
      <c r="D237" s="2">
        <v>523.15997300000004</v>
      </c>
      <c r="E237" s="3">
        <f t="shared" si="19"/>
        <v>6.4058555510464847E-3</v>
      </c>
    </row>
    <row r="238" spans="1:5" x14ac:dyDescent="0.3">
      <c r="A238" s="2">
        <v>158.96000699999999</v>
      </c>
      <c r="B238" s="3">
        <f t="shared" si="18"/>
        <v>-1.8098659695463946E-2</v>
      </c>
      <c r="D238" s="2">
        <v>511.89999399999999</v>
      </c>
      <c r="E238" s="3">
        <f t="shared" si="19"/>
        <v>-2.1523013191225245E-2</v>
      </c>
    </row>
    <row r="239" spans="1:5" x14ac:dyDescent="0.3">
      <c r="A239" s="2">
        <v>157.58999600000001</v>
      </c>
      <c r="B239" s="3">
        <f t="shared" si="18"/>
        <v>-8.618589202754481E-3</v>
      </c>
      <c r="D239" s="2">
        <v>500.23001099999999</v>
      </c>
      <c r="E239" s="3">
        <f t="shared" si="19"/>
        <v>-2.2797388428959432E-2</v>
      </c>
    </row>
    <row r="240" spans="1:5" x14ac:dyDescent="0.3">
      <c r="A240" s="2">
        <v>156.279999</v>
      </c>
      <c r="B240" s="3">
        <f t="shared" si="18"/>
        <v>-8.312691371602102E-3</v>
      </c>
      <c r="D240" s="2">
        <v>499.76001000000002</v>
      </c>
      <c r="E240" s="3">
        <f t="shared" si="19"/>
        <v>-9.3956977723187404E-4</v>
      </c>
    </row>
    <row r="241" spans="1:5" x14ac:dyDescent="0.3">
      <c r="A241" s="2">
        <v>156.39999399999999</v>
      </c>
      <c r="B241" s="3">
        <f t="shared" si="18"/>
        <v>7.6782058336197418E-4</v>
      </c>
      <c r="D241" s="2">
        <v>494.17001299999998</v>
      </c>
      <c r="E241" s="3">
        <f t="shared" si="19"/>
        <v>-1.1185362750413021E-2</v>
      </c>
    </row>
    <row r="242" spans="1:5" x14ac:dyDescent="0.3">
      <c r="A242" s="2">
        <v>157.570007</v>
      </c>
      <c r="B242" s="3">
        <f t="shared" si="18"/>
        <v>7.480901821518047E-3</v>
      </c>
      <c r="D242" s="2">
        <v>501.79998799999998</v>
      </c>
      <c r="E242" s="3">
        <f t="shared" si="19"/>
        <v>1.5439979762592357E-2</v>
      </c>
    </row>
    <row r="243" spans="1:5" x14ac:dyDescent="0.3">
      <c r="A243" s="2">
        <v>160</v>
      </c>
      <c r="B243" s="3">
        <f t="shared" si="18"/>
        <v>1.5421672222176115E-2</v>
      </c>
      <c r="D243" s="2">
        <v>481.07000699999998</v>
      </c>
      <c r="E243" s="3">
        <f t="shared" si="19"/>
        <v>-4.1311242518403589E-2</v>
      </c>
    </row>
    <row r="244" spans="1:5" x14ac:dyDescent="0.3">
      <c r="A244" s="2">
        <v>161.91999799999999</v>
      </c>
      <c r="B244" s="3">
        <f t="shared" si="18"/>
        <v>1.1999987499999953E-2</v>
      </c>
      <c r="D244" s="2">
        <v>481.73001099999999</v>
      </c>
      <c r="E244" s="3">
        <f t="shared" si="19"/>
        <v>1.3719500080993719E-3</v>
      </c>
    </row>
    <row r="245" spans="1:5" x14ac:dyDescent="0.3">
      <c r="A245" s="2">
        <v>162.85000600000001</v>
      </c>
      <c r="B245" s="3">
        <f t="shared" si="18"/>
        <v>5.7436265531575362E-3</v>
      </c>
      <c r="D245" s="2">
        <v>496.10000600000001</v>
      </c>
      <c r="E245" s="3">
        <f t="shared" si="19"/>
        <v>2.982997669206874E-2</v>
      </c>
    </row>
    <row r="246" spans="1:5" x14ac:dyDescent="0.3">
      <c r="A246" s="2">
        <v>163.570007</v>
      </c>
      <c r="B246" s="3">
        <f t="shared" si="18"/>
        <v>4.4212525236259209E-3</v>
      </c>
      <c r="D246" s="2">
        <v>493.5</v>
      </c>
      <c r="E246" s="3">
        <f t="shared" si="19"/>
        <v>-5.240890886020283E-3</v>
      </c>
    </row>
    <row r="247" spans="1:5" x14ac:dyDescent="0.3">
      <c r="A247" s="2">
        <v>165.279999</v>
      </c>
      <c r="B247" s="3">
        <f t="shared" si="18"/>
        <v>1.0454190418907298E-2</v>
      </c>
      <c r="D247" s="2">
        <v>441.38000499999998</v>
      </c>
      <c r="E247" s="3">
        <f t="shared" si="19"/>
        <v>-0.10561295845997977</v>
      </c>
    </row>
    <row r="248" spans="1:5" x14ac:dyDescent="0.3">
      <c r="A248" s="2">
        <v>165.88999899999999</v>
      </c>
      <c r="B248" s="3">
        <f t="shared" si="18"/>
        <v>3.6907067019039926E-3</v>
      </c>
      <c r="D248" s="2">
        <v>443.290009</v>
      </c>
      <c r="E248" s="3">
        <f t="shared" si="19"/>
        <v>4.3273460020011893E-3</v>
      </c>
    </row>
    <row r="249" spans="1:5" x14ac:dyDescent="0.3">
      <c r="A249" s="2">
        <v>166.33000200000001</v>
      </c>
      <c r="B249" s="3">
        <f t="shared" si="18"/>
        <v>2.6523780978503627E-3</v>
      </c>
      <c r="D249" s="2">
        <v>432.61999500000002</v>
      </c>
      <c r="E249" s="3">
        <f t="shared" si="19"/>
        <v>-2.4070052975184424E-2</v>
      </c>
    </row>
    <row r="250" spans="1:5" x14ac:dyDescent="0.3">
      <c r="A250" s="2">
        <v>161.270004</v>
      </c>
      <c r="B250" s="3">
        <f t="shared" si="18"/>
        <v>-3.0421438941604817E-2</v>
      </c>
      <c r="D250" s="2">
        <v>430.17001299999998</v>
      </c>
      <c r="E250" s="3">
        <f t="shared" si="19"/>
        <v>-5.6631270591180928E-3</v>
      </c>
    </row>
    <row r="251" spans="1:5" x14ac:dyDescent="0.3">
      <c r="A251" s="2">
        <v>159.63000500000001</v>
      </c>
      <c r="B251" s="3">
        <f t="shared" si="18"/>
        <v>-1.0169274876436344E-2</v>
      </c>
      <c r="D251" s="2">
        <v>439.19000199999999</v>
      </c>
      <c r="E251" s="3">
        <f t="shared" si="19"/>
        <v>2.0968428127043831E-2</v>
      </c>
    </row>
    <row r="252" spans="1:5" x14ac:dyDescent="0.3">
      <c r="A252" s="2">
        <v>160.729996</v>
      </c>
      <c r="B252" s="3">
        <f t="shared" si="18"/>
        <v>6.8908786916343735E-3</v>
      </c>
      <c r="D252" s="2">
        <v>441.67999300000002</v>
      </c>
      <c r="E252" s="3">
        <f t="shared" si="19"/>
        <v>5.6695074766297433E-3</v>
      </c>
    </row>
    <row r="253" spans="1:5" x14ac:dyDescent="0.3">
      <c r="A253" s="2">
        <v>160.25</v>
      </c>
      <c r="B253" s="3">
        <f t="shared" si="18"/>
        <v>-2.9863498534523692E-3</v>
      </c>
      <c r="D253" s="2">
        <v>451.959991</v>
      </c>
      <c r="E253" s="3">
        <f t="shared" si="19"/>
        <v>2.3274764904282132E-2</v>
      </c>
    </row>
    <row r="254" spans="1:5" x14ac:dyDescent="0.3">
      <c r="A254" s="2">
        <v>162.300003</v>
      </c>
      <c r="B254" s="3">
        <f t="shared" si="18"/>
        <v>1.2792530421216872E-2</v>
      </c>
      <c r="D254" s="2">
        <v>465.67999300000002</v>
      </c>
      <c r="E254" s="3">
        <f t="shared" si="19"/>
        <v>3.0356673761417131E-2</v>
      </c>
    </row>
  </sheetData>
  <mergeCells count="1">
    <mergeCell ref="M2:N2"/>
  </mergeCells>
  <pageMargins left="0.5" right="0.5" top="1" bottom="1" header="0.5" footer="0.75"/>
  <pageSetup fitToHeight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9253D-8181-4695-8B58-E7CA81259E9A}">
  <sheetPr codeName="Sheet9"/>
  <dimension ref="B2:J14"/>
  <sheetViews>
    <sheetView workbookViewId="0">
      <selection activeCell="J14" sqref="J14"/>
    </sheetView>
  </sheetViews>
  <sheetFormatPr defaultRowHeight="14.4" x14ac:dyDescent="0.3"/>
  <cols>
    <col min="2" max="2" width="19.44140625" customWidth="1"/>
    <col min="6" max="6" width="10.21875" customWidth="1"/>
    <col min="7" max="7" width="11.44140625" customWidth="1"/>
    <col min="8" max="8" width="11.5546875" customWidth="1"/>
    <col min="9" max="9" width="17" customWidth="1"/>
    <col min="10" max="10" width="12.77734375" customWidth="1"/>
  </cols>
  <sheetData>
    <row r="2" spans="2:10" x14ac:dyDescent="0.3">
      <c r="B2" s="8" t="s">
        <v>25</v>
      </c>
      <c r="C2" s="8"/>
      <c r="D2" s="8"/>
    </row>
    <row r="3" spans="2:10" x14ac:dyDescent="0.3">
      <c r="B3" s="2"/>
      <c r="C3" s="5" t="s">
        <v>5</v>
      </c>
      <c r="D3" s="5" t="s">
        <v>4</v>
      </c>
    </row>
    <row r="4" spans="2:10" x14ac:dyDescent="0.3">
      <c r="B4" s="5" t="s">
        <v>20</v>
      </c>
      <c r="C4" s="2">
        <v>7.8924268418753801E-2</v>
      </c>
      <c r="D4" s="2">
        <v>0.7617910955098981</v>
      </c>
      <c r="F4" s="9" t="s">
        <v>37</v>
      </c>
      <c r="G4" s="9"/>
    </row>
    <row r="5" spans="2:10" x14ac:dyDescent="0.3">
      <c r="B5" s="5" t="s">
        <v>21</v>
      </c>
      <c r="C5" s="2">
        <v>0.20428351540755679</v>
      </c>
      <c r="D5" s="2">
        <v>0.36024361705741259</v>
      </c>
      <c r="F5" s="2"/>
      <c r="G5" s="5" t="s">
        <v>5</v>
      </c>
      <c r="H5" s="5" t="s">
        <v>4</v>
      </c>
      <c r="I5" s="5" t="s">
        <v>35</v>
      </c>
      <c r="J5" s="5" t="s">
        <v>36</v>
      </c>
    </row>
    <row r="6" spans="2:10" x14ac:dyDescent="0.3">
      <c r="F6" s="5" t="s">
        <v>26</v>
      </c>
      <c r="G6" s="2">
        <v>2.086269596263244E-2</v>
      </c>
      <c r="H6" s="2">
        <v>3.4806267170233995E-2</v>
      </c>
      <c r="I6" s="2">
        <v>1.9908439443542807E-2</v>
      </c>
      <c r="J6" s="2" t="str" cm="1">
        <f t="array" ref="J6">CheckVaRAdditivity(G6,H6,I6)</f>
        <v>Subadditive</v>
      </c>
    </row>
    <row r="7" spans="2:10" x14ac:dyDescent="0.3">
      <c r="B7" s="5" t="s">
        <v>22</v>
      </c>
      <c r="C7" s="2">
        <v>-1.5732212994739477E-2</v>
      </c>
      <c r="F7" s="5" t="s">
        <v>27</v>
      </c>
      <c r="G7" s="2">
        <v>2.9380559954141433E-2</v>
      </c>
      <c r="H7" s="2">
        <v>4.9902682322450188E-2</v>
      </c>
      <c r="I7" s="2">
        <v>2.7936397192474288E-2</v>
      </c>
      <c r="J7" s="2" t="str" cm="1">
        <f t="array" ref="J7">CheckVaRAdditivity(G7,H7,I7)</f>
        <v>Subadditive</v>
      </c>
    </row>
    <row r="8" spans="2:10" x14ac:dyDescent="0.3">
      <c r="B8" s="5" t="s">
        <v>23</v>
      </c>
      <c r="C8" s="2">
        <v>20000</v>
      </c>
      <c r="F8" s="5" t="s">
        <v>28</v>
      </c>
      <c r="G8" s="2">
        <v>3.3050153664267792E-2</v>
      </c>
      <c r="H8" s="2">
        <v>5.5453590563376891E-2</v>
      </c>
      <c r="I8" s="2">
        <v>3.1040106137918862E-2</v>
      </c>
      <c r="J8" s="2" t="str" cm="1">
        <f t="array" ref="J8">CheckVaRAdditivity(G8,H8,I8)</f>
        <v>Subadditive</v>
      </c>
    </row>
    <row r="9" spans="2:10" x14ac:dyDescent="0.3">
      <c r="B9" s="5" t="s">
        <v>24</v>
      </c>
      <c r="C9" s="2">
        <v>1</v>
      </c>
    </row>
    <row r="10" spans="2:10" x14ac:dyDescent="0.3">
      <c r="F10" s="9" t="s">
        <v>38</v>
      </c>
      <c r="G10" s="9"/>
    </row>
    <row r="11" spans="2:10" x14ac:dyDescent="0.3">
      <c r="F11" s="2"/>
      <c r="G11" s="5" t="s">
        <v>5</v>
      </c>
      <c r="H11" s="5" t="s">
        <v>4</v>
      </c>
      <c r="I11" s="5" t="s">
        <v>35</v>
      </c>
    </row>
    <row r="12" spans="2:10" x14ac:dyDescent="0.3">
      <c r="F12" s="5" t="s">
        <v>26</v>
      </c>
      <c r="G12" s="2">
        <f>G6*1000000</f>
        <v>20862.695962632439</v>
      </c>
      <c r="H12" s="2">
        <f t="shared" ref="H12:I12" si="0">H6*1000000</f>
        <v>34806.267170233994</v>
      </c>
      <c r="I12" s="2">
        <f t="shared" si="0"/>
        <v>19908.439443542808</v>
      </c>
    </row>
    <row r="13" spans="2:10" x14ac:dyDescent="0.3">
      <c r="F13" s="5" t="s">
        <v>27</v>
      </c>
      <c r="G13" s="2">
        <f t="shared" ref="G13:I13" si="1">G7*1000000</f>
        <v>29380.559954141434</v>
      </c>
      <c r="H13" s="2">
        <f t="shared" si="1"/>
        <v>49902.682322450186</v>
      </c>
      <c r="I13" s="2">
        <f t="shared" si="1"/>
        <v>27936.397192474287</v>
      </c>
    </row>
    <row r="14" spans="2:10" x14ac:dyDescent="0.3">
      <c r="F14" s="5" t="s">
        <v>28</v>
      </c>
      <c r="G14" s="2">
        <f t="shared" ref="G14:I14" si="2">G8*1000000</f>
        <v>33050.153664267789</v>
      </c>
      <c r="H14" s="2">
        <f t="shared" si="2"/>
        <v>55453.590563376893</v>
      </c>
      <c r="I14" s="2">
        <f t="shared" si="2"/>
        <v>31040.106137918861</v>
      </c>
    </row>
  </sheetData>
  <mergeCells count="3">
    <mergeCell ref="B2:D2"/>
    <mergeCell ref="F4:G4"/>
    <mergeCell ref="F10:G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unMonteCarloSimulation">
                <anchor moveWithCells="1" sizeWithCells="1">
                  <from>
                    <xdr:col>1</xdr:col>
                    <xdr:colOff>83820</xdr:colOff>
                    <xdr:row>10</xdr:row>
                    <xdr:rowOff>99060</xdr:rowOff>
                  </from>
                  <to>
                    <xdr:col>3</xdr:col>
                    <xdr:colOff>556260</xdr:colOff>
                    <xdr:row>14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69C22A-D65A-4500-B26D-D6C39D8CF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Historical VaR</vt:lpstr>
      <vt:lpstr>Parametric VaR</vt:lpstr>
      <vt:lpstr>MonteCarlo VaR</vt:lpstr>
      <vt:lpstr>CLS</vt:lpstr>
      <vt:lpstr>OPN</vt:lpstr>
      <vt:lpstr>phTableData</vt:lpstr>
      <vt:lpstr>phTableHeader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Nicola Schiavo</cp:lastModifiedBy>
  <dcterms:created xsi:type="dcterms:W3CDTF">2024-05-06T09:50:54Z</dcterms:created>
  <dcterms:modified xsi:type="dcterms:W3CDTF">2024-05-09T15:09:37Z</dcterms:modified>
</cp:coreProperties>
</file>